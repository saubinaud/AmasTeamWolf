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2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1.xml"/>
  <Override ContentType="application/vnd.openxmlformats-officedocument.spreadsheetml.table+xml" PartName="/xl/tables/table8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tiembre" sheetId="9" r:id="rId12"/>
    <sheet state="visible" name="Octubre" sheetId="10" r:id="rId13"/>
    <sheet state="visible" name="Noviembre" sheetId="11" r:id="rId14"/>
    <sheet state="visible" name="Nombres de los alumnos " sheetId="12" r:id="rId15"/>
    <sheet state="visible" name="Diciembre" sheetId="13" r:id="rId16"/>
    <sheet state="visible" name="Hoja 1" sheetId="14" r:id="rId17"/>
  </sheets>
  <definedNames>
    <definedName name="ColumnTitle13">EmployeeName[[#Headers],[ALUMNOS ]]</definedName>
    <definedName name="Titulo1">Enero[[#Headers],[NOMBRE  Y APELLIDO]]</definedName>
    <definedName name="Titulo10">Octubre[[#Headers],[Nombre del empleado]]</definedName>
    <definedName name="Titulo11">Noviembre[[#Headers],[Nombre del empleado]]</definedName>
    <definedName name="Titulo12">Diciembre[[#Headers],[Nombre del empleado]]</definedName>
    <definedName name="Titulo2">Febrero[[#Headers],[NOMBRE Y APELLIDOS]]</definedName>
    <definedName name="Titulo3">Marzo[[#Headers],[Nombre del empleado]]</definedName>
    <definedName name="Titulo4">Abril[[#Headers],[Nombre del empleado]]</definedName>
    <definedName name="Titulo5">Mayo[[#Headers],[Nombre del empleado]]</definedName>
    <definedName name="Titulo6">Junio[[#Headers],[Nombre del empleado]]</definedName>
    <definedName name="Titulo7">Julio[[#Headers],[Nombre del empleado]]</definedName>
    <definedName name="Titulo8">Agosto[[#Headers],[Nombre del empleado]]</definedName>
    <definedName name="Titulo9">Septiembre[[#Headers],[Nombre del empleado]]</definedName>
    <definedName name="Employee_Absence_Title">Enero!$B$1</definedName>
    <definedName localSheetId="3" name="MonthName">Abril!$B$4</definedName>
    <definedName localSheetId="0" name="MonthName">Enero!$B$4</definedName>
    <definedName localSheetId="4" name="MonthName">Mayo!$B$4</definedName>
    <definedName localSheetId="9" name="MonthName">Octubre!$B$4</definedName>
    <definedName name="KeySick">Enero!$K$2</definedName>
    <definedName name="KeyVacation">Enero!$C$2</definedName>
    <definedName name="KeyPersonal">Enero!$G$2</definedName>
    <definedName name="KeyCustom2">Enero!$T$2</definedName>
    <definedName localSheetId="8" name="MonthName">Setiembre!$B$4</definedName>
    <definedName name="KeyVacationLabel">Enero!$D$2</definedName>
    <definedName name="KeyCustom1">Enero!$O$2</definedName>
    <definedName name="CalendarioAño">Enero!$AH$4</definedName>
    <definedName name="Key_name">Enero!$B$2</definedName>
    <definedName name="KeyCustom1Label">Enero!$P$2</definedName>
    <definedName name="KeyPersonalLabel">Enero!$H$2</definedName>
    <definedName localSheetId="10" name="MonthName">Noviembre!$B$4</definedName>
    <definedName localSheetId="12" name="MonthName">Diciembre!$B$4</definedName>
    <definedName localSheetId="1" name="MonthName">Febrero!$B$4</definedName>
    <definedName name="KeyCustom2Label">Enero!$U$2</definedName>
    <definedName localSheetId="2" name="MonthName">Marzo!$B$4</definedName>
    <definedName localSheetId="5" name="MonthName">Junio!$B$4</definedName>
    <definedName name="KeySickLabel">Enero!$L$2</definedName>
    <definedName localSheetId="7" name="MonthName">Agosto!$B$4</definedName>
    <definedName localSheetId="6" name="MonthName">Julio!$B$4</definedName>
    <definedName hidden="1" localSheetId="11" name="_xlnm._FilterDatabase">'Nombres de los alumnos '!$B$3:$C$199</definedName>
  </definedNames>
  <calcPr/>
  <extLst>
    <ext uri="GoogleSheetsCustomDataVersion2">
      <go:sheetsCustomData xmlns:go="http://customooxmlschemas.google.com/" r:id="rId18" roundtripDataChecksum="mv9i/sWBGIzC917dRGjIbwdRViiUi/qiiGXVwhJpG3M="/>
    </ext>
  </extLst>
</workbook>
</file>

<file path=xl/sharedStrings.xml><?xml version="1.0" encoding="utf-8"?>
<sst xmlns="http://schemas.openxmlformats.org/spreadsheetml/2006/main" count="10557" uniqueCount="469">
  <si>
    <t xml:space="preserve">ASISTENCIA DE ALUMNOS </t>
  </si>
  <si>
    <t xml:space="preserve">Claves de los tipos de Asistencia </t>
  </si>
  <si>
    <t>F</t>
  </si>
  <si>
    <t>FALTAS</t>
  </si>
  <si>
    <t>J</t>
  </si>
  <si>
    <t>JUSTIFICADA</t>
  </si>
  <si>
    <t>A</t>
  </si>
  <si>
    <t>ASISTENCIA</t>
  </si>
  <si>
    <t>R</t>
  </si>
  <si>
    <t>RECUPERACION</t>
  </si>
  <si>
    <t>E</t>
  </si>
  <si>
    <t xml:space="preserve">EVENTOS </t>
  </si>
  <si>
    <t>Enero</t>
  </si>
  <si>
    <t>MEGA SUPER BABY WOLF 3:00</t>
  </si>
  <si>
    <t>NOMBRE  Y APELLIDO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</si>
  <si>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</si>
  <si>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</si>
  <si>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</si>
  <si>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</si>
  <si>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</si>
  <si>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</si>
  <si>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</si>
  <si>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</si>
  <si>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</si>
  <si>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</si>
  <si>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</si>
  <si>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</si>
  <si>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</si>
  <si>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</si>
  <si>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</si>
  <si>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</si>
  <si>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</si>
  <si>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</si>
  <si>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</si>
  <si>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</si>
  <si>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</si>
  <si>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</si>
  <si>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</si>
  <si>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</si>
  <si>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</si>
  <si>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</si>
  <si>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</si>
  <si>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</si>
  <si>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</si>
  <si>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</si>
  <si>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</si>
  <si>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Número total de días</t>
  </si>
  <si>
    <t>ALEXANDRA GABRIELA BAUTISTA JUSTINIANO</t>
  </si>
  <si>
    <t>THIAGO ABRAHAM MATIENZO TELLO</t>
  </si>
  <si>
    <t xml:space="preserve"> SUPER BABY WOLF 3:30 </t>
  </si>
  <si>
    <t>EMANUEL DAVID RIVAS PAETAN</t>
  </si>
  <si>
    <t>LUA GIANELLA RODRIGUEZ CASTRO</t>
  </si>
  <si>
    <t>MABEL TOMAS PEDRAZA</t>
  </si>
  <si>
    <t xml:space="preserve">TADEO BASTIAN REYES RAMIREZ </t>
  </si>
  <si>
    <t xml:space="preserve">MATEO AUGUSTO RIVAS MERINO  </t>
  </si>
  <si>
    <t xml:space="preserve">GiANELLA NICOLE CALDERON AGUIRRE </t>
  </si>
  <si>
    <t xml:space="preserve">FABIAN FABRIZIO ABARCA ANGELES </t>
  </si>
  <si>
    <t>ALBA LUCIA CABALLERO SORIANO</t>
  </si>
  <si>
    <t xml:space="preserve"> SUPER BABY WOLF 4:00 </t>
  </si>
  <si>
    <t xml:space="preserve">ALESSIO VEGARA EZETA </t>
  </si>
  <si>
    <t xml:space="preserve">ALEJANDRO OCTAVIO ALEGRIA YUPANQUI </t>
  </si>
  <si>
    <t xml:space="preserve">MARCELO SANTOS URBANO </t>
  </si>
  <si>
    <t>NAELAH SOLIS CORDEÑA</t>
  </si>
  <si>
    <t xml:space="preserve">LIAM GAEL PABLO CUEVA </t>
  </si>
  <si>
    <t>ISABELLA VALENTINA GUINEA CERDAN</t>
  </si>
  <si>
    <t>VALENTINA FLAVIA VALDIVIESZO ROMAN</t>
  </si>
  <si>
    <t>FERNANDA ALEXA SOLES GUTIERREZ</t>
  </si>
  <si>
    <t xml:space="preserve">CAMILA MAUREEN GARCIA VEGA </t>
  </si>
  <si>
    <t xml:space="preserve">CATALINA MARIA ROMERO MALPICA </t>
  </si>
  <si>
    <t>JULIETA BELLIDO HUAPAYA</t>
  </si>
  <si>
    <t xml:space="preserve">KENSHIN GUILLERMO ALVA TAKAYAMA </t>
  </si>
  <si>
    <t xml:space="preserve">DARIUS ABEL ALEMAN SAVEDRA </t>
  </si>
  <si>
    <t xml:space="preserve">JUAN SALVADOR VALAQNIA CEVEDOR </t>
  </si>
  <si>
    <t xml:space="preserve">DANNA GAELA BACA HUAMANI </t>
  </si>
  <si>
    <t xml:space="preserve"> BABY WOLF 4:30 </t>
  </si>
  <si>
    <t xml:space="preserve">PIERO PAOLO NORATTO GEISER </t>
  </si>
  <si>
    <t xml:space="preserve">ARIA DOMENICA CHONG SANCHEZ </t>
  </si>
  <si>
    <t xml:space="preserve">NOAH JOSIAS CHONG SANCHEZ </t>
  </si>
  <si>
    <t xml:space="preserve">ETHAN SANTIAGO BRUCE CATALAN LAYME </t>
  </si>
  <si>
    <t>SERGIO JEREMY AGUIRRE MISIYAURI</t>
  </si>
  <si>
    <t xml:space="preserve">LOLA SANCHEZ PINTO </t>
  </si>
  <si>
    <t xml:space="preserve">ASTOR WARI </t>
  </si>
  <si>
    <t xml:space="preserve">RODRIGO ALEJANDRO PALOMIO CAMPOS </t>
  </si>
  <si>
    <t xml:space="preserve">ANTONELLA ESPERANZA OLANO CONTRERAS </t>
  </si>
  <si>
    <t>FABIAN ALEJANDRO FLORES BOCANEGRA</t>
  </si>
  <si>
    <t xml:space="preserve">ANIA KAELLA MIA DELGADO JIMENEZ </t>
  </si>
  <si>
    <t>ITALA BRAÑEZ MOLERO</t>
  </si>
  <si>
    <t xml:space="preserve">LEONARDO HERNANDEZ FLORIAN </t>
  </si>
  <si>
    <t>CESAR ADRIAN</t>
  </si>
  <si>
    <t xml:space="preserve"> </t>
  </si>
  <si>
    <t xml:space="preserve">VICENTE SKOPLJAK BELLATIN </t>
  </si>
  <si>
    <t>LUCIANA ISABELLA LOZADA BERNALA</t>
  </si>
  <si>
    <t>JOAQUIN GAEL MOLINA IBAÑEZ</t>
  </si>
  <si>
    <t xml:space="preserve">FRANCISCO DAVID PORTELLA MUÑOS </t>
  </si>
  <si>
    <t xml:space="preserve">ARON CANAVAL FLORIAN </t>
  </si>
  <si>
    <t>ROBERTO TITO CAMACHO</t>
  </si>
  <si>
    <t>VASCO EMMANUEL JR SOVERO GUILLEN</t>
  </si>
  <si>
    <t xml:space="preserve">ALESSANDRO EMILIO PEREZ MEDINA </t>
  </si>
  <si>
    <t>MOISES YAEL HARIMON PIRO</t>
  </si>
  <si>
    <t>DANNIA JULIETH SALAZAR ALFARO</t>
  </si>
  <si>
    <t>LEANDRO HUACHALLANQUI MENDOZA</t>
  </si>
  <si>
    <t>VASCO DIAZ TAPIA</t>
  </si>
  <si>
    <t xml:space="preserve">ANDRE LEONARDO CARMELO POMA </t>
  </si>
  <si>
    <t xml:space="preserve">  BABY WOLF 5:00 </t>
  </si>
  <si>
    <t>LEONARDO RODRIGO NAVARRO VALVERDE</t>
  </si>
  <si>
    <t xml:space="preserve">EMILIANO ALONSO CHIA ROMAN </t>
  </si>
  <si>
    <t xml:space="preserve">JOAQUIN IGNACIO CHUMBES ROMAN </t>
  </si>
  <si>
    <t xml:space="preserve">ARIAN AGOSTINO CHAVEZ ALAYO </t>
  </si>
  <si>
    <t>JADEN BASTIEN RIOS YOMOND</t>
  </si>
  <si>
    <t>BASTIAN MIJAEL MORALES JARAMILLO</t>
  </si>
  <si>
    <t xml:space="preserve">LEONARDO GAEL AGUILAR DELGADO </t>
  </si>
  <si>
    <t xml:space="preserve">JARED EVARISTO GUIZADO MITMA </t>
  </si>
  <si>
    <t xml:space="preserve">ITALO ALESSANDRO CARRASSA FAZIO </t>
  </si>
  <si>
    <t>ELIAS DAVIANGEN OROSCO MONTENEGRO</t>
  </si>
  <si>
    <t xml:space="preserve">CATALINA ARLETH TIJERO ALIAGA </t>
  </si>
  <si>
    <t xml:space="preserve">ADRIEL ANDREW PAREJA MONTES </t>
  </si>
  <si>
    <t xml:space="preserve">SANTIAGO ANDRE GASTO MESCUA </t>
  </si>
  <si>
    <t xml:space="preserve">LUCIANO MATEO GUIZADO LAURENTE </t>
  </si>
  <si>
    <t xml:space="preserve">ADRIAN MOISES GARCIA CAHUANA </t>
  </si>
  <si>
    <t>YEREMY YOSEF HARIMON PIRO</t>
  </si>
  <si>
    <t>KAI VEHARA HAMADA</t>
  </si>
  <si>
    <t>ENRICO JOSE SAVOCA PONTIGGIA</t>
  </si>
  <si>
    <t xml:space="preserve">SPERANZA ALTEA SAVOCA PONTIGGIA </t>
  </si>
  <si>
    <t xml:space="preserve">SANTIAGO LESCANO JARA </t>
  </si>
  <si>
    <t xml:space="preserve">EVAN SALVADOR AZULA TIPE </t>
  </si>
  <si>
    <t xml:space="preserve">  LITTLE WOLF 5:30 </t>
  </si>
  <si>
    <t xml:space="preserve">DANIELA ALEXANDRA CABELLO LEÓN </t>
  </si>
  <si>
    <t xml:space="preserve">NICOLAS VILDOSO GARCIA </t>
  </si>
  <si>
    <t xml:space="preserve">MATEO   VALENTINO VARGAS VASQUEZ </t>
  </si>
  <si>
    <t xml:space="preserve">GIANIRELLA ZULEBY SAQUEIROS CANO </t>
  </si>
  <si>
    <t>WILLY SALVADOR RABORG BERROCAL</t>
  </si>
  <si>
    <t>ARLETH SALAZAR</t>
  </si>
  <si>
    <t xml:space="preserve">VIOLETA MENDIETA LOZADA </t>
  </si>
  <si>
    <t xml:space="preserve">VICTOR HAKIM RODRIGUEZ GOMEZ </t>
  </si>
  <si>
    <t xml:space="preserve">ROMAN MALQUI HUAMAN </t>
  </si>
  <si>
    <t xml:space="preserve">DIEGO ALONSO SALAZAR ESCOBAR </t>
  </si>
  <si>
    <t xml:space="preserve">  LITTLE  WOLF 6:00 </t>
  </si>
  <si>
    <t>EVAN ADRIAN CASTILLO VALER</t>
  </si>
  <si>
    <t xml:space="preserve">FELIPE PASACHE GUILLEN </t>
  </si>
  <si>
    <t xml:space="preserve">MARÍA FERNANDA POMA ROMERO </t>
  </si>
  <si>
    <t xml:space="preserve">SAMIR GABRIEL YAPUCHURA SUXO </t>
  </si>
  <si>
    <t>LÍA GEORGIANA OBREGON GUTTIERREZ</t>
  </si>
  <si>
    <t xml:space="preserve">  JUNIOR WOLF 6:30 </t>
  </si>
  <si>
    <t xml:space="preserve">THIAGO RUIZ MINGA </t>
  </si>
  <si>
    <t xml:space="preserve">JOAQUIN  MATEO GONZALES CABRERA </t>
  </si>
  <si>
    <t>IVANNA SOFIA ALVARADO GONZALES</t>
  </si>
  <si>
    <t xml:space="preserve">LUIS EDUARDO VILDO RIOFIO </t>
  </si>
  <si>
    <t>ALESSANDRO GHAEL PALOMINO PEÑA</t>
  </si>
  <si>
    <t xml:space="preserve"> ADOLECENTES WOLF 6:30-7:30/</t>
  </si>
  <si>
    <t xml:space="preserve">KEIRA ROMINA PABLO CUEVA </t>
  </si>
  <si>
    <t xml:space="preserve">DIEGO PALOMINO LAOS </t>
  </si>
  <si>
    <t xml:space="preserve">ANDRE CASTILLO VALER </t>
  </si>
  <si>
    <t>NIKOLAS JIN MENDOZA YANCE</t>
  </si>
  <si>
    <t xml:space="preserve"> WOLF 7:30-8:30 pm </t>
  </si>
  <si>
    <t>ASISTENCIA DE ALUMNOS</t>
  </si>
  <si>
    <t>Claves de los tipos de Asistencias</t>
  </si>
  <si>
    <t>JUSTIFICADAS</t>
  </si>
  <si>
    <t xml:space="preserve">A </t>
  </si>
  <si>
    <t xml:space="preserve">ASISTENCIA </t>
  </si>
  <si>
    <t xml:space="preserve">RECUPERACION </t>
  </si>
  <si>
    <t xml:space="preserve">E </t>
  </si>
  <si>
    <t>Febrero</t>
  </si>
  <si>
    <t>NOMBRE Y APELLIDOS</t>
  </si>
  <si>
    <t xml:space="preserve">  </t>
  </si>
  <si>
    <t>DARIO</t>
  </si>
  <si>
    <t xml:space="preserve">MATEO JOSEPH HUATAY </t>
  </si>
  <si>
    <t>SUPER BABY WOLF 3:30</t>
  </si>
  <si>
    <t xml:space="preserve">MAR PORTOCARRERO BERNAOLA </t>
  </si>
  <si>
    <t xml:space="preserve">MICAELA PORTOCARRERO BERNAOLA </t>
  </si>
  <si>
    <t>MARIA FERNANDA ORBEGOSO LOPEZ</t>
  </si>
  <si>
    <t>SUPER BABY WOLF 4:00</t>
  </si>
  <si>
    <t xml:space="preserve">SALVADOR EFRAIN BUSTAMANTE PEREZ </t>
  </si>
  <si>
    <t xml:space="preserve">FELIPE PUÑO  NUÑEZ </t>
  </si>
  <si>
    <t>BABY WOLF 4:30</t>
  </si>
  <si>
    <t>AA</t>
  </si>
  <si>
    <t>LEONEL MONTOYA ANTIALAN</t>
  </si>
  <si>
    <t>MIA CHOZO LOPEZ</t>
  </si>
  <si>
    <t>BABY WOLF 5:00</t>
  </si>
  <si>
    <t>PIERO STEVEN AGUIRRE UCHASARA</t>
  </si>
  <si>
    <t xml:space="preserve">AURELIO  CHISTIANS TRISTAN ALEXANDRINO </t>
  </si>
  <si>
    <t xml:space="preserve">IAN SCHMIDT MARIÑO </t>
  </si>
  <si>
    <t xml:space="preserve">GUILLERMO CASTILLO CULQUI </t>
  </si>
  <si>
    <t>LITTLE WOLF 5:30</t>
  </si>
  <si>
    <t>ISABELLA PORTUGAL</t>
  </si>
  <si>
    <t>GAEL ADRIEZ LUNA QUISPE</t>
  </si>
  <si>
    <t>MATEO SOLLER PONCE</t>
  </si>
  <si>
    <t>LITTLE WOLF 6:00</t>
  </si>
  <si>
    <t>ALEXANDRA ROJAS SICLLA</t>
  </si>
  <si>
    <t>JUNIOR WOLF 6:30</t>
  </si>
  <si>
    <t xml:space="preserve">JAVIER PIERO BARRERA ANCO </t>
  </si>
  <si>
    <t>ADOLESCENTES WOLF 6:30-7:30</t>
  </si>
  <si>
    <t>KATHERINE CERDAN PALOMINO</t>
  </si>
  <si>
    <t xml:space="preserve">WOLF </t>
  </si>
  <si>
    <t>V</t>
  </si>
  <si>
    <t>Vacaciones</t>
  </si>
  <si>
    <t>P</t>
  </si>
  <si>
    <t>Personal</t>
  </si>
  <si>
    <t>Asistencia</t>
  </si>
  <si>
    <t>Recuperacion</t>
  </si>
  <si>
    <t xml:space="preserve">Eventos </t>
  </si>
  <si>
    <t>Marzo</t>
  </si>
  <si>
    <t xml:space="preserve"> MEGA SUPER BABY WOLF 3:00 PM </t>
  </si>
  <si>
    <t>Nombre del empleado</t>
  </si>
  <si>
    <t xml:space="preserve">DARIO DAVID FABIAN HERRERA </t>
  </si>
  <si>
    <t xml:space="preserve">SUPER BABY WOLF 3:30 pm </t>
  </si>
  <si>
    <t>ISABELLA QUISPE LUCAS</t>
  </si>
  <si>
    <t>AMANDA VILLACORTA</t>
  </si>
  <si>
    <t>FERNANDA SOCA MEDRARO</t>
  </si>
  <si>
    <t xml:space="preserve">JOSE ANDRES VELIZ HAYTA </t>
  </si>
  <si>
    <t>SANTIAGO ROJAS</t>
  </si>
  <si>
    <t>EDUARDO AQUINO PELLEGRIN</t>
  </si>
  <si>
    <t>ALEC REYES KROLL</t>
  </si>
  <si>
    <t>MIA ROJAS LLANTOY</t>
  </si>
  <si>
    <t>ALMA CASTILLO MENDOZA</t>
  </si>
  <si>
    <t xml:space="preserve">MAXIMO DANIEL JAUREGUI DALAS </t>
  </si>
  <si>
    <t xml:space="preserve">RAFAEL AYVAR CUEVA </t>
  </si>
  <si>
    <t>LARA REYES KROLL</t>
  </si>
  <si>
    <t>ADRIANO RIVERA ARIZA</t>
  </si>
  <si>
    <t>Abril</t>
  </si>
  <si>
    <t xml:space="preserve">ALUMNOS </t>
  </si>
  <si>
    <t>Total de días</t>
  </si>
  <si>
    <t>JACK ANDIA RUIZ</t>
  </si>
  <si>
    <t xml:space="preserve">DANIELA AIATAMA CUEVA ZEVALLOS </t>
  </si>
  <si>
    <t>JESUS MICHILOT</t>
  </si>
  <si>
    <t>AAA</t>
  </si>
  <si>
    <t>PIA TORERO MERINO</t>
  </si>
  <si>
    <t>GABRIEL RUBIANES</t>
  </si>
  <si>
    <t xml:space="preserve">FABRIZIO MIGUEL ASTORGA CASTRO </t>
  </si>
  <si>
    <t>JULIAN CORNEJO</t>
  </si>
  <si>
    <t>GABRIEL CORNEJO</t>
  </si>
  <si>
    <t>CAMILA GOMEZ HUAMAN</t>
  </si>
  <si>
    <t>RODRIGO HUAROTO</t>
  </si>
  <si>
    <t>GERALD SALOME YAURI</t>
  </si>
  <si>
    <t>ESTEBAN NEYRA HERENCIA</t>
  </si>
  <si>
    <t>CARDIO KICKBOXING 8:00-9:00</t>
  </si>
  <si>
    <t>ELMER PABLO</t>
  </si>
  <si>
    <t>Mayo</t>
  </si>
  <si>
    <t>MEGA SUPER BABY WOLF 3:00 PM</t>
  </si>
  <si>
    <t xml:space="preserve">SUPER BABY WOLF 3:30 PM </t>
  </si>
  <si>
    <t>MARTIN RUIZ CHU</t>
  </si>
  <si>
    <t xml:space="preserve">SUPER BABY WOLF 4:00 PM </t>
  </si>
  <si>
    <t>NICOLAS SULLON ANDAGUA</t>
  </si>
  <si>
    <t>CAMILO ROSAMO</t>
  </si>
  <si>
    <t>TADEO GOMEZ VASQUEZ</t>
  </si>
  <si>
    <t xml:space="preserve">BABY WOLF 4:30 PM </t>
  </si>
  <si>
    <t>DANIELA TEJADA YATA</t>
  </si>
  <si>
    <t xml:space="preserve">LUKA PAVIC CONTRERAS </t>
  </si>
  <si>
    <t xml:space="preserve">BABY WOLF 5:00 PM </t>
  </si>
  <si>
    <t>SOPHIE ALBITES QUIROZ</t>
  </si>
  <si>
    <t>GAEL ACURIO GARCIA</t>
  </si>
  <si>
    <t>LITTLE WOLF 5:30 PM</t>
  </si>
  <si>
    <t>LARA VELEZ PEREZ</t>
  </si>
  <si>
    <t>VALERIA MOSCOSO</t>
  </si>
  <si>
    <t>IAN LEZAMA OJANAMA</t>
  </si>
  <si>
    <t>JOAQUIN CHANGRA CASTILLO</t>
  </si>
  <si>
    <t>SAID TACSI CANAHUIRI</t>
  </si>
  <si>
    <t xml:space="preserve"> ADOLECENTES WOLF </t>
  </si>
  <si>
    <t xml:space="preserve"> WOLF </t>
  </si>
  <si>
    <t>Junio</t>
  </si>
  <si>
    <t xml:space="preserve"> SUPER BABY WOLF 3:00 PM </t>
  </si>
  <si>
    <t>PEDRO JACK XANDER ANDIA RUIZ</t>
  </si>
  <si>
    <t>BABY WOLF 3:30 PM</t>
  </si>
  <si>
    <t>MARTIN CAO RUIXUAN RUIZ CHU</t>
  </si>
  <si>
    <t xml:space="preserve">LUA GIANELLA RODRIGUEZ CASTRO </t>
  </si>
  <si>
    <t>AMANDA VILLACORTA HASHIMOTO</t>
  </si>
  <si>
    <t xml:space="preserve">RODRIGO CHISTIAN MORALES TARAZONA </t>
  </si>
  <si>
    <t>VILMA GIORGINA PUMA ESTRADA</t>
  </si>
  <si>
    <t>BABY WOLF 4:00 PM</t>
  </si>
  <si>
    <t>EMANUEL DAVID RIVAS PEATAN</t>
  </si>
  <si>
    <t xml:space="preserve">FERNANDA CATALINA SOCA MEDRANO </t>
  </si>
  <si>
    <t xml:space="preserve">TADEO EMILIO GOMEZ VASQUEZ </t>
  </si>
  <si>
    <t>MAR PORTOCARRERO BERNAOLA</t>
  </si>
  <si>
    <t>MICAELA PORTOCARRERO BERNAOLA</t>
  </si>
  <si>
    <t xml:space="preserve">CALLIE IVANNA CALLIE IVANNA </t>
  </si>
  <si>
    <t>NICOLAS ORDONEZ NORIEDA</t>
  </si>
  <si>
    <t>DARIO DAVID FABIAN HERRERA</t>
  </si>
  <si>
    <t xml:space="preserve">PIA VALENTINA TORERO MERINO </t>
  </si>
  <si>
    <t>BABY WOLF 4:30 PM</t>
  </si>
  <si>
    <t>DANIELA VERONICA TEJADA YATA</t>
  </si>
  <si>
    <t xml:space="preserve">ALMA ISABELA CASTILLO MENDOZA </t>
  </si>
  <si>
    <t>MATTEO AUGUSTO RIVAS MERINO</t>
  </si>
  <si>
    <t>SOPHIE GABRIELLE VALENTINA ALBITES QUIROZ</t>
  </si>
  <si>
    <t xml:space="preserve">GALA GUTTIERREZ FIMETTi </t>
  </si>
  <si>
    <t xml:space="preserve">SANTIAGO IGNACIO DE JESUS ROJAS CUYUBAMBA </t>
  </si>
  <si>
    <t>ANTONELLA ESPERANZA OLANO CONTRERAS</t>
  </si>
  <si>
    <t xml:space="preserve">VASCO DIAZ TAPIA </t>
  </si>
  <si>
    <t xml:space="preserve">ALBERTO HUARSUCA RAMIREZ </t>
  </si>
  <si>
    <t xml:space="preserve">ELIAS LEONARDO AISPIN CAYCHO </t>
  </si>
  <si>
    <t xml:space="preserve">MARIA FERNANDA CALDERON </t>
  </si>
  <si>
    <t xml:space="preserve">ALEXANDER ANDRE ROMERO ROJAS </t>
  </si>
  <si>
    <t xml:space="preserve">VALENTINA FLAVIA VALDIVIESZO ROMAN </t>
  </si>
  <si>
    <t>LITTLE WOLF 5:00 PM</t>
  </si>
  <si>
    <t>GAEL KHALEB ACURIO GARCIA</t>
  </si>
  <si>
    <t>LEONARDO GHAEL AGUILAR DELGADO</t>
  </si>
  <si>
    <t xml:space="preserve">JADEN BASTIEN RIOS YOMOND </t>
  </si>
  <si>
    <t xml:space="preserve">JULIAN CORNEJO SANDOVAL </t>
  </si>
  <si>
    <t xml:space="preserve">GABRIEL CORNEJO SANDOVAL </t>
  </si>
  <si>
    <t xml:space="preserve">CAMILA VALENTINA GÓMEZ GUAMAN </t>
  </si>
  <si>
    <t>LUKA SEBASTIAN PAVIC CONTRERAS</t>
  </si>
  <si>
    <t>LYAM ABRAHAM AMADEO RUIZ FERNANDEZ</t>
  </si>
  <si>
    <t>LOLA SANCHEZ PINTO</t>
  </si>
  <si>
    <t xml:space="preserve">MAURICIO STEFANO VILLANUEVA MONTAYA </t>
  </si>
  <si>
    <t xml:space="preserve">AARON RICHARD ADRIAN CANAVAL FLORIAN </t>
  </si>
  <si>
    <t>LITLLE WOLF 5:30 PM</t>
  </si>
  <si>
    <t xml:space="preserve">ANTONELLA VICTORIA ALDANA CARLOS </t>
  </si>
  <si>
    <t xml:space="preserve">MAXIMO DANIEL JAUREGUI DALAO </t>
  </si>
  <si>
    <t>RODRIGO  THIAGO HUAROTO DE LA TORRE</t>
  </si>
  <si>
    <t xml:space="preserve">JULIAN GUTTIERREZ FIMETTi </t>
  </si>
  <si>
    <t>SPERANZA ALTEA SAVOCA PONTIGGIA</t>
  </si>
  <si>
    <t>JOSE ANGEL SECO ANGULO</t>
  </si>
  <si>
    <t>EVAN DIAZ AUCCAPUCLLA</t>
  </si>
  <si>
    <t xml:space="preserve">BASTIAN ALESSIO GUTIERREZ CANCHO </t>
  </si>
  <si>
    <t>LITLLE WOLF 6:00 PM</t>
  </si>
  <si>
    <t>PIERO PAOLO NORATTO GEISER</t>
  </si>
  <si>
    <t xml:space="preserve">WILLY SALVADOR RABORG BERROCAL </t>
  </si>
  <si>
    <t>DAVE GERALD SALOME YAURI</t>
  </si>
  <si>
    <t>IAN JADIEZ LEZAMA OJANAMA</t>
  </si>
  <si>
    <t xml:space="preserve">VALERIA CELESTE MOSCOSO DEL CARIO </t>
  </si>
  <si>
    <t>MIA AITHANA ROSSELL MECCA</t>
  </si>
  <si>
    <t>JUNIOR WOLF 6:30 PM</t>
  </si>
  <si>
    <t>THIAGO RUIZ MINGA</t>
  </si>
  <si>
    <t xml:space="preserve">JOAQUIN SANTIAGO CHANGRA CASTILLO </t>
  </si>
  <si>
    <t xml:space="preserve">DYLAN VELASQUEZ MONTES </t>
  </si>
  <si>
    <t xml:space="preserve">EDUARDO FERNANDEZ VILLALAS </t>
  </si>
  <si>
    <t xml:space="preserve">ARYAM VELASQUEZ MONTES </t>
  </si>
  <si>
    <t xml:space="preserve"> WOLF 6:30 PM</t>
  </si>
  <si>
    <t>KEIRA ROMINA PABLO CUEVA</t>
  </si>
  <si>
    <t xml:space="preserve">ESTEBAN NEYRA HERENCIA </t>
  </si>
  <si>
    <t>Julio</t>
  </si>
  <si>
    <t xml:space="preserve">SUPER BABY WOLF 3:00 PM </t>
  </si>
  <si>
    <t xml:space="preserve">BABY WOLF 3:30 PM </t>
  </si>
  <si>
    <t xml:space="preserve"> BABY WOLF 4:00 PM </t>
  </si>
  <si>
    <t xml:space="preserve"> BABY WOLF 4:30 PM </t>
  </si>
  <si>
    <t>CAMILO ROSARIO</t>
  </si>
  <si>
    <t xml:space="preserve">MARCELA VICTORIA GIRALDO RAMIREZ </t>
  </si>
  <si>
    <t xml:space="preserve">LUCAS BOLAÑOS GUTIERREZ </t>
  </si>
  <si>
    <t xml:space="preserve">LITLLE WOLF 5:00 PM </t>
  </si>
  <si>
    <t>ADRIANA  ARANDA GUEVARA</t>
  </si>
  <si>
    <t xml:space="preserve">LITTLE WOLF 5:30 PM </t>
  </si>
  <si>
    <t>KEYLER AZAEL TOBAODA CORDOVA</t>
  </si>
  <si>
    <t>ZULEBY SEQUEIROS CANO</t>
  </si>
  <si>
    <t>ABRIL CANO VEGA</t>
  </si>
  <si>
    <t xml:space="preserve">LITTlE WOLF 6:00 PM </t>
  </si>
  <si>
    <t>VALENTINA ROSARIO CABRERA</t>
  </si>
  <si>
    <t>MAO VALENTINO JARA SICSHI</t>
  </si>
  <si>
    <t xml:space="preserve">JUNIOR WOLF 6:30 PM </t>
  </si>
  <si>
    <t xml:space="preserve"> WOLF 6:30 PM </t>
  </si>
  <si>
    <t>Agosto</t>
  </si>
  <si>
    <t xml:space="preserve">                                                                     </t>
  </si>
  <si>
    <t>MATHEWS MAXIMO ISMAEL PEREZ SAUÑE</t>
  </si>
  <si>
    <t>MARTIN HOLGADO PAZ</t>
  </si>
  <si>
    <t>GAEL FLORENTINO TRILLO</t>
  </si>
  <si>
    <t>SANTIAGO MEJIA CHANCO</t>
  </si>
  <si>
    <t>KIANA CHAVEZ ESPARRAGA</t>
  </si>
  <si>
    <t>MILAN BALDEON GUEVARA</t>
  </si>
  <si>
    <t>LUCAS AGUERO MESARES</t>
  </si>
  <si>
    <t xml:space="preserve">LITTLE WOLF 5:00 PM </t>
  </si>
  <si>
    <t>NOAH GONZALES ROMERO</t>
  </si>
  <si>
    <t>AURELIO TRISTAN ALEXANDRINO CHISTIANS</t>
  </si>
  <si>
    <t xml:space="preserve">LITTLE WOLF 6:00 PM </t>
  </si>
  <si>
    <t>DEREK MATEO ROMERO CARHUALLANQUI</t>
  </si>
  <si>
    <t>CAMILO DAVILA ESPINOZA</t>
  </si>
  <si>
    <t>THIAGO QUISPE FLORES</t>
  </si>
  <si>
    <t>Setiembre</t>
  </si>
  <si>
    <t>lun</t>
  </si>
  <si>
    <t>mar</t>
  </si>
  <si>
    <t>vie</t>
  </si>
  <si>
    <t>dom</t>
  </si>
  <si>
    <t>ALEJANDRO VALENCIA GARCIA</t>
  </si>
  <si>
    <t>MATIAS NICOLAS ROJAS VILLAR</t>
  </si>
  <si>
    <t>LOGAN ESTRADA OSORIO</t>
  </si>
  <si>
    <t>EMILIA FONSECA SALAZAR</t>
  </si>
  <si>
    <t>PIERO VALENTINO GONZALES NUÑEZ</t>
  </si>
  <si>
    <t xml:space="preserve">JESUS ALEJANDRO MICHILOT JULCA </t>
  </si>
  <si>
    <t>EIDRIAN FABIAN FLORES NUÑEZ</t>
  </si>
  <si>
    <t>ALANA OSHIRO MATSUFUJI</t>
  </si>
  <si>
    <t>FACUNDO VALENTINO RIOS MEDINA</t>
  </si>
  <si>
    <t>NICOLAS ANDER SANCHEZ PAUCAR</t>
  </si>
  <si>
    <t>DAVID ALONSO VELEZ FALCON</t>
  </si>
  <si>
    <t>MATEO PORRAS OJEDA</t>
  </si>
  <si>
    <t>THOMAS MATHEY GALINDO</t>
  </si>
  <si>
    <t xml:space="preserve">exa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</si>
  <si>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THIAGO ANDRE QUISPE FLORES</t>
  </si>
  <si>
    <t>SOLINO DOMINIC BERMUDEZ ALARCON</t>
  </si>
  <si>
    <t>EDU LASTRA MATA</t>
  </si>
  <si>
    <t>AMELY LAURA BERMUDEZ ALARCON</t>
  </si>
  <si>
    <t>Octubre</t>
  </si>
  <si>
    <t>LUCIANA</t>
  </si>
  <si>
    <t>JOSE JOAQUIN LEE VILLALTA</t>
  </si>
  <si>
    <t>JUAN GABRIEL LEE VILLALTA</t>
  </si>
  <si>
    <t xml:space="preserve">GABRIEL ANDRÉS CASTAÑEDA CÁCERES </t>
  </si>
  <si>
    <t>NOAH CASTILLO</t>
  </si>
  <si>
    <t>MATIAS MORENO VARGAS</t>
  </si>
  <si>
    <t>LUZ CATALINA SALINAS CARRION</t>
  </si>
  <si>
    <t>ISAU</t>
  </si>
  <si>
    <t>AITANA SOSA QUIROZ</t>
  </si>
  <si>
    <t>ALESSANDRO GALARZA CRISANTO</t>
  </si>
  <si>
    <t>MICAEL NUÑEZ MELENDEZ</t>
  </si>
  <si>
    <t>MARIANA MONTEZA VALENTIN</t>
  </si>
  <si>
    <t xml:space="preserve">PAURICK ERAZO LIMO </t>
  </si>
  <si>
    <t>DARIEL MATHIAS VALDEZ CAMPOS</t>
  </si>
  <si>
    <t xml:space="preserve">SOPHIA KAI DÁVILA GUZMÁN </t>
  </si>
  <si>
    <t xml:space="preserve">ALBA RAFAELLA MONTALVO CHIPEN </t>
  </si>
  <si>
    <t xml:space="preserve">EITHAN MATHEO POLOMINO ORIUNDO </t>
  </si>
  <si>
    <t>MARCUS GONDORI BACA</t>
  </si>
  <si>
    <t>GABRIEL MONTES DE OCA PUCUTAY</t>
  </si>
  <si>
    <t>GALIA CHAVEZ ENRIQUEZ</t>
  </si>
  <si>
    <t>MATEO DE GABRIEL</t>
  </si>
  <si>
    <t>Noviembre</t>
  </si>
  <si>
    <t xml:space="preserve">YUSEF LEONARDO TAPIA FLORES </t>
  </si>
  <si>
    <t>CATALINA SANDOVAL MENDEZ</t>
  </si>
  <si>
    <t>ADRIANA</t>
  </si>
  <si>
    <t xml:space="preserve">YUN HE DAVID ZHANG IZQUIERDO </t>
  </si>
  <si>
    <t xml:space="preserve">OLIVIA GOÑEZ SERNA </t>
  </si>
  <si>
    <t xml:space="preserve">RAFAEL ALEJANDRO LUYO ALVARADO </t>
  </si>
  <si>
    <t>SOFIA QUISPE</t>
  </si>
  <si>
    <t xml:space="preserve">SOFÍA AMAIA ALARCÓN VILCHEZ </t>
  </si>
  <si>
    <t xml:space="preserve">LUKA DEREK HUAMAN CASAS  </t>
  </si>
  <si>
    <t xml:space="preserve">SANTHIAGO AGUSTIN SILENCIO </t>
  </si>
  <si>
    <t>AIDAN LIAM ANTONIO SEGURA IBARRA</t>
  </si>
  <si>
    <t xml:space="preserve">LAIA THAIS JARA PAREDES </t>
  </si>
  <si>
    <t xml:space="preserve">MARÍA FERNANDA ELERA REY </t>
  </si>
  <si>
    <t>SEBASTIAN CONTRERAS</t>
  </si>
  <si>
    <t>SOFIA VALDERRAMA</t>
  </si>
  <si>
    <t>NAKHARY CRUZ SARMIENTO</t>
  </si>
  <si>
    <t>VASCO ÁLVAREZ CORREA</t>
  </si>
  <si>
    <t xml:space="preserve">CAMILA JARA PAREDES </t>
  </si>
  <si>
    <t>MARIA FERNANDA ANTIGUA</t>
  </si>
  <si>
    <t>ANIBAL JAEL AGUSTIN SILENCIO</t>
  </si>
  <si>
    <t>RENZO ELÍAS RODRIGO JUSTINIANO</t>
  </si>
  <si>
    <t>MATEO CASTAÑEDA</t>
  </si>
  <si>
    <t xml:space="preserve">NOMBRES DE ALUMNOS </t>
  </si>
  <si>
    <t>HORARIOS</t>
  </si>
  <si>
    <t xml:space="preserve">ANNIA VALENTINA OCHOA PIZZINO </t>
  </si>
  <si>
    <t xml:space="preserve">MARTES Y JUEVES </t>
  </si>
  <si>
    <t xml:space="preserve">PROGRAMA </t>
  </si>
  <si>
    <t xml:space="preserve">LUNES A VIERNES </t>
  </si>
  <si>
    <t xml:space="preserve">SABADO </t>
  </si>
  <si>
    <t xml:space="preserve">VARIACION </t>
  </si>
  <si>
    <t>mega super baby</t>
  </si>
  <si>
    <t>super baby</t>
  </si>
  <si>
    <t>10:00 am</t>
  </si>
  <si>
    <t xml:space="preserve">baby wolf </t>
  </si>
  <si>
    <t>10:30 am</t>
  </si>
  <si>
    <t xml:space="preserve">11:00 am </t>
  </si>
  <si>
    <t xml:space="preserve">litlle wolf </t>
  </si>
  <si>
    <t>junior wolf</t>
  </si>
  <si>
    <t xml:space="preserve">6:30/1:30 PM </t>
  </si>
  <si>
    <t xml:space="preserve">adolecentes wolf </t>
  </si>
  <si>
    <t xml:space="preserve">wolf </t>
  </si>
  <si>
    <t xml:space="preserve">KAI VEHARA HAMADA </t>
  </si>
  <si>
    <t>EDUARDO ANDRE AQUINO PEREJRIN</t>
  </si>
  <si>
    <t>DANIELA ALEXANDRA CABELLO LEÓN</t>
  </si>
  <si>
    <t xml:space="preserve">ADRIANO  MANUEL RIVERA ARIZA </t>
  </si>
  <si>
    <t>GABRIEL PATRICK RUBIANES RIVERA</t>
  </si>
  <si>
    <t xml:space="preserve">LIAM AKBERTO HUARSUCA RAMIREZ </t>
  </si>
  <si>
    <t>CAMILO GAEL DAVILA ESPINOZA</t>
  </si>
  <si>
    <t>DEHLÉ JOAQUIM SALAS MORALES</t>
  </si>
  <si>
    <t xml:space="preserve">ALBA CAYETANA YEPEZ VELIZ </t>
  </si>
  <si>
    <t xml:space="preserve">MÌA VICTORIA BARINOTTO ZAVALETA </t>
  </si>
  <si>
    <t>VASCO ALEJANDRO QUEVEDO OROZ</t>
  </si>
  <si>
    <t>Julen Ezequiel goran ramirez maquera</t>
  </si>
  <si>
    <t>MATHIAS RODOLFO CARDENAS SULCARAY</t>
  </si>
  <si>
    <t>AITANA POLO MERCADO</t>
  </si>
  <si>
    <t>SANTIAGO FERNÁNDEZ DÍAZ</t>
  </si>
  <si>
    <t>HARRY LANDEO LUCAS</t>
  </si>
  <si>
    <t>ORLANDO GABRIEL BOCANEGRA RIVASPLATA</t>
  </si>
  <si>
    <t>ISAAC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</si>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</sst>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;0;"/>
    <numFmt numFmtId="165" formatCode="h:mm am/pm"/>
    <numFmt numFmtId="166" formatCode="d/M/yyyy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rgb="FF4B180E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rgb="FF521A11"/>
      <name val="Calibri"/>
    </font>
    <font>
      <b/>
      <sz val="18.0"/>
      <color rgb="FF7B271A"/>
      <name val="Calibri"/>
    </font>
    <font>
      <color theme="1"/>
      <name val="Calibri"/>
    </font>
    <font>
      <sz val="9.0"/>
      <color rgb="FF008000"/>
      <name val="Arial"/>
    </font>
    <font>
      <sz val="11.0"/>
      <color rgb="FF000000"/>
      <name val="Calibri"/>
    </font>
    <font>
      <sz val="11.0"/>
      <color rgb="FF4B180E"/>
      <name val="Calibri"/>
    </font>
    <font>
      <sz val="48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D6DFBE"/>
        <bgColor rgb="FFD6DFBE"/>
      </patternFill>
    </fill>
    <fill>
      <patternFill patternType="solid">
        <fgColor rgb="FFDE7565"/>
        <bgColor rgb="FFDE7565"/>
      </patternFill>
    </fill>
    <fill>
      <patternFill patternType="solid">
        <fgColor rgb="FFF1F2E8"/>
        <bgColor rgb="FFF1F2E8"/>
      </patternFill>
    </fill>
    <fill>
      <patternFill patternType="solid">
        <fgColor rgb="FFF4CCAC"/>
        <bgColor rgb="FFF4CCAC"/>
      </patternFill>
    </fill>
    <fill>
      <patternFill patternType="solid">
        <fgColor rgb="FFC2CF9D"/>
        <bgColor rgb="FFC2CF9D"/>
      </patternFill>
    </fill>
    <fill>
      <patternFill patternType="solid">
        <fgColor rgb="FFFFE084"/>
        <bgColor rgb="FFFFE084"/>
      </patternFill>
    </fill>
    <fill>
      <patternFill patternType="solid">
        <fgColor rgb="FFB8C1DF"/>
        <bgColor rgb="FFB8C1DF"/>
      </patternFill>
    </fill>
    <fill>
      <patternFill patternType="solid">
        <fgColor rgb="FFFFE599"/>
        <bgColor rgb="FFFFE599"/>
      </patternFill>
    </fill>
    <fill>
      <patternFill patternType="solid">
        <fgColor rgb="FFF2F2F2"/>
        <bgColor rgb="FFF2F2F2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  <fill>
      <patternFill patternType="solid">
        <fgColor rgb="FFEAEFDE"/>
        <bgColor rgb="FFEAEFDE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4B180E"/>
        <bgColor rgb="FF4B180E"/>
      </patternFill>
    </fill>
    <fill>
      <patternFill patternType="solid">
        <fgColor theme="9"/>
        <bgColor theme="9"/>
      </patternFill>
    </fill>
    <fill>
      <patternFill patternType="solid">
        <fgColor rgb="FFC2C79C"/>
        <bgColor rgb="FFC2C79C"/>
      </patternFill>
    </fill>
    <fill>
      <patternFill patternType="solid">
        <fgColor rgb="FFFF9900"/>
        <bgColor rgb="FFFF99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bottom/>
    </border>
    <border>
      <bottom/>
    </border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</border>
    <border>
      <left/>
      <right/>
      <top/>
      <bottom style="thin">
        <color rgb="FFD8D8D8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right" vertical="center"/>
    </xf>
    <xf borderId="4" fillId="3" fontId="5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7" fontId="5" numFmtId="164" xfId="0" applyAlignment="1" applyBorder="1" applyFill="1" applyFont="1" applyNumberFormat="1">
      <alignment horizontal="center" vertical="center"/>
    </xf>
    <xf borderId="4" fillId="8" fontId="5" numFmtId="16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bottom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9" fontId="8" numFmtId="0" xfId="0" applyAlignment="1" applyFill="1" applyFont="1">
      <alignment horizontal="left" vertical="center"/>
    </xf>
    <xf borderId="0" fillId="9" fontId="1" numFmtId="0" xfId="0" applyAlignment="1" applyFont="1">
      <alignment horizontal="left" vertical="center"/>
    </xf>
    <xf borderId="0" fillId="9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5" fillId="4" fontId="7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left" vertical="center"/>
    </xf>
    <xf borderId="5" fillId="4" fontId="7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horizontal="center" vertical="center"/>
    </xf>
    <xf borderId="8" fillId="9" fontId="1" numFmtId="0" xfId="0" applyAlignment="1" applyBorder="1" applyFont="1">
      <alignment horizontal="left" vertical="center"/>
    </xf>
    <xf borderId="0" fillId="7" fontId="1" numFmtId="0" xfId="0" applyAlignment="1" applyFont="1">
      <alignment horizontal="center" vertical="center"/>
    </xf>
    <xf borderId="0" fillId="10" fontId="1" numFmtId="0" xfId="0" applyAlignment="1" applyFill="1" applyFont="1">
      <alignment horizontal="left" vertical="center"/>
    </xf>
    <xf borderId="0" fillId="0" fontId="1" numFmtId="1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8" fillId="4" fontId="7" numFmtId="0" xfId="0" applyAlignment="1" applyBorder="1" applyFont="1">
      <alignment horizontal="center" readingOrder="0" vertical="center"/>
    </xf>
    <xf borderId="0" fillId="11" fontId="1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12" fontId="9" numFmtId="0" xfId="0" applyAlignment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10" fontId="1" numFmtId="0" xfId="0" applyAlignment="1" applyFont="1">
      <alignment horizontal="left" shrinkToFit="0" vertical="center" wrapText="1"/>
    </xf>
    <xf borderId="0" fillId="10" fontId="1" numFmtId="0" xfId="0" applyAlignment="1" applyFont="1">
      <alignment horizontal="left" vertical="center"/>
    </xf>
    <xf borderId="0" fillId="6" fontId="1" numFmtId="0" xfId="0" applyAlignment="1" applyFont="1">
      <alignment horizontal="left" vertical="center"/>
    </xf>
    <xf borderId="0" fillId="10" fontId="1" numFmtId="0" xfId="0" applyAlignment="1" applyFont="1">
      <alignment horizontal="left" readingOrder="0" shrinkToFit="0" vertical="center" wrapText="1"/>
    </xf>
    <xf borderId="4" fillId="13" fontId="5" numFmtId="0" xfId="0" applyAlignment="1" applyBorder="1" applyFill="1" applyFont="1">
      <alignment horizontal="center" readingOrder="0" vertical="center"/>
    </xf>
    <xf borderId="8" fillId="4" fontId="7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0" fillId="14" fontId="1" numFmtId="0" xfId="0" applyAlignment="1" applyFill="1" applyFont="1">
      <alignment horizontal="left" vertical="center"/>
    </xf>
    <xf borderId="8" fillId="14" fontId="1" numFmtId="0" xfId="0" applyAlignment="1" applyBorder="1" applyFont="1">
      <alignment horizontal="left" vertical="center"/>
    </xf>
    <xf borderId="0" fillId="14" fontId="1" numFmtId="0" xfId="0" applyAlignment="1" applyFont="1">
      <alignment horizontal="center" vertical="center"/>
    </xf>
    <xf borderId="0" fillId="10" fontId="1" numFmtId="0" xfId="0" applyAlignment="1" applyFont="1">
      <alignment horizontal="left" readingOrder="0" vertical="center"/>
    </xf>
    <xf borderId="0" fillId="10" fontId="1" numFmtId="0" xfId="0" applyAlignment="1" applyFont="1">
      <alignment horizontal="left" vertical="center"/>
    </xf>
    <xf borderId="0" fillId="10" fontId="1" numFmtId="1" xfId="0" applyAlignment="1" applyFont="1" applyNumberFormat="1">
      <alignment horizontal="center" vertical="center"/>
    </xf>
    <xf borderId="0" fillId="15" fontId="1" numFmtId="0" xfId="0" applyAlignment="1" applyFill="1" applyFont="1">
      <alignment horizontal="left" readingOrder="0" vertical="center"/>
    </xf>
    <xf borderId="0" fillId="15" fontId="1" numFmtId="0" xfId="0" applyAlignment="1" applyFont="1">
      <alignment horizontal="left" vertical="center"/>
    </xf>
    <xf borderId="0" fillId="16" fontId="9" numFmtId="0" xfId="0" applyAlignment="1" applyFill="1" applyFont="1">
      <alignment horizontal="left" vertical="center"/>
    </xf>
    <xf borderId="0" fillId="16" fontId="1" numFmtId="164" xfId="0" applyAlignment="1" applyFont="1" applyNumberFormat="1">
      <alignment horizontal="left" vertical="center"/>
    </xf>
    <xf borderId="0" fillId="16" fontId="1" numFmtId="164" xfId="0" applyAlignment="1" applyFont="1" applyNumberFormat="1">
      <alignment horizontal="left" readingOrder="0" vertical="center"/>
    </xf>
    <xf borderId="0" fillId="16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9" fontId="1" numFmtId="0" xfId="0" applyAlignment="1" applyFont="1">
      <alignment horizontal="left" vertical="center"/>
    </xf>
    <xf borderId="8" fillId="9" fontId="1" numFmtId="0" xfId="0" applyAlignment="1" applyBorder="1" applyFont="1">
      <alignment horizontal="left" vertical="center"/>
    </xf>
    <xf borderId="0" fillId="9" fontId="1" numFmtId="0" xfId="0" applyAlignment="1" applyFont="1">
      <alignment horizontal="center" vertical="center"/>
    </xf>
    <xf borderId="0" fillId="15" fontId="1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top"/>
    </xf>
    <xf borderId="8" fillId="2" fontId="5" numFmtId="0" xfId="0" applyAlignment="1" applyBorder="1" applyFont="1">
      <alignment horizontal="right" vertical="center"/>
    </xf>
    <xf borderId="8" fillId="3" fontId="5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8" fillId="5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 vertical="center"/>
    </xf>
    <xf borderId="8" fillId="7" fontId="5" numFmtId="164" xfId="0" applyAlignment="1" applyBorder="1" applyFont="1" applyNumberFormat="1">
      <alignment horizontal="center" vertical="center"/>
    </xf>
    <xf borderId="8" fillId="8" fontId="5" numFmtId="164" xfId="0" applyAlignment="1" applyBorder="1" applyFont="1" applyNumberFormat="1">
      <alignment horizontal="center" vertical="center"/>
    </xf>
    <xf borderId="9" fillId="4" fontId="7" numFmtId="0" xfId="0" applyAlignment="1" applyBorder="1" applyFont="1">
      <alignment horizontal="center" readingOrder="0" vertical="center"/>
    </xf>
    <xf borderId="0" fillId="11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4" fillId="6" fontId="5" numFmtId="0" xfId="0" applyAlignment="1" applyBorder="1" applyFont="1">
      <alignment horizontal="center" readingOrder="0" vertical="center"/>
    </xf>
    <xf borderId="0" fillId="17" fontId="1" numFmtId="164" xfId="0" applyAlignment="1" applyFill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top"/>
    </xf>
    <xf borderId="4" fillId="17" fontId="5" numFmtId="0" xfId="0" applyAlignment="1" applyBorder="1" applyFont="1">
      <alignment horizontal="center" vertical="center"/>
    </xf>
    <xf borderId="0" fillId="17" fontId="1" numFmtId="0" xfId="0" applyAlignment="1" applyFont="1">
      <alignment horizontal="center" vertical="center"/>
    </xf>
    <xf borderId="0" fillId="9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left" readingOrder="0" shrinkToFit="0" vertical="center" wrapText="1"/>
    </xf>
    <xf borderId="0" fillId="6" fontId="5" numFmtId="0" xfId="0" applyAlignment="1" applyFont="1">
      <alignment horizontal="center" readingOrder="0" vertical="center"/>
    </xf>
    <xf borderId="0" fillId="6" fontId="5" numFmtId="0" xfId="0" applyAlignment="1" applyFont="1">
      <alignment horizontal="center" vertical="center"/>
    </xf>
    <xf borderId="0" fillId="6" fontId="5" numFmtId="0" xfId="0" applyAlignment="1" applyFont="1">
      <alignment horizontal="center" readingOrder="0" vertical="center"/>
    </xf>
    <xf borderId="0" fillId="9" fontId="11" numFmtId="0" xfId="0" applyAlignment="1" applyFont="1">
      <alignment horizontal="center" vertical="center"/>
    </xf>
    <xf borderId="0" fillId="11" fontId="1" numFmtId="0" xfId="0" applyAlignment="1" applyFont="1">
      <alignment horizontal="center" vertical="center"/>
    </xf>
    <xf borderId="0" fillId="9" fontId="11" numFmtId="0" xfId="0" applyAlignment="1" applyFont="1">
      <alignment horizontal="center" vertical="center"/>
    </xf>
    <xf borderId="0" fillId="16" fontId="1" numFmtId="0" xfId="0" applyAlignment="1" applyFont="1">
      <alignment horizontal="left" vertical="center"/>
    </xf>
    <xf borderId="8" fillId="6" fontId="5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center" readingOrder="0" vertical="center"/>
    </xf>
    <xf borderId="0" fillId="18" fontId="4" numFmtId="0" xfId="0" applyAlignment="1" applyFill="1" applyFont="1">
      <alignment horizontal="left" vertical="center"/>
    </xf>
    <xf borderId="8" fillId="18" fontId="1" numFmtId="0" xfId="0" applyAlignment="1" applyBorder="1" applyFont="1">
      <alignment horizontal="left" vertical="center"/>
    </xf>
    <xf borderId="0" fillId="18" fontId="1" numFmtId="0" xfId="0" applyAlignment="1" applyFont="1">
      <alignment horizontal="center" vertical="center"/>
    </xf>
    <xf borderId="0" fillId="10" fontId="1" numFmtId="1" xfId="0" applyAlignment="1" applyFont="1" applyNumberFormat="1">
      <alignment horizontal="left" vertical="center"/>
    </xf>
    <xf borderId="8" fillId="15" fontId="1" numFmtId="0" xfId="0" applyAlignment="1" applyBorder="1" applyFont="1">
      <alignment horizontal="left" vertical="center"/>
    </xf>
    <xf borderId="0" fillId="15" fontId="1" numFmtId="1" xfId="0" applyAlignment="1" applyFont="1" applyNumberFormat="1">
      <alignment horizontal="left" vertical="center"/>
    </xf>
    <xf borderId="8" fillId="10" fontId="1" numFmtId="0" xfId="0" applyAlignment="1" applyBorder="1" applyFont="1">
      <alignment horizontal="left" vertical="center"/>
    </xf>
    <xf borderId="0" fillId="6" fontId="5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9" fontId="4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6" fontId="5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19" fontId="8" numFmtId="0" xfId="0" applyAlignment="1" applyFill="1" applyFont="1">
      <alignment horizontal="left" vertical="center"/>
    </xf>
    <xf borderId="11" fillId="19" fontId="1" numFmtId="0" xfId="0" applyAlignment="1" applyBorder="1" applyFont="1">
      <alignment horizontal="left" vertical="center"/>
    </xf>
    <xf borderId="0" fillId="19" fontId="1" numFmtId="0" xfId="0" applyAlignment="1" applyFont="1">
      <alignment horizontal="center" vertical="center"/>
    </xf>
    <xf borderId="12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0" fillId="19" fontId="1" numFmtId="0" xfId="0" applyAlignment="1" applyFont="1">
      <alignment horizontal="left" vertical="center"/>
    </xf>
    <xf borderId="11" fillId="19" fontId="1" numFmtId="0" xfId="0" applyAlignment="1" applyBorder="1" applyFont="1">
      <alignment horizontal="left" vertical="center"/>
    </xf>
    <xf borderId="0" fillId="19" fontId="1" numFmtId="0" xfId="0" applyAlignment="1" applyFont="1">
      <alignment horizontal="center" vertical="center"/>
    </xf>
    <xf borderId="12" fillId="10" fontId="1" numFmtId="0" xfId="0" applyAlignment="1" applyBorder="1" applyFont="1">
      <alignment horizontal="left" readingOrder="0" vertical="center"/>
    </xf>
    <xf borderId="12" fillId="15" fontId="1" numFmtId="0" xfId="0" applyAlignment="1" applyBorder="1" applyFont="1">
      <alignment horizontal="left" readingOrder="0" vertical="center"/>
    </xf>
    <xf borderId="12" fillId="10" fontId="1" numFmtId="0" xfId="0" applyAlignment="1" applyBorder="1" applyFont="1">
      <alignment horizontal="left" vertical="center"/>
    </xf>
    <xf borderId="12" fillId="15" fontId="1" numFmtId="0" xfId="0" applyAlignment="1" applyBorder="1" applyFont="1">
      <alignment horizontal="left" vertical="center"/>
    </xf>
    <xf borderId="0" fillId="15" fontId="1" numFmtId="0" xfId="0" applyAlignment="1" applyFont="1">
      <alignment horizontal="left" vertical="center"/>
    </xf>
    <xf borderId="0" fillId="15" fontId="1" numFmtId="164" xfId="0" applyAlignment="1" applyFont="1" applyNumberFormat="1">
      <alignment horizontal="center" vertical="center"/>
    </xf>
    <xf borderId="12" fillId="10" fontId="1" numFmtId="0" xfId="0" applyAlignment="1" applyBorder="1" applyFont="1">
      <alignment horizontal="left" readingOrder="0" shrinkToFit="0" vertical="center" wrapText="1"/>
    </xf>
    <xf borderId="0" fillId="10" fontId="1" numFmtId="0" xfId="0" applyAlignment="1" applyFont="1">
      <alignment horizontal="center" vertical="center"/>
    </xf>
    <xf borderId="0" fillId="10" fontId="1" numFmtId="1" xfId="0" applyAlignment="1" applyFont="1" applyNumberFormat="1">
      <alignment horizontal="center" vertical="center"/>
    </xf>
    <xf borderId="12" fillId="15" fontId="1" numFmtId="0" xfId="0" applyAlignment="1" applyBorder="1" applyFont="1">
      <alignment horizontal="left" readingOrder="0" shrinkToFit="0" vertical="center" wrapText="1"/>
    </xf>
    <xf borderId="0" fillId="15" fontId="1" numFmtId="0" xfId="0" applyAlignment="1" applyFont="1">
      <alignment horizontal="center" vertical="center"/>
    </xf>
    <xf borderId="0" fillId="15" fontId="1" numFmtId="1" xfId="0" applyAlignment="1" applyFont="1" applyNumberFormat="1">
      <alignment horizontal="center" vertical="center"/>
    </xf>
    <xf borderId="0" fillId="15" fontId="1" numFmtId="0" xfId="0" applyAlignment="1" applyFont="1">
      <alignment horizontal="left" readingOrder="0" shrinkToFit="0" vertical="center" wrapText="1"/>
    </xf>
    <xf borderId="0" fillId="10" fontId="1" numFmtId="0" xfId="0" applyAlignment="1" applyFont="1">
      <alignment horizontal="left" shrinkToFit="0" vertical="center" wrapText="1"/>
    </xf>
    <xf borderId="10" fillId="15" fontId="3" numFmtId="0" xfId="0" applyAlignment="1" applyBorder="1" applyFont="1">
      <alignment horizontal="left" vertical="center"/>
    </xf>
    <xf borderId="0" fillId="10" fontId="1" numFmtId="0" xfId="0" applyAlignment="1" applyFont="1">
      <alignment horizontal="left" readingOrder="0" shrinkToFit="0" vertical="center" wrapText="1"/>
    </xf>
    <xf borderId="0" fillId="10" fontId="1" numFmtId="164" xfId="0" applyAlignment="1" applyFont="1" applyNumberFormat="1">
      <alignment horizontal="center" vertical="center"/>
    </xf>
    <xf borderId="0" fillId="10" fontId="1" numFmtId="0" xfId="0" applyAlignment="1" applyFont="1">
      <alignment horizontal="left" vertical="center"/>
    </xf>
    <xf borderId="10" fillId="10" fontId="3" numFmtId="0" xfId="0" applyAlignment="1" applyBorder="1" applyFont="1">
      <alignment horizontal="left" vertical="center"/>
    </xf>
    <xf borderId="0" fillId="16" fontId="1" numFmtId="1" xfId="0" applyAlignment="1" applyFont="1" applyNumberFormat="1">
      <alignment horizontal="center" vertical="center"/>
    </xf>
    <xf borderId="0" fillId="15" fontId="1" numFmtId="0" xfId="0" applyAlignment="1" applyFont="1">
      <alignment horizontal="left" readingOrder="0" shrinkToFit="0" vertical="center" wrapText="1"/>
    </xf>
    <xf borderId="0" fillId="15" fontId="1" numFmtId="0" xfId="0" applyAlignment="1" applyFont="1">
      <alignment horizontal="center" vertical="center"/>
    </xf>
    <xf borderId="0" fillId="20" fontId="1" numFmtId="1" xfId="0" applyAlignment="1" applyFill="1" applyFont="1" applyNumberFormat="1">
      <alignment horizontal="center" vertical="center"/>
    </xf>
    <xf borderId="0" fillId="10" fontId="1" numFmtId="1" xfId="0" applyAlignment="1" applyFont="1" applyNumberFormat="1">
      <alignment horizontal="center" readingOrder="0" vertical="center"/>
    </xf>
    <xf borderId="0" fillId="15" fontId="1" numFmtId="1" xfId="0" applyAlignment="1" applyFont="1" applyNumberForma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10" fontId="1" numFmtId="0" xfId="0" applyAlignment="1" applyFont="1">
      <alignment horizontal="center" vertical="center"/>
    </xf>
    <xf borderId="8" fillId="15" fontId="5" numFmtId="0" xfId="0" applyAlignment="1" applyBorder="1" applyFont="1">
      <alignment horizontal="center" vertical="center"/>
    </xf>
    <xf borderId="8" fillId="10" fontId="5" numFmtId="0" xfId="0" applyAlignment="1" applyBorder="1" applyFont="1">
      <alignment horizontal="center" vertical="center"/>
    </xf>
    <xf borderId="12" fillId="15" fontId="1" numFmtId="0" xfId="0" applyAlignment="1" applyBorder="1" applyFont="1">
      <alignment horizontal="left" shrinkToFit="0" vertical="center" wrapText="1"/>
    </xf>
    <xf borderId="0" fillId="16" fontId="1" numFmtId="164" xfId="0" applyAlignment="1" applyFont="1" applyNumberFormat="1">
      <alignment horizontal="center" vertical="center"/>
    </xf>
    <xf borderId="0" fillId="10" fontId="4" numFmtId="0" xfId="0" applyAlignment="1" applyFont="1">
      <alignment horizontal="left" vertical="center"/>
    </xf>
    <xf borderId="8" fillId="10" fontId="7" numFmtId="0" xfId="0" applyAlignment="1" applyBorder="1" applyFont="1">
      <alignment horizontal="center" vertical="center"/>
    </xf>
    <xf borderId="9" fillId="10" fontId="7" numFmtId="0" xfId="0" applyAlignment="1" applyBorder="1" applyFont="1">
      <alignment horizontal="center" vertical="center"/>
    </xf>
    <xf borderId="8" fillId="10" fontId="1" numFmtId="0" xfId="0" applyAlignment="1" applyBorder="1" applyFont="1">
      <alignment horizontal="left" vertical="center"/>
    </xf>
    <xf borderId="0" fillId="9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2" fillId="15" fontId="1" numFmtId="0" xfId="0" applyAlignment="1" applyBorder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 vertical="center"/>
    </xf>
    <xf borderId="0" fillId="15" fontId="1" numFmtId="0" xfId="0" applyAlignment="1" applyFont="1">
      <alignment horizontal="center" readingOrder="0" vertical="center"/>
    </xf>
    <xf borderId="0" fillId="10" fontId="1" numFmtId="164" xfId="0" applyAlignment="1" applyFont="1" applyNumberFormat="1">
      <alignment horizontal="center" readingOrder="0" vertical="center"/>
    </xf>
    <xf borderId="0" fillId="19" fontId="1" numFmtId="0" xfId="0" applyAlignment="1" applyFont="1">
      <alignment horizontal="center" readingOrder="0" vertical="center"/>
    </xf>
    <xf borderId="0" fillId="21" fontId="1" numFmtId="0" xfId="0" applyAlignment="1" applyFill="1" applyFont="1">
      <alignment horizontal="center" vertical="center"/>
    </xf>
    <xf borderId="0" fillId="21" fontId="4" numFmtId="0" xfId="0" applyAlignment="1" applyFont="1">
      <alignment horizontal="left" vertical="center"/>
    </xf>
    <xf borderId="12" fillId="21" fontId="1" numFmtId="0" xfId="0" applyAlignment="1" applyBorder="1" applyFont="1">
      <alignment horizontal="left" readingOrder="0" shrinkToFit="0" vertical="center" wrapText="1"/>
    </xf>
    <xf borderId="0" fillId="21" fontId="1" numFmtId="164" xfId="0" applyAlignment="1" applyFont="1" applyNumberFormat="1">
      <alignment horizontal="center" vertical="center"/>
    </xf>
    <xf borderId="0" fillId="21" fontId="1" numFmtId="1" xfId="0" applyAlignment="1" applyFont="1" applyNumberFormat="1">
      <alignment horizontal="center" vertical="center"/>
    </xf>
    <xf borderId="0" fillId="17" fontId="10" numFmtId="164" xfId="0" applyAlignment="1" applyFont="1" applyNumberFormat="1">
      <alignment horizontal="center" vertical="center"/>
    </xf>
    <xf borderId="0" fillId="10" fontId="7" numFmtId="0" xfId="0" applyAlignment="1" applyFont="1">
      <alignment horizontal="center" vertical="center"/>
    </xf>
    <xf borderId="0" fillId="10" fontId="7" numFmtId="0" xfId="0" applyAlignment="1" applyFont="1">
      <alignment horizontal="center" readingOrder="0" vertical="center"/>
    </xf>
    <xf borderId="4" fillId="22" fontId="5" numFmtId="0" xfId="0" applyAlignment="1" applyBorder="1" applyFill="1" applyFont="1">
      <alignment horizontal="center" vertical="center"/>
    </xf>
    <xf borderId="0" fillId="15" fontId="1" numFmtId="0" xfId="0" applyAlignment="1" applyFont="1">
      <alignment horizontal="center" vertical="center"/>
    </xf>
    <xf borderId="0" fillId="19" fontId="1" numFmtId="164" xfId="0" applyAlignment="1" applyFont="1" applyNumberFormat="1">
      <alignment horizontal="center" vertical="center"/>
    </xf>
    <xf borderId="0" fillId="12" fontId="4" numFmtId="0" xfId="0" applyAlignment="1" applyFont="1">
      <alignment horizontal="left" vertical="center"/>
    </xf>
    <xf borderId="4" fillId="10" fontId="5" numFmtId="0" xfId="0" applyAlignment="1" applyBorder="1" applyFont="1">
      <alignment horizontal="center" vertical="center"/>
    </xf>
    <xf borderId="4" fillId="18" fontId="8" numFmtId="0" xfId="0" applyAlignment="1" applyBorder="1" applyFont="1">
      <alignment horizontal="left" vertical="center"/>
    </xf>
    <xf borderId="0" fillId="18" fontId="8" numFmtId="0" xfId="0" applyAlignment="1" applyFont="1">
      <alignment horizontal="left" readingOrder="0" vertical="center"/>
    </xf>
    <xf borderId="0" fillId="20" fontId="8" numFmtId="0" xfId="0" applyAlignment="1" applyFont="1">
      <alignment horizontal="left" readingOrder="0" vertical="center"/>
    </xf>
    <xf borderId="13" fillId="4" fontId="1" numFmtId="0" xfId="0" applyAlignment="1" applyBorder="1" applyFont="1">
      <alignment horizontal="left" vertical="center"/>
    </xf>
    <xf borderId="4" fillId="10" fontId="1" numFmtId="0" xfId="0" applyAlignment="1" applyBorder="1" applyFont="1">
      <alignment horizontal="left" vertical="bottom"/>
    </xf>
    <xf borderId="4" fillId="10" fontId="4" numFmtId="0" xfId="0" applyAlignment="1" applyBorder="1" applyFont="1">
      <alignment horizontal="left" readingOrder="0" vertical="center"/>
    </xf>
    <xf borderId="0" fillId="10" fontId="12" numFmtId="0" xfId="0" applyAlignment="1" applyFont="1">
      <alignment horizontal="center" readingOrder="0" textRotation="180" vertical="center"/>
    </xf>
    <xf borderId="0" fillId="10" fontId="4" numFmtId="0" xfId="0" applyAlignment="1" applyFont="1">
      <alignment horizontal="left" readingOrder="0" vertical="center"/>
    </xf>
    <xf borderId="4" fillId="15" fontId="1" numFmtId="0" xfId="0" applyAlignment="1" applyBorder="1" applyFont="1">
      <alignment horizontal="left" vertical="bottom"/>
    </xf>
    <xf borderId="4" fillId="15" fontId="4" numFmtId="0" xfId="0" applyAlignment="1" applyBorder="1" applyFont="1">
      <alignment horizontal="left" readingOrder="0" vertical="center"/>
    </xf>
    <xf borderId="0" fillId="15" fontId="4" numFmtId="0" xfId="0" applyAlignment="1" applyFont="1">
      <alignment horizontal="left" readingOrder="0" vertical="center"/>
    </xf>
    <xf borderId="4" fillId="18" fontId="4" numFmtId="0" xfId="0" applyAlignment="1" applyBorder="1" applyFont="1">
      <alignment horizontal="left" readingOrder="0" vertical="center"/>
    </xf>
    <xf borderId="4" fillId="18" fontId="4" numFmtId="0" xfId="0" applyAlignment="1" applyBorder="1" applyFont="1">
      <alignment horizontal="left" readingOrder="0" vertical="center"/>
    </xf>
    <xf borderId="4" fillId="18" fontId="4" numFmtId="165" xfId="0" applyAlignment="1" applyBorder="1" applyFont="1" applyNumberFormat="1">
      <alignment horizontal="left" readingOrder="0" vertical="center"/>
    </xf>
    <xf borderId="4" fillId="18" fontId="4" numFmtId="0" xfId="0" applyAlignment="1" applyBorder="1" applyFont="1">
      <alignment horizontal="left" vertical="center"/>
    </xf>
    <xf borderId="4" fillId="15" fontId="1" numFmtId="0" xfId="0" applyAlignment="1" applyBorder="1" applyFont="1">
      <alignment horizontal="left" readingOrder="0" vertical="bottom"/>
    </xf>
    <xf borderId="0" fillId="15" fontId="1" numFmtId="0" xfId="0" applyAlignment="1" applyFont="1">
      <alignment horizontal="left" readingOrder="0" vertical="bottom"/>
    </xf>
    <xf borderId="4" fillId="18" fontId="4" numFmtId="20" xfId="0" applyAlignment="1" applyBorder="1" applyFont="1" applyNumberFormat="1">
      <alignment horizontal="left" readingOrder="0" vertical="center"/>
    </xf>
    <xf borderId="4" fillId="10" fontId="1" numFmtId="0" xfId="0" applyAlignment="1" applyBorder="1" applyFont="1">
      <alignment horizontal="left" readingOrder="0" vertical="bottom"/>
    </xf>
    <xf borderId="0" fillId="10" fontId="1" numFmtId="0" xfId="0" applyAlignment="1" applyFont="1">
      <alignment horizontal="left" readingOrder="0" vertical="bottom"/>
    </xf>
    <xf borderId="4" fillId="15" fontId="1" numFmtId="0" xfId="0" applyAlignment="1" applyBorder="1" applyFont="1">
      <alignment horizontal="left" shrinkToFit="0" vertical="center" wrapText="1"/>
    </xf>
    <xf borderId="14" fillId="15" fontId="4" numFmtId="0" xfId="0" applyAlignment="1" applyBorder="1" applyFont="1">
      <alignment horizontal="left" readingOrder="0" vertical="center"/>
    </xf>
    <xf borderId="3" fillId="15" fontId="1" numFmtId="0" xfId="0" applyAlignment="1" applyBorder="1" applyFont="1">
      <alignment horizontal="left" vertical="bottom"/>
    </xf>
    <xf borderId="0" fillId="0" fontId="4" numFmtId="165" xfId="0" applyAlignment="1" applyFont="1" applyNumberFormat="1">
      <alignment horizontal="left" readingOrder="0" vertical="center"/>
    </xf>
    <xf borderId="14" fillId="10" fontId="1" numFmtId="0" xfId="0" applyAlignment="1" applyBorder="1" applyFont="1">
      <alignment horizontal="left" readingOrder="0" vertical="bottom"/>
    </xf>
    <xf borderId="0" fillId="0" fontId="4" numFmtId="20" xfId="0" applyAlignment="1" applyFont="1" applyNumberFormat="1">
      <alignment horizontal="left" readingOrder="0" vertical="center"/>
    </xf>
    <xf borderId="0" fillId="10" fontId="1" numFmtId="18" xfId="0" applyAlignment="1" applyFont="1" applyNumberFormat="1">
      <alignment horizontal="center" readingOrder="0" textRotation="180" vertical="bottom"/>
    </xf>
    <xf borderId="3" fillId="10" fontId="1" numFmtId="0" xfId="0" applyAlignment="1" applyBorder="1" applyFont="1">
      <alignment horizontal="left" vertical="bottom"/>
    </xf>
    <xf borderId="14" fillId="15" fontId="1" numFmtId="0" xfId="0" applyAlignment="1" applyBorder="1" applyFont="1">
      <alignment horizontal="left" readingOrder="0" shrinkToFit="0" vertical="center" wrapText="1"/>
    </xf>
    <xf borderId="0" fillId="15" fontId="1" numFmtId="0" xfId="0" applyAlignment="1" applyFont="1">
      <alignment horizontal="left" readingOrder="0" shrinkToFit="0" vertical="center" wrapText="1"/>
    </xf>
    <xf borderId="14" fillId="15" fontId="1" numFmtId="0" xfId="0" applyAlignment="1" applyBorder="1" applyFont="1">
      <alignment horizontal="left" readingOrder="0" vertical="bottom"/>
    </xf>
    <xf borderId="0" fillId="15" fontId="1" numFmtId="18" xfId="0" applyAlignment="1" applyFont="1" applyNumberFormat="1">
      <alignment horizontal="center" readingOrder="0" textRotation="180" vertical="bottom"/>
    </xf>
    <xf borderId="0" fillId="15" fontId="1" numFmtId="0" xfId="0" applyAlignment="1" applyFont="1">
      <alignment horizontal="left" readingOrder="0" vertical="bottom"/>
    </xf>
    <xf borderId="0" fillId="15" fontId="1" numFmtId="0" xfId="0" applyAlignment="1" applyFont="1">
      <alignment horizontal="left" readingOrder="0" vertical="bottom"/>
    </xf>
    <xf borderId="0" fillId="1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166" xfId="0" applyAlignment="1" applyFont="1" applyNumberFormat="1">
      <alignment horizontal="left" vertical="bottom"/>
    </xf>
    <xf borderId="4" fillId="10" fontId="1" numFmtId="0" xfId="0" applyAlignment="1" applyBorder="1" applyFont="1">
      <alignment horizontal="left" readingOrder="0" vertical="center"/>
    </xf>
    <xf borderId="4" fillId="10" fontId="1" numFmtId="0" xfId="0" applyAlignment="1" applyBorder="1" applyFont="1">
      <alignment horizontal="left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0" fillId="10" fontId="1" numFmtId="0" xfId="0" applyAlignment="1" applyFont="1">
      <alignment horizontal="left" readingOrder="0" shrinkToFit="0" vertical="center" wrapText="1"/>
    </xf>
    <xf borderId="4" fillId="15" fontId="1" numFmtId="0" xfId="0" applyAlignment="1" applyBorder="1" applyFont="1">
      <alignment horizontal="left" readingOrder="0" shrinkToFit="0" vertical="center" wrapText="1"/>
    </xf>
    <xf borderId="1" fillId="15" fontId="1" numFmtId="0" xfId="0" applyAlignment="1" applyBorder="1" applyFont="1">
      <alignment horizontal="left" readingOrder="0" shrinkToFit="0" vertical="center" wrapText="1"/>
    </xf>
    <xf borderId="1" fillId="10" fontId="1" numFmtId="0" xfId="0" applyAlignment="1" applyBorder="1" applyFont="1">
      <alignment horizontal="left" readingOrder="0" vertical="bottom"/>
    </xf>
    <xf borderId="0" fillId="10" fontId="1" numFmtId="0" xfId="0" applyAlignment="1" applyFont="1">
      <alignment horizontal="left" vertical="bottom"/>
    </xf>
    <xf borderId="1" fillId="15" fontId="1" numFmtId="0" xfId="0" applyAlignment="1" applyBorder="1" applyFont="1">
      <alignment horizontal="left" readingOrder="0" vertical="center"/>
    </xf>
    <xf borderId="0" fillId="15" fontId="1" numFmtId="0" xfId="0" applyAlignment="1" applyFont="1">
      <alignment horizontal="left" vertical="bottom"/>
    </xf>
    <xf borderId="1" fillId="15" fontId="1" numFmtId="0" xfId="0" applyAlignment="1" applyBorder="1" applyFont="1">
      <alignment horizontal="left" readingOrder="0" vertical="bottom"/>
    </xf>
    <xf borderId="4" fillId="15" fontId="1" numFmtId="0" xfId="0" applyAlignment="1" applyBorder="1" applyFont="1">
      <alignment horizontal="left" readingOrder="0" vertical="center"/>
    </xf>
    <xf borderId="0" fillId="15" fontId="1" numFmtId="0" xfId="0" applyAlignment="1" applyFont="1">
      <alignment horizontal="left" readingOrder="0" vertical="center"/>
    </xf>
    <xf borderId="4" fillId="15" fontId="1" numFmtId="0" xfId="0" applyAlignment="1" applyBorder="1" applyFont="1">
      <alignment horizontal="left" readingOrder="0" vertical="center"/>
    </xf>
    <xf borderId="4" fillId="10" fontId="1" numFmtId="0" xfId="0" applyAlignment="1" applyBorder="1" applyFont="1">
      <alignment horizontal="left" vertical="bottom"/>
    </xf>
    <xf borderId="4" fillId="15" fontId="1" numFmtId="0" xfId="0" applyAlignment="1" applyBorder="1" applyFont="1">
      <alignment horizontal="left" vertical="bottom"/>
    </xf>
    <xf borderId="4" fillId="10" fontId="1" numFmtId="0" xfId="0" applyAlignment="1" applyBorder="1" applyFont="1">
      <alignment horizontal="left" shrinkToFit="0" vertical="center" wrapText="1"/>
    </xf>
    <xf borderId="0" fillId="10" fontId="1" numFmtId="0" xfId="0" applyAlignment="1" applyFont="1">
      <alignment horizontal="left" shrinkToFit="0" vertical="center" wrapText="1"/>
    </xf>
    <xf borderId="4" fillId="15" fontId="1" numFmtId="0" xfId="0" applyAlignment="1" applyBorder="1" applyFont="1">
      <alignment horizontal="left" shrinkToFit="0" vertical="center" wrapText="1"/>
    </xf>
    <xf borderId="0" fillId="15" fontId="1" numFmtId="0" xfId="0" applyAlignment="1" applyFont="1">
      <alignment horizontal="left" shrinkToFit="0" vertical="center" wrapText="1"/>
    </xf>
    <xf borderId="4" fillId="15" fontId="1" numFmtId="0" xfId="0" applyAlignment="1" applyBorder="1" applyFont="1">
      <alignment horizontal="left" shrinkToFit="0" vertical="center" wrapText="1"/>
    </xf>
    <xf borderId="4" fillId="10" fontId="1" numFmtId="0" xfId="0" applyAlignment="1" applyBorder="1" applyFont="1">
      <alignment horizontal="left" shrinkToFit="0" vertical="center" wrapText="1"/>
    </xf>
    <xf borderId="0" fillId="15" fontId="1" numFmtId="0" xfId="0" applyAlignment="1" applyFont="1">
      <alignment horizontal="left" readingOrder="0" vertical="center"/>
    </xf>
    <xf borderId="0" fillId="10" fontId="1" numFmtId="0" xfId="0" applyAlignment="1" applyFont="1">
      <alignment horizontal="left" readingOrder="0" vertical="center"/>
    </xf>
    <xf borderId="0" fillId="23" fontId="1" numFmtId="0" xfId="0" applyAlignment="1" applyFill="1" applyFont="1">
      <alignment horizontal="center" vertical="center"/>
    </xf>
    <xf borderId="0" fillId="23" fontId="1" numFmtId="164" xfId="0" applyAlignment="1" applyFont="1" applyNumberFormat="1">
      <alignment horizontal="center" vertical="center"/>
    </xf>
    <xf borderId="0" fillId="15" fontId="5" numFmtId="0" xfId="0" applyAlignment="1" applyFont="1">
      <alignment horizontal="center" vertical="center"/>
    </xf>
    <xf borderId="0" fillId="10" fontId="5" numFmtId="0" xfId="0" applyAlignment="1" applyFont="1">
      <alignment horizontal="center" vertical="center"/>
    </xf>
    <xf borderId="0" fillId="21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B180E"/>
          <bgColor rgb="FF4B180E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EAEFDE"/>
          <bgColor rgb="FFEAEFD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97">
    <tableStyle count="4" pivot="0" name="Ener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Agosto-style 2">
      <tableStyleElement dxfId="2" type="firstRowStripe"/>
      <tableStyleElement dxfId="3" type="secondRowStripe"/>
      <tableStyleElement dxfId="4" type="totalRow"/>
    </tableStyle>
    <tableStyle count="4" pivot="0" name="Agost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Setiembre-style 2">
      <tableStyleElement dxfId="2" type="firstRowStripe"/>
      <tableStyleElement dxfId="3" type="secondRowStripe"/>
      <tableStyleElement dxfId="4" type="totalRow"/>
    </tableStyle>
    <tableStyle count="4" pivot="0" name="Setiem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Octubre-style 2">
      <tableStyleElement dxfId="2" type="firstRowStripe"/>
      <tableStyleElement dxfId="3" type="secondRowStripe"/>
      <tableStyleElement dxfId="4" type="totalRow"/>
    </tableStyle>
    <tableStyle count="4" pivot="0" name="Octu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Noviembre-style 2">
      <tableStyleElement dxfId="2" type="firstRowStripe"/>
      <tableStyleElement dxfId="3" type="secondRowStripe"/>
      <tableStyleElement dxfId="4" type="totalRow"/>
    </tableStyle>
    <tableStyle count="4" pivot="0" name="Noviem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Diciembre-style 2">
      <tableStyleElement dxfId="2" type="firstRowStripe"/>
      <tableStyleElement dxfId="3" type="secondRowStripe"/>
      <tableStyleElement dxfId="4" type="totalRow"/>
    </tableStyle>
    <tableStyle count="4" pivot="0" name="Diciem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6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6:AH9" displayName="Table_1" name="Table_1" id="1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totalsRowFunction="custom" name="4" id="5"/>
    <tableColumn totalsRowFunction="custom"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totalsRowFunction="custom"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totalsRowFunction="custom"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name="Número total de días" id="33"/>
  </tableColumns>
  <tableStyleInfo name="Enero-style" showColumnStripes="0" showFirstColumn="1" showLastColumn="1" showRowStripes="1"/>
</table>
</file>

<file path=xl/tables/table2.xml><?xml version="1.0" encoding="utf-8"?>
<table xmlns="http://schemas.openxmlformats.org/spreadsheetml/2006/main" totalsRowCount="1" ref="B13:AH22" displayName="Table_2" name="Table_2" id="2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totalsRowFunction="custom" name="5" id="6"/>
    <tableColumn totalsRowFunction="custom" name="6" id="7"/>
    <tableColumn totalsRowLabel="3" name="7" id="8"/>
    <tableColumn totalsRowFunction="custom" name="8" id="9"/>
    <tableColumn totalsRowLabel="3" name="9" id="10"/>
    <tableColumn totalsRowFunction="custom" name="10" id="11"/>
    <tableColumn totalsRowLabel="3" name="11" id="12"/>
    <tableColumn totalsRowFunction="custom" name="12" id="13"/>
    <tableColumn totalsRowFunction="custom" name="13" id="14"/>
    <tableColumn totalsRowLabel="4" name="14" id="15"/>
    <tableColumn totalsRowFunction="custom" name="15" id="16"/>
    <tableColumn totalsRowLabel="4" name="16" id="17"/>
    <tableColumn totalsRowFunction="custom" name="17" id="18"/>
    <tableColumn totalsRowLabel="2" name="18" id="19"/>
    <tableColumn totalsRowFunction="custom" name="19" id="20"/>
    <tableColumn name="20" id="21"/>
    <tableColumn totalsRowLabel="6" name="21" id="22"/>
    <tableColumn totalsRowFunction="custom" name="22" id="23"/>
    <tableColumn totalsRowLabel="3" name="23" id="24"/>
    <tableColumn totalsRowFunction="custom" name="24" id="25"/>
    <tableColumn totalsRowLabel="1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2" showColumnStripes="0" showFirstColumn="1" showLastColumn="1" showRowStripes="1"/>
</table>
</file>

<file path=xl/tables/table3.xml><?xml version="1.0" encoding="utf-8"?>
<table xmlns="http://schemas.openxmlformats.org/spreadsheetml/2006/main" totalsRowCount="1" ref="B27:AH43" displayName="Table_3" name="Table_3" id="3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totalsRowFunction="custom" name="5" id="6"/>
    <tableColumn totalsRowFunction="custom" name="6" id="7"/>
    <tableColumn totalsRowLabel="6" name="7" id="8"/>
    <tableColumn totalsRowLabel="3" name="8" id="9"/>
    <tableColumn totalsRowLabel="6" name="9" id="10"/>
    <tableColumn totalsRowLabel="4" name="10" id="11"/>
    <tableColumn totalsRowLabel="4" name="11" id="12"/>
    <tableColumn totalsRowFunction="custom" name="12" id="13"/>
    <tableColumn totalsRowLabel="2" name="13" id="14"/>
    <tableColumn totalsRowLabel="8" name="14" id="15"/>
    <tableColumn totalsRowLabel="1" name="15" id="16"/>
    <tableColumn totalsRowLabel="5" name="16" id="17"/>
    <tableColumn totalsRowLabel="5" name="17" id="18"/>
    <tableColumn totalsRowLabel="5" name="18" id="19"/>
    <tableColumn totalsRowFunction="custom" name="19" id="20"/>
    <tableColumn totalsRowLabel="2" name="20" id="21"/>
    <tableColumn totalsRowLabel="6" name="21" id="22"/>
    <tableColumn totalsRowLabel="1" name="22" id="23"/>
    <tableColumn totalsRowLabel="5" name="23" id="24"/>
    <tableColumn totalsRowLabel="3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3" showColumnStripes="0" showFirstColumn="1" showLastColumn="1" showRowStripes="1"/>
</table>
</file>

<file path=xl/tables/table4.xml><?xml version="1.0" encoding="utf-8"?>
<table xmlns="http://schemas.openxmlformats.org/spreadsheetml/2006/main" totalsRowCount="1" ref="B47:AH75" displayName="Table_4" name="Table_4" id="4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totalsRowFunction="custom" name="5" id="6"/>
    <tableColumn totalsRowFunction="custom" name="6" id="7"/>
    <tableColumn totalsRowLabel="10" name="7" id="8"/>
    <tableColumn totalsRowLabel="7" name="8" id="9"/>
    <tableColumn totalsRowLabel="10" name="9" id="10"/>
    <tableColumn totalsRowLabel="7" name="10" id="11"/>
    <tableColumn totalsRowLabel="4" name="11" id="12"/>
    <tableColumn totalsRowFunction="custom" name="12" id="13"/>
    <tableColumn totalsRowLabel="3" name="13" id="14"/>
    <tableColumn totalsRowLabel="11" name="14" id="15"/>
    <tableColumn totalsRowLabel="4" name="15" id="16"/>
    <tableColumn totalsRowLabel="10" name="16" id="17"/>
    <tableColumn totalsRowLabel="3" name="17" id="18"/>
    <tableColumn totalsRowLabel="3" name="18" id="19"/>
    <tableColumn totalsRowFunction="custom" name="19" id="20"/>
    <tableColumn totalsRowLabel="6" name="20" id="21"/>
    <tableColumn totalsRowLabel="7" name="21" id="22"/>
    <tableColumn totalsRowLabel="6" name="22" id="23"/>
    <tableColumn totalsRowLabel="9" name="23" id="24"/>
    <tableColumn totalsRowLabel="3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4" showColumnStripes="0" showFirstColumn="1" showLastColumn="1" showRowStripes="1"/>
</table>
</file>

<file path=xl/tables/table5.xml><?xml version="1.0" encoding="utf-8"?>
<table xmlns="http://schemas.openxmlformats.org/spreadsheetml/2006/main" totalsRowCount="1" ref="B79:AH101" displayName="Table_5" name="Table_5" id="5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Label="7" name="7" id="8"/>
    <tableColumn totalsRowLabel="2" name="8" id="9"/>
    <tableColumn totalsRowLabel="6" name="9" id="10"/>
    <tableColumn totalsRowLabel="2" name="10" id="11"/>
    <tableColumn totalsRowLabel="3" name="11" id="12"/>
    <tableColumn totalsRowFunction="custom" name="12" id="13"/>
    <tableColumn totalsRowLabel="2" name="13" id="14"/>
    <tableColumn totalsRowLabel="5" name="14" id="15"/>
    <tableColumn totalsRowLabel="3" name="15" id="16"/>
    <tableColumn totalsRowLabel="6" name="16" id="17"/>
    <tableColumn totalsRowLabel="6" name="17" id="18"/>
    <tableColumn totalsRowLabel="7" name="18" id="19"/>
    <tableColumn totalsRowFunction="custom" name="19" id="20"/>
    <tableColumn totalsRowLabel="3" name="20" id="21"/>
    <tableColumn totalsRowLabel="6" name="21" id="22"/>
    <tableColumn totalsRowLabel="3" name="22" id="23"/>
    <tableColumn totalsRowLabel="4" name="23" id="24"/>
    <tableColumn totalsRowLabel="6" name="24" id="25"/>
    <tableColumn totalsRowLabel="5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5" showColumnStripes="0" showFirstColumn="1" showLastColumn="1" showRowStripes="1"/>
</table>
</file>

<file path=xl/tables/table6.xml><?xml version="1.0" encoding="utf-8"?>
<table xmlns="http://schemas.openxmlformats.org/spreadsheetml/2006/main" totalsRowCount="1" ref="B105:AH116" displayName="Table_6" name="Table_6" id="6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Label="6" name="7" id="8"/>
    <tableColumn totalsRowLabel="3" name="8" id="9"/>
    <tableColumn totalsRowLabel="6" name="9" id="10"/>
    <tableColumn totalsRowLabel="5" name="10" id="11"/>
    <tableColumn totalsRowLabel="1" name="11" id="12"/>
    <tableColumn totalsRowFunction="custom" name="12" id="13"/>
    <tableColumn totalsRowLabel="6" name="13" id="14"/>
    <tableColumn totalsRowLabel="6" name="14" id="15"/>
    <tableColumn totalsRowLabel="3" name="15" id="16"/>
    <tableColumn totalsRowLabel="5" name="16" id="17"/>
    <tableColumn totalsRowLabel="3" name="17" id="18"/>
    <tableColumn totalsRowLabel="1" name="18" id="19"/>
    <tableColumn totalsRowFunction="custom" name="19" id="20"/>
    <tableColumn totalsRowLabel="3" name="20" id="21"/>
    <tableColumn totalsRowLabel="5" name="21" id="22"/>
    <tableColumn totalsRowLabel="4" name="22" id="23"/>
    <tableColumn totalsRowFunction="custom" name="23" id="24"/>
    <tableColumn totalsRowLabel="2" name="24" id="25"/>
    <tableColumn totalsRowLabel="2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6" showColumnStripes="0" showFirstColumn="1" showLastColumn="1" showRowStripes="1"/>
</table>
</file>

<file path=xl/tables/table7.xml><?xml version="1.0" encoding="utf-8"?>
<table xmlns="http://schemas.openxmlformats.org/spreadsheetml/2006/main" totalsRowCount="1" ref="B120:AH126" displayName="Table_7" name="Table_7" id="7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Label="4" name="7" id="8"/>
    <tableColumn totalsRowFunction="custom" name="8" id="9"/>
    <tableColumn totalsRowLabel="3" name="9" id="10"/>
    <tableColumn totalsRowFunction="custom" name="10" id="11"/>
    <tableColumn totalsRowLabel="2" name="11" id="12"/>
    <tableColumn totalsRowFunction="custom" name="12" id="13"/>
    <tableColumn totalsRowLabel="1" name="13" id="14"/>
    <tableColumn totalsRowLabel="3" name="14" id="15"/>
    <tableColumn totalsRowLabel="1" name="15" id="16"/>
    <tableColumn totalsRowLabel="3" name="16" id="17"/>
    <tableColumn totalsRowLabel="1" name="17" id="18"/>
    <tableColumn totalsRowLabel="2" name="18" id="19"/>
    <tableColumn totalsRowFunction="custom" name="19" id="20"/>
    <tableColumn name="20" id="21"/>
    <tableColumn totalsRowLabel="4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7" showColumnStripes="0" showFirstColumn="1" showLastColumn="1" showRowStripes="1"/>
</table>
</file>

<file path=xl/tables/table8.xml><?xml version="1.0" encoding="utf-8"?>
<table xmlns="http://schemas.openxmlformats.org/spreadsheetml/2006/main" totalsRowCount="1" ref="B130:AH136" displayName="Table_8" name="Table_8" id="8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Function="custom" name="7" id="8"/>
    <tableColumn totalsRowLabel="3" name="8" id="9"/>
    <tableColumn totalsRowFunction="custom" name="9" id="10"/>
    <tableColumn totalsRowLabel="2" name="10" id="11"/>
    <tableColumn totalsRowLabel="1" name="11" id="12"/>
    <tableColumn totalsRowFunction="custom" name="12" id="13"/>
    <tableColumn totalsRowLabel="3" name="13" id="14"/>
    <tableColumn totalsRowFunction="custom" name="14" id="15"/>
    <tableColumn totalsRowLabel="5" name="15" id="16"/>
    <tableColumn totalsRowFunction="custom" name="16" id="17"/>
    <tableColumn totalsRowLabel="2" name="17" id="18"/>
    <tableColumn totalsRowLabel="2" name="18" id="19"/>
    <tableColumn totalsRowFunction="custom" name="19" id="20"/>
    <tableColumn totalsRowLabel="1" name="20" id="21"/>
    <tableColumn totalsRowFunction="custom" name="21" id="22"/>
    <tableColumn totalsRowLabel="3" name="22" id="23"/>
    <tableColumn totalsRowFunction="custom" name="23" id="24"/>
    <tableColumn totalsRowLabel="2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name="Número total de días" id="33"/>
  </tableColumns>
  <tableStyleInfo name="Enero-style 8" showColumnStripes="0" showFirstColumn="1" showLastColumn="1" showRowStripes="1"/>
</table>
</file>

<file path=xl/tables/table9.xml><?xml version="1.0" encoding="utf-8"?>
<table xmlns="http://schemas.openxmlformats.org/spreadsheetml/2006/main" totalsRowCount="1" ref="B140:AH146" displayName="Table_9" name="Table_9" id="9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name="Número total de días" id="33"/>
  </tableColumns>
  <tableStyleInfo name="Enero-style 9" showColumnStripes="0" showFirstColumn="1" showLastColumn="1" showRowStripes="1"/>
</table>
</file>

<file path=xl/tables/table10.xml><?xml version="1.0" encoding="utf-8"?>
<table xmlns="http://schemas.openxmlformats.org/spreadsheetml/2006/main" totalsRowCount="1" ref="B150:AH156" displayName="Table_10" name="Table_10" id="10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10" showColumnStripes="0" showFirstColumn="1" showLastColumn="1" showRowStripes="1"/>
</table>
</file>

<file path=xl/tables/table11.xml><?xml version="1.0" encoding="utf-8"?>
<table xmlns="http://schemas.openxmlformats.org/spreadsheetml/2006/main" totalsRowCount="1" ref="B6:AH16" displayName="Table_11" name="Table_11" id="11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" showColumnStripes="0" showFirstColumn="1" showLastColumn="1" showRowStripes="1"/>
</table>
</file>

<file path=xl/tables/table12.xml><?xml version="1.0" encoding="utf-8"?>
<table xmlns="http://schemas.openxmlformats.org/spreadsheetml/2006/main" totalsRowCount="1" ref="B20:AH30" displayName="Table_12" name="Table_12" id="12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2" showColumnStripes="0" showFirstColumn="1" showLastColumn="1" showRowStripes="1"/>
</table>
</file>

<file path=xl/tables/table13.xml><?xml version="1.0" encoding="utf-8"?>
<table xmlns="http://schemas.openxmlformats.org/spreadsheetml/2006/main" totalsRowCount="1" ref="B34:AH51" displayName="Table_13" name="Table_13" id="13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3" showColumnStripes="0" showFirstColumn="1" showLastColumn="1" showRowStripes="1"/>
</table>
</file>

<file path=xl/tables/table14.xml><?xml version="1.0" encoding="utf-8"?>
<table xmlns="http://schemas.openxmlformats.org/spreadsheetml/2006/main" totalsRowCount="1" ref="B55:AH75" displayName="Table_14" name="Table_14" id="14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4" showColumnStripes="0" showFirstColumn="1" showLastColumn="1" showRowStripes="1"/>
</table>
</file>

<file path=xl/tables/table15.xml><?xml version="1.0" encoding="utf-8"?>
<table xmlns="http://schemas.openxmlformats.org/spreadsheetml/2006/main" totalsRowCount="1" ref="B79:AH101" displayName="Table_15" name="Table_15" id="15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5" showColumnStripes="0" showFirstColumn="1" showLastColumn="1" showRowStripes="1"/>
</table>
</file>

<file path=xl/tables/table16.xml><?xml version="1.0" encoding="utf-8"?>
<table xmlns="http://schemas.openxmlformats.org/spreadsheetml/2006/main" totalsRowCount="1" ref="B105:AH120" displayName="Table_16" name="Table_16" id="16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6" showColumnStripes="0" showFirstColumn="1" showLastColumn="1" showRowStripes="1"/>
</table>
</file>

<file path=xl/tables/table17.xml><?xml version="1.0" encoding="utf-8"?>
<table xmlns="http://schemas.openxmlformats.org/spreadsheetml/2006/main" totalsRowCount="1" ref="B124:AH134" displayName="Table_17" name="Table_17" id="17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7" showColumnStripes="0" showFirstColumn="1" showLastColumn="1" showRowStripes="1"/>
</table>
</file>

<file path=xl/tables/table18.xml><?xml version="1.0" encoding="utf-8"?>
<table xmlns="http://schemas.openxmlformats.org/spreadsheetml/2006/main" totalsRowCount="1" ref="B138:AH148" displayName="Table_18" name="Table_18" id="18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8" showColumnStripes="0" showFirstColumn="1" showLastColumn="1" showRowStripes="1"/>
</table>
</file>

<file path=xl/tables/table19.xml><?xml version="1.0" encoding="utf-8"?>
<table xmlns="http://schemas.openxmlformats.org/spreadsheetml/2006/main" totalsRowCount="1" ref="B152:AH162" displayName="Table_19" name="Table_19" id="19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9" showColumnStripes="0" showFirstColumn="1" showLastColumn="1" showRowStripes="1"/>
</table>
</file>

<file path=xl/tables/table20.xml><?xml version="1.0" encoding="utf-8"?>
<table xmlns="http://schemas.openxmlformats.org/spreadsheetml/2006/main" totalsRowCount="1" ref="B166:AH176" displayName="Table_20" name="Table_20" id="20">
  <tableColumns count="33">
    <tableColumn totalsRowFunction="custom" name="NOMBRE Y APELLIDO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Número total de días" id="33"/>
  </tableColumns>
  <tableStyleInfo name="Febrero-style 10" showColumnStripes="0" showFirstColumn="1" showLastColumn="1" showRowStripes="1"/>
</table>
</file>

<file path=xl/tables/table21.xml><?xml version="1.0" encoding="utf-8"?>
<table xmlns="http://schemas.openxmlformats.org/spreadsheetml/2006/main" totalsRowCount="1" ref="B6:AH16" displayName="Table_21" name="Table_21" id="21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rzo-style" showColumnStripes="0" showFirstColumn="1" showLastColumn="1" showRowStripes="1"/>
</table>
</file>

<file path=xl/tables/table22.xml><?xml version="1.0" encoding="utf-8"?>
<table xmlns="http://schemas.openxmlformats.org/spreadsheetml/2006/main" totalsRowCount="1" ref="B20:AH31" displayName="Table_22" name="Table_22" id="22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rzo-style 2" showColumnStripes="0" showFirstColumn="1" showLastColumn="1" showRowStripes="1"/>
</table>
</file>

<file path=xl/tables/table23.xml><?xml version="1.0" encoding="utf-8"?>
<table xmlns="http://schemas.openxmlformats.org/spreadsheetml/2006/main" totalsRowCount="1" ref="B35:AH51" displayName="Table_23" name="Table_23" id="23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rzo-style 3" showColumnStripes="0" showFirstColumn="1" showLastColumn="1" showRowStripes="1"/>
</table>
</file>

<file path=xl/tables/table24.xml><?xml version="1.0" encoding="utf-8"?>
<table xmlns="http://schemas.openxmlformats.org/spreadsheetml/2006/main" totalsRowCount="1" ref="B55:AH77" displayName="Table_24" name="Table_24" id="24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rzo-style 4" showColumnStripes="0" showFirstColumn="1" showLastColumn="1" showRowStripes="1"/>
</table>
</file>

<file path=xl/tables/table25.xml><?xml version="1.0" encoding="utf-8"?>
<table xmlns="http://schemas.openxmlformats.org/spreadsheetml/2006/main" totalsRowCount="1" headerRowCount="0" ref="B81:AH106" displayName="Table_25" name="Table_25" id="25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totalsRowCount="1" headerRowCount="0" ref="B110:AH120" displayName="Table_26" name="Table_26" id="26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totalsRowCount="1" headerRowCount="0" ref="B124:AH134" displayName="Table_27" name="Table_27" id="27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totalsRowCount="1" headerRowCount="0" ref="B138:AH148" displayName="Table_28" name="Table_28" id="28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totalsRowCount="1" ref="B152:AG162" displayName="Table_29" name="Table_29" id="29">
  <tableColumns count="32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</tableColumns>
  <tableStyleInfo name="Marzo-style 9" showColumnStripes="0" showFirstColumn="1" showLastColumn="1" showRowStripes="1"/>
</table>
</file>

<file path=xl/tables/table30.xml><?xml version="1.0" encoding="utf-8"?>
<table xmlns="http://schemas.openxmlformats.org/spreadsheetml/2006/main" totalsRowCount="1" ref="B6:AH19" displayName="Table_30" name="Table_30" id="30">
  <tableColumns count="33">
    <tableColumn totalsRowFunction="custom" name="ALUMNOS 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totalsRowFunction="custom" name="Total de días" id="33"/>
  </tableColumns>
  <tableStyleInfo name="Abril-style" showColumnStripes="0" showFirstColumn="1" showLastColumn="1" showRowStripes="1"/>
</table>
</file>

<file path=xl/tables/table31.xml><?xml version="1.0" encoding="utf-8"?>
<table xmlns="http://schemas.openxmlformats.org/spreadsheetml/2006/main" totalsRowCount="1" headerRowCount="0" ref="B23:AH36" displayName="Table_31" name="Table_31" id="31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i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totalsRowCount="1" headerRowCount="0" ref="B40:AH57" displayName="Table_32" name="Table_32" id="32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i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totalsRowCount="1" headerRowCount="0" ref="B61:AH79" displayName="Table_33" name="Table_33" id="33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i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totalsRowCount="1" headerRowCount="0" ref="B83:AH104" displayName="Table_34" name="Table_34" id="34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il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totalsRowCount="1" headerRowCount="0" ref="B108:AH121" displayName="Table_35" name="Table_35" id="35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il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totalsRowCount="1" ref="B125:AG138" displayName="Table_36" name="Table_36" id="36">
  <tableColumns count="32">
    <tableColumn totalsRowFunction="custom" name="ALUMNOS 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</tableColumns>
  <tableStyleInfo name="Abril-style 7" showColumnStripes="0" showFirstColumn="1" showLastColumn="1" showRowStripes="1"/>
</table>
</file>

<file path=xl/tables/table37.xml><?xml version="1.0" encoding="utf-8"?>
<table xmlns="http://schemas.openxmlformats.org/spreadsheetml/2006/main" totalsRowCount="1" headerRowCount="0" ref="B142:AH155" displayName="Table_37" name="Table_37" id="37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il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totalsRowCount="1" ref="B159:AG172" displayName="Table_38" name="Table_38" id="38">
  <tableColumns count="32">
    <tableColumn totalsRowFunction="custom" name="ALUMNOS 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</tableColumns>
  <tableStyleInfo name="Abril-style 9" showColumnStripes="0" showFirstColumn="1" showLastColumn="1" showRowStripes="1"/>
</table>
</file>

<file path=xl/tables/table39.xml><?xml version="1.0" encoding="utf-8"?>
<table xmlns="http://schemas.openxmlformats.org/spreadsheetml/2006/main" totalsRowCount="1" ref="B176:AG189" displayName="Table_39" name="Table_39" id="39">
  <tableColumns count="32">
    <tableColumn totalsRowFunction="custom" name="ALUMNOS 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</tableColumns>
  <tableStyleInfo name="Abril-style 10" showColumnStripes="0" showFirstColumn="1" showLastColumn="1" showRowStripes="1"/>
</table>
</file>

<file path=xl/tables/table40.xml><?xml version="1.0" encoding="utf-8"?>
<table xmlns="http://schemas.openxmlformats.org/spreadsheetml/2006/main" totalsRowCount="1" ref="B6:AH16" displayName="Table_40" name="Table_40" id="40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" showColumnStripes="0" showFirstColumn="1" showLastColumn="1" showRowStripes="1"/>
</table>
</file>

<file path=xl/tables/table41.xml><?xml version="1.0" encoding="utf-8"?>
<table xmlns="http://schemas.openxmlformats.org/spreadsheetml/2006/main" totalsRowCount="1" ref="B20:AH30" displayName="Table_41" name="Table_41" id="41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2" showColumnStripes="0" showFirstColumn="1" showLastColumn="1" showRowStripes="1"/>
</table>
</file>

<file path=xl/tables/table42.xml><?xml version="1.0" encoding="utf-8"?>
<table xmlns="http://schemas.openxmlformats.org/spreadsheetml/2006/main" totalsRowCount="1" ref="B34:AH49" displayName="Table_42" name="Table_42" id="42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3" showColumnStripes="0" showFirstColumn="1" showLastColumn="1" showRowStripes="1"/>
</table>
</file>

<file path=xl/tables/table43.xml><?xml version="1.0" encoding="utf-8"?>
<table xmlns="http://schemas.openxmlformats.org/spreadsheetml/2006/main" totalsRowCount="1" ref="B53:AH74" displayName="Table_43" name="Table_43" id="43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4" showColumnStripes="0" showFirstColumn="1" showLastColumn="1" showRowStripes="1"/>
</table>
</file>

<file path=xl/tables/table44.xml><?xml version="1.0" encoding="utf-8"?>
<table xmlns="http://schemas.openxmlformats.org/spreadsheetml/2006/main" totalsRowCount="1" ref="B78:AH95" displayName="Table_44" name="Table_44" id="44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5" showColumnStripes="0" showFirstColumn="1" showLastColumn="1" showRowStripes="1"/>
</table>
</file>

<file path=xl/tables/table45.xml><?xml version="1.0" encoding="utf-8"?>
<table xmlns="http://schemas.openxmlformats.org/spreadsheetml/2006/main" totalsRowCount="1" ref="B99:AH114" displayName="Table_45" name="Table_45" id="45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6" showColumnStripes="0" showFirstColumn="1" showLastColumn="1" showRowStripes="1"/>
</table>
</file>

<file path=xl/tables/table46.xml><?xml version="1.0" encoding="utf-8"?>
<table xmlns="http://schemas.openxmlformats.org/spreadsheetml/2006/main" totalsRowCount="1" ref="B118:AH129" displayName="Table_46" name="Table_46" id="46">
  <tableColumns count="33">
    <tableColumn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totalsRowLabel=" "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Mayo-style 7" showColumnStripes="0" showFirstColumn="1" showLastColumn="1" showRowStripes="1"/>
</table>
</file>

<file path=xl/tables/table47.xml><?xml version="1.0" encoding="utf-8"?>
<table xmlns="http://schemas.openxmlformats.org/spreadsheetml/2006/main" totalsRowCount="1" ref="B132:AH142" displayName="Table_47" name="Table_47" id="47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8" showColumnStripes="0" showFirstColumn="1" showLastColumn="1" showRowStripes="1"/>
</table>
</file>

<file path=xl/tables/table48.xml><?xml version="1.0" encoding="utf-8"?>
<table xmlns="http://schemas.openxmlformats.org/spreadsheetml/2006/main" totalsRowCount="1" ref="B146:AH156" displayName="Table_48" name="Table_48" id="48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9" showColumnStripes="0" showFirstColumn="1" showLastColumn="1" showRowStripes="1"/>
</table>
</file>

<file path=xl/tables/table49.xml><?xml version="1.0" encoding="utf-8"?>
<table xmlns="http://schemas.openxmlformats.org/spreadsheetml/2006/main" totalsRowCount="1" ref="B160:AH170" displayName="Table_49" name="Table_49" id="49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Número total de días" id="33"/>
  </tableColumns>
  <tableStyleInfo name="Mayo-style 10" showColumnStripes="0" showFirstColumn="1" showLastColumn="1" showRowStripes="1"/>
</table>
</file>

<file path=xl/tables/table50.xml><?xml version="1.0" encoding="utf-8"?>
<table xmlns="http://schemas.openxmlformats.org/spreadsheetml/2006/main" totalsRowCount="1" ref="B6:AH10" displayName="Table_50" name="Table_50" id="50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" showColumnStripes="0" showFirstColumn="1" showLastColumn="1" showRowStripes="1"/>
</table>
</file>

<file path=xl/tables/table51.xml><?xml version="1.0" encoding="utf-8"?>
<table xmlns="http://schemas.openxmlformats.org/spreadsheetml/2006/main" totalsRowCount="1" ref="B14:AH34" displayName="Table_51" name="Table_51" id="51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2" showColumnStripes="0" showFirstColumn="1" showLastColumn="1" showRowStripes="1"/>
</table>
</file>

<file path=xl/tables/table52.xml><?xml version="1.0" encoding="utf-8"?>
<table xmlns="http://schemas.openxmlformats.org/spreadsheetml/2006/main" totalsRowCount="1" ref="B38:AH52" displayName="Table_52" name="Table_52" id="52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3" showColumnStripes="0" showFirstColumn="1" showLastColumn="1" showRowStripes="1"/>
</table>
</file>

<file path=xl/tables/table53.xml><?xml version="1.0" encoding="utf-8"?>
<table xmlns="http://schemas.openxmlformats.org/spreadsheetml/2006/main" totalsRowCount="1" ref="B56:AH78" displayName="Table_53" name="Table_53" id="53">
  <tableColumns count="33">
    <tableColumn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totalsRowLabel=" "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4" showColumnStripes="0" showFirstColumn="1" showLastColumn="1" showRowStripes="1"/>
</table>
</file>

<file path=xl/tables/table54.xml><?xml version="1.0" encoding="utf-8"?>
<table xmlns="http://schemas.openxmlformats.org/spreadsheetml/2006/main" totalsRowCount="1" ref="B81:AH101" displayName="Table_54" name="Table_54" id="54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5" showColumnStripes="0" showFirstColumn="1" showLastColumn="1" showRowStripes="1"/>
</table>
</file>

<file path=xl/tables/table55.xml><?xml version="1.0" encoding="utf-8"?>
<table xmlns="http://schemas.openxmlformats.org/spreadsheetml/2006/main" totalsRowCount="1" ref="B105:AH120" displayName="Table_55" name="Table_55" id="55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6" showColumnStripes="0" showFirstColumn="1" showLastColumn="1" showRowStripes="1"/>
</table>
</file>

<file path=xl/tables/table56.xml><?xml version="1.0" encoding="utf-8"?>
<table xmlns="http://schemas.openxmlformats.org/spreadsheetml/2006/main" totalsRowCount="1" ref="B124:AH134" displayName="Table_56" name="Table_56" id="56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7" showColumnStripes="0" showFirstColumn="1" showLastColumn="1" showRowStripes="1"/>
</table>
</file>

<file path=xl/tables/table57.xml><?xml version="1.0" encoding="utf-8"?>
<table xmlns="http://schemas.openxmlformats.org/spreadsheetml/2006/main" totalsRowCount="1" ref="B138:AH149" displayName="Table_57" name="Table_57" id="57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8" showColumnStripes="0" showFirstColumn="1" showLastColumn="1" showRowStripes="1"/>
</table>
</file>

<file path=xl/tables/table58.xml><?xml version="1.0" encoding="utf-8"?>
<table xmlns="http://schemas.openxmlformats.org/spreadsheetml/2006/main" totalsRowCount="1" ref="B153:AH159" displayName="Table_58" name="Table_58" id="58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name="Total de días" id="33"/>
  </tableColumns>
  <tableStyleInfo name="Junio-style 9" showColumnStripes="0" showFirstColumn="1" showLastColumn="1" showRowStripes="1"/>
</table>
</file>

<file path=xl/tables/table59.xml><?xml version="1.0" encoding="utf-8"?>
<table xmlns="http://schemas.openxmlformats.org/spreadsheetml/2006/main" totalsRowCount="1" ref="B6:AH12" displayName="Table_59" name="Table_59" id="59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" showColumnStripes="0" showFirstColumn="1" showLastColumn="1" showRowStripes="1"/>
</table>
</file>

<file path=xl/tables/table60.xml><?xml version="1.0" encoding="utf-8"?>
<table xmlns="http://schemas.openxmlformats.org/spreadsheetml/2006/main" totalsRowCount="1" ref="B16:AH23" displayName="Table_60" name="Table_60" id="60">
  <tableColumns count="33">
    <tableColumn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totalsRowLabel=" "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2" showColumnStripes="0" showFirstColumn="1" showLastColumn="1" showRowStripes="1"/>
</table>
</file>

<file path=xl/tables/table61.xml><?xml version="1.0" encoding="utf-8"?>
<table xmlns="http://schemas.openxmlformats.org/spreadsheetml/2006/main" totalsRowCount="1" ref="B26:AH35" displayName="Table_61" name="Table_61" id="61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3" showColumnStripes="0" showFirstColumn="1" showLastColumn="1" showRowStripes="1"/>
</table>
</file>

<file path=xl/tables/table62.xml><?xml version="1.0" encoding="utf-8"?>
<table xmlns="http://schemas.openxmlformats.org/spreadsheetml/2006/main" totalsRowCount="1" ref="B39:AH63" displayName="Table_62" name="Table_62" id="62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4" showColumnStripes="0" showFirstColumn="1" showLastColumn="1" showRowStripes="1"/>
</table>
</file>

<file path=xl/tables/table63.xml><?xml version="1.0" encoding="utf-8"?>
<table xmlns="http://schemas.openxmlformats.org/spreadsheetml/2006/main" totalsRowCount="1" ref="B67:AH86" displayName="Table_63" name="Table_63" id="63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5" showColumnStripes="0" showFirstColumn="1" showLastColumn="1" showRowStripes="1"/>
</table>
</file>

<file path=xl/tables/table64.xml><?xml version="1.0" encoding="utf-8"?>
<table xmlns="http://schemas.openxmlformats.org/spreadsheetml/2006/main" totalsRowCount="1" ref="B90:AH106" displayName="Table_64" name="Table_64" id="64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6" showColumnStripes="0" showFirstColumn="1" showLastColumn="1" showRowStripes="1"/>
</table>
</file>

<file path=xl/tables/table65.xml><?xml version="1.0" encoding="utf-8"?>
<table xmlns="http://schemas.openxmlformats.org/spreadsheetml/2006/main" totalsRowCount="1" ref="B110:AH124" displayName="Table_65" name="Table_65" id="65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7" showColumnStripes="0" showFirstColumn="1" showLastColumn="1" showRowStripes="1"/>
</table>
</file>

<file path=xl/tables/table66.xml><?xml version="1.0" encoding="utf-8"?>
<table xmlns="http://schemas.openxmlformats.org/spreadsheetml/2006/main" totalsRowCount="1" ref="B128:AH136" displayName="Table_66" name="Table_66" id="66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8" showColumnStripes="0" showFirstColumn="1" showLastColumn="1" showRowStripes="1"/>
</table>
</file>

<file path=xl/tables/table67.xml><?xml version="1.0" encoding="utf-8"?>
<table xmlns="http://schemas.openxmlformats.org/spreadsheetml/2006/main" totalsRowCount="1" ref="B140:AH146" displayName="Table_67" name="Table_67" id="67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Julio-style 9" showColumnStripes="0" showFirstColumn="1" showLastColumn="1" showRowStripes="1"/>
</table>
</file>

<file path=xl/tables/table68.xml><?xml version="1.0" encoding="utf-8"?>
<table xmlns="http://schemas.openxmlformats.org/spreadsheetml/2006/main" totalsRowCount="1" ref="B6:AH12" displayName="Table_68" name="Table_68" id="68">
  <tableColumns count="33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Agosto-style" showColumnStripes="0" showFirstColumn="1" showLastColumn="1" showRowStripes="1"/>
</table>
</file>

<file path=xl/tables/table69.xml><?xml version="1.0" encoding="utf-8"?>
<table xmlns="http://schemas.openxmlformats.org/spreadsheetml/2006/main" totalsRowCount="1" headerRowCount="0" ref="B44:AG50" displayName="Table_69" name="Table_69" id="69">
  <tableColumns count="32">
    <tableColumn totalsRowLabel="MARCELA VICTORIA GIRALDO RAMIREZ " name="Column1" id="1"/>
    <tableColumn name="Column2" id="2"/>
    <tableColumn totalsRowLabel="A" name="Column3" id="3"/>
    <tableColumn name="Column4" id="4"/>
    <tableColumn name="Column5" id="5"/>
    <tableColumn name="Column6" id="6"/>
    <tableColumn name="Column7" id="7"/>
    <tableColumn totalsRowLabel="A" name="Column8" id="8"/>
    <tableColumn name="Column9" id="9"/>
    <tableColumn totalsRowLabel="A" name="Column10" id="10"/>
    <tableColumn name="Column11" id="11"/>
    <tableColumn name="Column12" id="12"/>
    <tableColumn name="Column13" id="13"/>
    <tableColumn name="Column14" id="14"/>
    <tableColumn totalsRowLabel="A" name="Column15" id="15"/>
    <tableColumn name="Column16" id="16"/>
    <tableColumn totalsRowLabel="A" name="Column17" id="17"/>
    <tableColumn name="Column18" id="18"/>
    <tableColumn name="Column19" id="19"/>
    <tableColumn name="Column20" id="20"/>
    <tableColumn name="Column21" id="21"/>
    <tableColumn totalsRowLabel="A"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Agosto-style 2" showColumnStripes="0" showFirstColumn="1" showLastColumn="1" showRowStripes="1"/>
</table>
</file>

<file path=xl/tables/table70.xml><?xml version="1.0" encoding="utf-8"?>
<table xmlns="http://schemas.openxmlformats.org/spreadsheetml/2006/main" totalsRowCount="1" headerRowCount="0" ref="B160:AH167" displayName="Table_70" name="Table_70" id="7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gost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totalsRowCount="1" headerRowCount="0" ref="B171:AH177" displayName="Table_71" name="Table_71" id="7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gost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totalsRowCount="1" headerRowCount="0" ref="B181:AH187" displayName="Table_72" name="Table_72" id="7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gost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totalsRowCount="1" headerRowCount="0" ref="B191:AH197" displayName="Table_73" name="Table_73" id="7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gost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totalsRowCount="1" ref="B6:AG12" displayName="Table_74" name="Table_74" id="74">
  <tableColumns count="32">
    <tableColumn totalsRowFunction="custom" name="Nombre del emplea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Número total de días" id="32"/>
  </tableColumns>
  <tableStyleInfo name="Setiembre-style" showColumnStripes="0" showFirstColumn="1" showLastColumn="1" showRowStripes="1"/>
</table>
</file>

<file path=xl/tables/table75.xml><?xml version="1.0" encoding="utf-8"?>
<table xmlns="http://schemas.openxmlformats.org/spreadsheetml/2006/main" totalsRowCount="1" headerRowCount="0" ref="B52:AF58" displayName="Table_75" name="Table_75" id="75">
  <tableColumns count="31">
    <tableColumn totalsRowLabel="LUCAS AGUERO MESARES" name="Column1" id="1"/>
    <tableColumn totalsRowLabel="A" name="Column2" id="2"/>
    <tableColumn totalsRowLabel="A" name="Column3" id="3"/>
    <tableColumn name="Column4" id="4"/>
    <tableColumn name="Column5" id="5"/>
    <tableColumn name="Column6" id="6"/>
    <tableColumn totalsRowLabel="A" name="Column7" id="7"/>
    <tableColumn name="Column8" id="8"/>
    <tableColumn name="Column9" id="9"/>
    <tableColumn totalsRowLabel="A"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totalsRowLabel="A" name="Column31" id="31"/>
  </tableColumns>
  <tableStyleInfo name="Setiembre-style 2" showColumnStripes="0" showFirstColumn="1" showLastColumn="1" showRowStripes="1"/>
</table>
</file>

<file path=xl/tables/table76.xml><?xml version="1.0" encoding="utf-8"?>
<table xmlns="http://schemas.openxmlformats.org/spreadsheetml/2006/main" totalsRowCount="1" headerRowCount="0" ref="B170:AG177" displayName="Table_76" name="Table_76" id="76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Setiem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totalsRowCount="1" headerRowCount="0" ref="B181:AG187" displayName="Table_77" name="Table_77" id="77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Setiem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totalsRowCount="1" headerRowCount="0" ref="B191:AG197" displayName="Table_78" name="Table_78" id="78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Setiem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totalsRowCount="1" headerRowCount="0" ref="B201:AG207" displayName="Table_79" name="Table_79" id="79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Setiem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totalsRowCount="1" headerRowCount="0" ref="B6:AH12" displayName="Table_80" name="Table_80" id="80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ub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totalsRowCount="1" headerRowCount="0" ref="B56:AG62" displayName="Table_81" name="Table_81" id="81">
  <tableColumns count="32">
    <tableColumn totalsRowLabel="ALMA ISABELA CASTILLO MENDOZA " name="Column1" id="1"/>
    <tableColumn name="Column2" id="2"/>
    <tableColumn totalsRowLabel="A" name="Column3" id="3"/>
    <tableColumn totalsRowLabel="A" name="Column4" id="4"/>
    <tableColumn name="Column5" id="5"/>
    <tableColumn name="Column6" id="6"/>
    <tableColumn name="Column7" id="7"/>
    <tableColumn name="Column8" id="8"/>
    <tableColumn name="Column9" id="9"/>
    <tableColumn totalsRowLabel="A"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totalsRowLabel="A" name="Column17" id="17"/>
    <tableColumn name="Column18" id="18"/>
    <tableColumn name="Column19" id="19"/>
    <tableColumn name="Column20" id="20"/>
    <tableColumn totalsRowLabel="A"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Label="A" name="Column30" id="30"/>
    <tableColumn name="Column31" id="31"/>
    <tableColumn name="Column32" id="32"/>
  </tableColumns>
  <tableStyleInfo name="Octubre-style 2" showColumnStripes="0" showFirstColumn="1" showLastColumn="1" showRowStripes="1"/>
</table>
</file>

<file path=xl/tables/table82.xml><?xml version="1.0" encoding="utf-8"?>
<table xmlns="http://schemas.openxmlformats.org/spreadsheetml/2006/main" totalsRowCount="1" headerRowCount="0" ref="B178:AH185" displayName="Table_82" name="Table_82" id="8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u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totalsRowCount="1" headerRowCount="0" ref="B189:AH195" displayName="Table_83" name="Table_83" id="8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u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totalsRowCount="1" headerRowCount="0" ref="B199:AH205" displayName="Table_84" name="Table_84" id="8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u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totalsRowCount="1" headerRowCount="0" ref="B209:AH215" displayName="Table_85" name="Table_85" id="8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Octu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totalsRowCount="1" headerRowCount="0" ref="B6:AG12" displayName="Table_86" name="Table_86" id="86">
  <tableColumns count="32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Noviemb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totalsRowCount="1" headerRowCount="0" ref="B64:AF70" displayName="Table_87" name="Table_87" id="87">
  <tableColumns count="31">
    <tableColumn totalsRowLabel="ALEJANDRO VALENCIA GARCIA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totalsRowLabel="A"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totalsRowLabel="A" name="Column27" id="27"/>
    <tableColumn name="Column28" id="28"/>
    <tableColumn name="Column29" id="29"/>
    <tableColumn name="Column30" id="30"/>
    <tableColumn name="Column31" id="31"/>
  </tableColumns>
  <tableStyleInfo name="Noviembre-style 2" showColumnStripes="0" showFirstColumn="1" showLastColumn="1" showRowStripes="1"/>
</table>
</file>

<file path=xl/tables/table88.xml><?xml version="1.0" encoding="utf-8"?>
<table xmlns="http://schemas.openxmlformats.org/spreadsheetml/2006/main" totalsRowCount="1" headerRowCount="0" ref="B186:AG193" displayName="Table_88" name="Table_88" id="88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Noviem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totalsRowCount="1" headerRowCount="0" ref="B197:AG203" displayName="Table_89" name="Table_89" id="89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Noviem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totalsRowCount="1" headerRowCount="0" ref="B207:AG213" displayName="Table_90" name="Table_90" id="90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Noviem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totalsRowCount="1" headerRowCount="0" ref="B217:AG223" displayName="Table_91" name="Table_91" id="9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Noviem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totalsRowCount="1" headerRowCount="0" ref="B6:AH12" displayName="Table_92" name="Table_92" id="92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iciemb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totalsRowCount="1" headerRowCount="0" ref="B61:AG67" displayName="Table_93" name="Table_93" id="93">
  <tableColumns count="32">
    <tableColumn totalsRowLabel="VASCO DIAZ TAPIA " name="Column1" id="1"/>
    <tableColumn name="Column2" id="2"/>
    <tableColumn name="Column3" id="3"/>
    <tableColumn name="Column4" id="4"/>
    <tableColumn totalsRowLabel="A"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Diciembre-style 2" showColumnStripes="0" showFirstColumn="1" showLastColumn="1" showRowStripes="1"/>
</table>
</file>

<file path=xl/tables/table94.xml><?xml version="1.0" encoding="utf-8"?>
<table xmlns="http://schemas.openxmlformats.org/spreadsheetml/2006/main" totalsRowCount="1" headerRowCount="0" ref="B178:AH185" displayName="Table_94" name="Table_94" id="9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iciem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totalsRowCount="1" headerRowCount="0" ref="B189:AH195" displayName="Table_95" name="Table_95" id="9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iciem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totalsRowCount="1" headerRowCount="0" ref="B199:AH205" displayName="Table_96" name="Table_96" id="9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iciem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totalsRowCount="1" headerRowCount="0" ref="B209:AH215" displayName="Table_97" name="Table_97" id="9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iciem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53423"/>
      </a:accent1>
      <a:accent2>
        <a:srgbClr val="E68130"/>
      </a:accent2>
      <a:accent3>
        <a:srgbClr val="9BB05D"/>
      </a:accent3>
      <a:accent4>
        <a:srgbClr val="CC9900"/>
      </a:accent4>
      <a:accent5>
        <a:srgbClr val="4F66AF"/>
      </a:accent5>
      <a:accent6>
        <a:srgbClr val="D0D2D3"/>
      </a:accent6>
      <a:hlink>
        <a:srgbClr val="4F66AF"/>
      </a:hlink>
      <a:folHlink>
        <a:srgbClr val="4F66A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21.xml"/><Relationship Id="rId13" Type="http://schemas.openxmlformats.org/officeDocument/2006/relationships/table" Target="../tables/table23.xml"/><Relationship Id="rId12" Type="http://schemas.openxmlformats.org/officeDocument/2006/relationships/table" Target="../tables/table22.xml"/><Relationship Id="rId15" Type="http://schemas.openxmlformats.org/officeDocument/2006/relationships/table" Target="../tables/table25.xml"/><Relationship Id="rId14" Type="http://schemas.openxmlformats.org/officeDocument/2006/relationships/table" Target="../tables/table24.xml"/><Relationship Id="rId17" Type="http://schemas.openxmlformats.org/officeDocument/2006/relationships/table" Target="../tables/table27.xml"/><Relationship Id="rId16" Type="http://schemas.openxmlformats.org/officeDocument/2006/relationships/table" Target="../tables/table26.xml"/><Relationship Id="rId19" Type="http://schemas.openxmlformats.org/officeDocument/2006/relationships/table" Target="../tables/table29.xml"/><Relationship Id="rId18" Type="http://schemas.openxmlformats.org/officeDocument/2006/relationships/table" Target="../tables/table2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0" Type="http://schemas.openxmlformats.org/officeDocument/2006/relationships/table" Target="../tables/table38.xml"/><Relationship Id="rId21" Type="http://schemas.openxmlformats.org/officeDocument/2006/relationships/table" Target="../tables/table39.xml"/><Relationship Id="rId13" Type="http://schemas.openxmlformats.org/officeDocument/2006/relationships/table" Target="../tables/table31.xml"/><Relationship Id="rId12" Type="http://schemas.openxmlformats.org/officeDocument/2006/relationships/table" Target="../tables/table30.xml"/><Relationship Id="rId15" Type="http://schemas.openxmlformats.org/officeDocument/2006/relationships/table" Target="../tables/table33.xml"/><Relationship Id="rId14" Type="http://schemas.openxmlformats.org/officeDocument/2006/relationships/table" Target="../tables/table32.xml"/><Relationship Id="rId17" Type="http://schemas.openxmlformats.org/officeDocument/2006/relationships/table" Target="../tables/table35.xml"/><Relationship Id="rId16" Type="http://schemas.openxmlformats.org/officeDocument/2006/relationships/table" Target="../tables/table34.xml"/><Relationship Id="rId19" Type="http://schemas.openxmlformats.org/officeDocument/2006/relationships/table" Target="../tables/table37.xml"/><Relationship Id="rId18" Type="http://schemas.openxmlformats.org/officeDocument/2006/relationships/table" Target="../tables/table3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48.xml"/><Relationship Id="rId21" Type="http://schemas.openxmlformats.org/officeDocument/2006/relationships/table" Target="../tables/table49.xml"/><Relationship Id="rId13" Type="http://schemas.openxmlformats.org/officeDocument/2006/relationships/table" Target="../tables/table41.xml"/><Relationship Id="rId12" Type="http://schemas.openxmlformats.org/officeDocument/2006/relationships/table" Target="../tables/table40.xml"/><Relationship Id="rId15" Type="http://schemas.openxmlformats.org/officeDocument/2006/relationships/table" Target="../tables/table43.xml"/><Relationship Id="rId14" Type="http://schemas.openxmlformats.org/officeDocument/2006/relationships/table" Target="../tables/table42.xml"/><Relationship Id="rId17" Type="http://schemas.openxmlformats.org/officeDocument/2006/relationships/table" Target="../tables/table45.xml"/><Relationship Id="rId16" Type="http://schemas.openxmlformats.org/officeDocument/2006/relationships/table" Target="../tables/table44.xml"/><Relationship Id="rId19" Type="http://schemas.openxmlformats.org/officeDocument/2006/relationships/table" Target="../tables/table47.xml"/><Relationship Id="rId18" Type="http://schemas.openxmlformats.org/officeDocument/2006/relationships/table" Target="../tables/table4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50.xml"/><Relationship Id="rId13" Type="http://schemas.openxmlformats.org/officeDocument/2006/relationships/table" Target="../tables/table52.xml"/><Relationship Id="rId12" Type="http://schemas.openxmlformats.org/officeDocument/2006/relationships/table" Target="../tables/table51.xml"/><Relationship Id="rId15" Type="http://schemas.openxmlformats.org/officeDocument/2006/relationships/table" Target="../tables/table54.xml"/><Relationship Id="rId14" Type="http://schemas.openxmlformats.org/officeDocument/2006/relationships/table" Target="../tables/table53.xml"/><Relationship Id="rId17" Type="http://schemas.openxmlformats.org/officeDocument/2006/relationships/table" Target="../tables/table56.xml"/><Relationship Id="rId16" Type="http://schemas.openxmlformats.org/officeDocument/2006/relationships/table" Target="../tables/table55.xml"/><Relationship Id="rId19" Type="http://schemas.openxmlformats.org/officeDocument/2006/relationships/table" Target="../tables/table58.xml"/><Relationship Id="rId18" Type="http://schemas.openxmlformats.org/officeDocument/2006/relationships/table" Target="../tables/table5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59.xml"/><Relationship Id="rId13" Type="http://schemas.openxmlformats.org/officeDocument/2006/relationships/table" Target="../tables/table61.xml"/><Relationship Id="rId12" Type="http://schemas.openxmlformats.org/officeDocument/2006/relationships/table" Target="../tables/table60.xml"/><Relationship Id="rId15" Type="http://schemas.openxmlformats.org/officeDocument/2006/relationships/table" Target="../tables/table63.xml"/><Relationship Id="rId14" Type="http://schemas.openxmlformats.org/officeDocument/2006/relationships/table" Target="../tables/table62.xml"/><Relationship Id="rId17" Type="http://schemas.openxmlformats.org/officeDocument/2006/relationships/table" Target="../tables/table65.xml"/><Relationship Id="rId16" Type="http://schemas.openxmlformats.org/officeDocument/2006/relationships/table" Target="../tables/table64.xml"/><Relationship Id="rId19" Type="http://schemas.openxmlformats.org/officeDocument/2006/relationships/table" Target="../tables/table67.xml"/><Relationship Id="rId18" Type="http://schemas.openxmlformats.org/officeDocument/2006/relationships/table" Target="../tables/table6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71.xml"/><Relationship Id="rId10" Type="http://schemas.openxmlformats.org/officeDocument/2006/relationships/table" Target="../tables/table70.xml"/><Relationship Id="rId13" Type="http://schemas.openxmlformats.org/officeDocument/2006/relationships/table" Target="../tables/table73.xml"/><Relationship Id="rId12" Type="http://schemas.openxmlformats.org/officeDocument/2006/relationships/table" Target="../tables/table72.xml"/><Relationship Id="rId9" Type="http://schemas.openxmlformats.org/officeDocument/2006/relationships/table" Target="../tables/table69.xml"/><Relationship Id="rId8" Type="http://schemas.openxmlformats.org/officeDocument/2006/relationships/table" Target="../tables/table6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77.xml"/><Relationship Id="rId10" Type="http://schemas.openxmlformats.org/officeDocument/2006/relationships/table" Target="../tables/table76.xml"/><Relationship Id="rId13" Type="http://schemas.openxmlformats.org/officeDocument/2006/relationships/table" Target="../tables/table79.xml"/><Relationship Id="rId12" Type="http://schemas.openxmlformats.org/officeDocument/2006/relationships/table" Target="../tables/table78.xml"/><Relationship Id="rId9" Type="http://schemas.openxmlformats.org/officeDocument/2006/relationships/table" Target="../tables/table75.xml"/><Relationship Id="rId8" Type="http://schemas.openxmlformats.org/officeDocument/2006/relationships/table" Target="../tables/table7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83.xml"/><Relationship Id="rId10" Type="http://schemas.openxmlformats.org/officeDocument/2006/relationships/table" Target="../tables/table82.xml"/><Relationship Id="rId13" Type="http://schemas.openxmlformats.org/officeDocument/2006/relationships/table" Target="../tables/table85.xml"/><Relationship Id="rId12" Type="http://schemas.openxmlformats.org/officeDocument/2006/relationships/table" Target="../tables/table84.xml"/><Relationship Id="rId9" Type="http://schemas.openxmlformats.org/officeDocument/2006/relationships/table" Target="../tables/table81.xml"/><Relationship Id="rId8" Type="http://schemas.openxmlformats.org/officeDocument/2006/relationships/table" Target="../tables/table8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89.xml"/><Relationship Id="rId10" Type="http://schemas.openxmlformats.org/officeDocument/2006/relationships/table" Target="../tables/table88.xml"/><Relationship Id="rId13" Type="http://schemas.openxmlformats.org/officeDocument/2006/relationships/table" Target="../tables/table91.xml"/><Relationship Id="rId12" Type="http://schemas.openxmlformats.org/officeDocument/2006/relationships/table" Target="../tables/table90.xml"/><Relationship Id="rId9" Type="http://schemas.openxmlformats.org/officeDocument/2006/relationships/table" Target="../tables/table87.xml"/><Relationship Id="rId8" Type="http://schemas.openxmlformats.org/officeDocument/2006/relationships/table" Target="../tables/table8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95.xml"/><Relationship Id="rId10" Type="http://schemas.openxmlformats.org/officeDocument/2006/relationships/table" Target="../tables/table94.xml"/><Relationship Id="rId13" Type="http://schemas.openxmlformats.org/officeDocument/2006/relationships/table" Target="../tables/table97.xml"/><Relationship Id="rId12" Type="http://schemas.openxmlformats.org/officeDocument/2006/relationships/table" Target="../tables/table96.xml"/><Relationship Id="rId9" Type="http://schemas.openxmlformats.org/officeDocument/2006/relationships/table" Target="../tables/table93.xml"/><Relationship Id="rId8" Type="http://schemas.openxmlformats.org/officeDocument/2006/relationships/table" Target="../tables/table9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</row>
    <row r="3" ht="15.0" customHeight="1">
      <c r="AH3" s="13"/>
    </row>
    <row r="4" ht="30.0" customHeight="1">
      <c r="B4" s="14" t="s">
        <v>12</v>
      </c>
      <c r="C4" s="15" t="s">
        <v>13</v>
      </c>
      <c r="AH4" s="15">
        <v>2025.0</v>
      </c>
    </row>
    <row r="5" ht="15.0" customHeight="1">
      <c r="B5" s="14"/>
      <c r="C5" s="16" t="str">
        <f>TEXT(WEEKDAY(DATE(CalendarioAño,1,1),1),"ddd")</f>
        <v>mié</v>
      </c>
      <c r="D5" s="16" t="str">
        <f>TEXT(WEEKDAY(DATE(CalendarioAño,1,2),1),"ddd")</f>
        <v>jue</v>
      </c>
      <c r="E5" s="16" t="str">
        <f>TEXT(WEEKDAY(DATE(CalendarioAño,1,3),1),"ddd")</f>
        <v>vie</v>
      </c>
      <c r="F5" s="16" t="str">
        <f>TEXT(WEEKDAY(DATE(CalendarioAño,1,4),1),"ddd")</f>
        <v>sáb</v>
      </c>
      <c r="G5" s="16" t="str">
        <f>TEXT(WEEKDAY(DATE(CalendarioAño,1,5),1),"ddd")</f>
        <v>dom</v>
      </c>
      <c r="H5" s="16" t="str">
        <f>TEXT(WEEKDAY(DATE(CalendarioAño,1,6),1),"ddd")</f>
        <v>lun</v>
      </c>
      <c r="I5" s="16" t="str">
        <f>TEXT(WEEKDAY(DATE(CalendarioAño,1,7),1),"ddd")</f>
        <v>mar</v>
      </c>
      <c r="J5" s="16" t="str">
        <f>TEXT(WEEKDAY(DATE(CalendarioAño,1,8),1),"ddd")</f>
        <v>mié</v>
      </c>
      <c r="K5" s="16" t="str">
        <f>TEXT(WEEKDAY(DATE(CalendarioAño,1,9),1),"ddd")</f>
        <v>jue</v>
      </c>
      <c r="L5" s="16" t="str">
        <f>TEXT(WEEKDAY(DATE(CalendarioAño,1,10),1),"ddd")</f>
        <v>vie</v>
      </c>
      <c r="M5" s="16" t="str">
        <f>TEXT(WEEKDAY(DATE(CalendarioAño,1,11),1),"ddd")</f>
        <v>sáb</v>
      </c>
      <c r="N5" s="16" t="str">
        <f>TEXT(WEEKDAY(DATE(CalendarioAño,1,12),1),"ddd")</f>
        <v>dom</v>
      </c>
      <c r="O5" s="16" t="str">
        <f>TEXT(WEEKDAY(DATE(CalendarioAño,1,13),1),"ddd")</f>
        <v>lun</v>
      </c>
      <c r="P5" s="16" t="str">
        <f>TEXT(WEEKDAY(DATE(CalendarioAño,1,14),1),"ddd")</f>
        <v>mar</v>
      </c>
      <c r="Q5" s="16" t="str">
        <f>TEXT(WEEKDAY(DATE(CalendarioAño,1,15),1),"ddd")</f>
        <v>mié</v>
      </c>
      <c r="R5" s="16" t="str">
        <f>TEXT(WEEKDAY(DATE(CalendarioAño,1,16),1),"ddd")</f>
        <v>jue</v>
      </c>
      <c r="S5" s="16" t="str">
        <f>TEXT(WEEKDAY(DATE(CalendarioAño,1,17),1),"ddd")</f>
        <v>vie</v>
      </c>
      <c r="T5" s="16" t="str">
        <f>TEXT(WEEKDAY(DATE(CalendarioAño,1,18),1),"ddd")</f>
        <v>sáb</v>
      </c>
      <c r="U5" s="16" t="str">
        <f>TEXT(WEEKDAY(DATE(CalendarioAño,1,19),1),"ddd")</f>
        <v>dom</v>
      </c>
      <c r="V5" s="16" t="str">
        <f>TEXT(WEEKDAY(DATE(CalendarioAño,1,20),1),"ddd")</f>
        <v>lun</v>
      </c>
      <c r="W5" s="16" t="str">
        <f>TEXT(WEEKDAY(DATE(CalendarioAño,1,21),1),"ddd")</f>
        <v>mar</v>
      </c>
      <c r="X5" s="16" t="str">
        <f>TEXT(WEEKDAY(DATE(CalendarioAño,1,22),1),"ddd")</f>
        <v>mié</v>
      </c>
      <c r="Y5" s="16" t="str">
        <f>TEXT(WEEKDAY(DATE(CalendarioAño,1,23),1),"ddd")</f>
        <v>jue</v>
      </c>
      <c r="Z5" s="16" t="str">
        <f>TEXT(WEEKDAY(DATE(CalendarioAño,1,24),1),"ddd")</f>
        <v>vie</v>
      </c>
      <c r="AA5" s="16" t="str">
        <f>TEXT(WEEKDAY(DATE(CalendarioAño,1,25),1),"ddd")</f>
        <v>sáb</v>
      </c>
      <c r="AB5" s="16" t="str">
        <f>TEXT(WEEKDAY(DATE(CalendarioAño,1,26),1),"ddd")</f>
        <v>dom</v>
      </c>
      <c r="AC5" s="16" t="str">
        <f>TEXT(WEEKDAY(DATE(CalendarioAño,1,27),1),"ddd")</f>
        <v>lun</v>
      </c>
      <c r="AD5" s="16" t="str">
        <f>TEXT(WEEKDAY(DATE(CalendarioAño,1,28),1),"ddd")</f>
        <v>mar</v>
      </c>
      <c r="AE5" s="16" t="str">
        <f>TEXT(WEEKDAY(DATE(CalendarioAño,1,29),1),"ddd")</f>
        <v>mié</v>
      </c>
      <c r="AF5" s="16" t="str">
        <f>TEXT(WEEKDAY(DATE(CalendarioAño,1,30),1),"ddd")</f>
        <v>jue</v>
      </c>
      <c r="AG5" s="16" t="str">
        <f>TEXT(WEEKDAY(DATE(CalendarioAño,1,31),1),"ddd")</f>
        <v>vie</v>
      </c>
      <c r="AH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</row>
    <row r="7" ht="30.0" customHeight="1">
      <c r="B7" s="20" t="s">
        <v>47</v>
      </c>
      <c r="C7" s="21"/>
      <c r="D7" s="21"/>
      <c r="E7" s="21"/>
      <c r="F7" s="22"/>
      <c r="G7" s="21"/>
      <c r="H7" s="21"/>
      <c r="I7" s="23"/>
      <c r="J7" s="21"/>
      <c r="K7" s="24"/>
      <c r="L7" s="21"/>
      <c r="M7" s="10" t="s">
        <v>6</v>
      </c>
      <c r="N7" s="21"/>
      <c r="O7" s="23"/>
      <c r="P7" s="21"/>
      <c r="Q7" s="21"/>
      <c r="R7" s="22"/>
      <c r="S7" s="21"/>
      <c r="T7" s="22"/>
      <c r="U7" s="21"/>
      <c r="V7" s="10" t="s">
        <v>6</v>
      </c>
      <c r="W7" s="21"/>
      <c r="X7" s="21"/>
      <c r="Y7" s="22"/>
      <c r="Z7" s="21"/>
      <c r="AA7" s="22"/>
      <c r="AB7" s="21"/>
      <c r="AC7" s="10" t="s">
        <v>6</v>
      </c>
      <c r="AD7" s="10" t="s">
        <v>6</v>
      </c>
      <c r="AE7" s="10" t="s">
        <v>6</v>
      </c>
      <c r="AF7" s="22"/>
      <c r="AG7" s="21"/>
      <c r="AH7" s="25">
        <f t="shared" ref="AH7:AH8" si="1">(COUNTA(C7:AG7))</f>
        <v>5</v>
      </c>
    </row>
    <row r="8" ht="30.0" customHeight="1">
      <c r="B8" s="20" t="s">
        <v>48</v>
      </c>
      <c r="C8" s="21"/>
      <c r="D8" s="21"/>
      <c r="E8" s="21"/>
      <c r="F8" s="22"/>
      <c r="G8" s="22"/>
      <c r="H8" s="21"/>
      <c r="I8" s="23"/>
      <c r="J8" s="21"/>
      <c r="K8" s="22"/>
      <c r="L8" s="21"/>
      <c r="M8" s="21"/>
      <c r="N8" s="22"/>
      <c r="O8" s="21"/>
      <c r="P8" s="21"/>
      <c r="Q8" s="21"/>
      <c r="R8" s="22"/>
      <c r="S8" s="21"/>
      <c r="T8" s="22"/>
      <c r="U8" s="22"/>
      <c r="V8" s="21"/>
      <c r="W8" s="21"/>
      <c r="X8" s="21"/>
      <c r="Y8" s="22"/>
      <c r="Z8" s="21"/>
      <c r="AA8" s="22"/>
      <c r="AB8" s="22"/>
      <c r="AC8" s="21"/>
      <c r="AD8" s="21"/>
      <c r="AE8" s="21"/>
      <c r="AF8" s="22"/>
      <c r="AG8" s="21"/>
      <c r="AH8" s="25">
        <f t="shared" si="1"/>
        <v>0</v>
      </c>
    </row>
    <row r="9" ht="30.0" customHeight="1">
      <c r="B9" s="26" t="str">
        <f>Enero!MonthName&amp;" Total"</f>
        <v>Enero Total</v>
      </c>
      <c r="C9" s="27">
        <f>SUBTOTAL(103,Enero!$C$7:$C$8)</f>
        <v>0</v>
      </c>
      <c r="D9" s="27">
        <f>SUBTOTAL(103,Enero!$D$7:$D$8)</f>
        <v>0</v>
      </c>
      <c r="E9" s="27">
        <f>SUBTOTAL(103,Enero!$E$7:$E$8)</f>
        <v>0</v>
      </c>
      <c r="F9" s="27">
        <f>SUBTOTAL(103,Enero!$F$7:$F$8)</f>
        <v>0</v>
      </c>
      <c r="G9" s="27">
        <f>SUBTOTAL(103,Enero!$G$7:$G$8)</f>
        <v>0</v>
      </c>
      <c r="H9" s="27">
        <f>SUBTOTAL(103,Enero!$H$7:$H$8)</f>
        <v>0</v>
      </c>
      <c r="I9" s="27">
        <f>SUBTOTAL(103,Enero!$I$7:$I$8)</f>
        <v>0</v>
      </c>
      <c r="J9" s="27">
        <f>SUBTOTAL(103,Enero!$J$7:$J$8)</f>
        <v>0</v>
      </c>
      <c r="K9" s="27">
        <f>SUBTOTAL(103,Enero!$K$7:$K$8)</f>
        <v>0</v>
      </c>
      <c r="L9" s="27">
        <f>SUBTOTAL(103,Enero!$L$7:$L$8)</f>
        <v>0</v>
      </c>
      <c r="M9" s="27">
        <f>SUBTOTAL(103,Enero!$M$7:$M$8)</f>
        <v>1</v>
      </c>
      <c r="N9" s="27">
        <f>SUBTOTAL(103,Enero!$N$7:$N$8)</f>
        <v>0</v>
      </c>
      <c r="O9" s="27">
        <f>SUBTOTAL(103,Enero!$O$7:$O$8)</f>
        <v>0</v>
      </c>
      <c r="P9" s="27">
        <f>SUBTOTAL(103,Enero!$P$7:$P$8)</f>
        <v>0</v>
      </c>
      <c r="Q9" s="27">
        <f>SUBTOTAL(103,Enero!$Q$7:$Q$8)</f>
        <v>0</v>
      </c>
      <c r="R9" s="27">
        <f>SUBTOTAL(103,Enero!$R$7:$R$8)</f>
        <v>0</v>
      </c>
      <c r="S9" s="27">
        <f>SUBTOTAL(103,Enero!$S$7:$S$8)</f>
        <v>0</v>
      </c>
      <c r="T9" s="27">
        <f>SUBTOTAL(103,Enero!$T$7:$T$8)</f>
        <v>0</v>
      </c>
      <c r="U9" s="27">
        <f>SUBTOTAL(103,Enero!$U$7:$U$8)</f>
        <v>0</v>
      </c>
      <c r="V9" s="27">
        <f>SUBTOTAL(103,Enero!$V$7:$V$8)</f>
        <v>1</v>
      </c>
      <c r="W9" s="27">
        <f>SUBTOTAL(103,Enero!$W$7:$W$8)</f>
        <v>0</v>
      </c>
      <c r="X9" s="27">
        <f>SUBTOTAL(103,Enero!$X$7:$X$8)</f>
        <v>0</v>
      </c>
      <c r="Y9" s="27">
        <f>SUBTOTAL(103,Enero!$Y$7:$Y$8)</f>
        <v>0</v>
      </c>
      <c r="Z9" s="27">
        <f>SUBTOTAL(103,Enero!$Z$7:$Z$8)</f>
        <v>0</v>
      </c>
      <c r="AA9" s="27">
        <f>SUBTOTAL(103,Enero!$AA$7:$AA$8)</f>
        <v>0</v>
      </c>
      <c r="AB9" s="27">
        <f>SUBTOTAL(103,Enero!$AB$7:$AB$8)</f>
        <v>0</v>
      </c>
      <c r="AC9" s="27">
        <f>SUBTOTAL(103,Enero!$AC$7:$AC$8)</f>
        <v>1</v>
      </c>
      <c r="AD9" s="27">
        <f>SUBTOTAL(103,Enero!$AD$7:$AD$8)</f>
        <v>1</v>
      </c>
      <c r="AE9" s="27">
        <f>SUBTOTAL(103,Enero!$AE$7:$AE$8)</f>
        <v>1</v>
      </c>
      <c r="AF9" s="27">
        <f>SUBTOTAL(103,Enero!$AF$7:$AF$8)</f>
        <v>0</v>
      </c>
      <c r="AG9" s="27">
        <f>SUBTOTAL(103,Enero!$AG$7:$AG$8)</f>
        <v>0</v>
      </c>
      <c r="AH9" s="27"/>
    </row>
    <row r="10" ht="30.0" customHeight="1">
      <c r="AH10" s="5"/>
    </row>
    <row r="11" ht="30.0" customHeight="1">
      <c r="B11" s="28" t="s">
        <v>12</v>
      </c>
      <c r="C11" s="29" t="s">
        <v>49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1">
        <v>2025.0</v>
      </c>
    </row>
    <row r="12" ht="30.0" customHeight="1">
      <c r="B12" s="32"/>
      <c r="C12" s="16" t="str">
        <f>TEXT(WEEKDAY(DATE(CalendarioAño,1,1),1),"ddd")</f>
        <v>mié</v>
      </c>
      <c r="D12" s="16" t="str">
        <f>TEXT(WEEKDAY(DATE(CalendarioAño,1,2),1),"ddd")</f>
        <v>jue</v>
      </c>
      <c r="E12" s="16" t="str">
        <f>TEXT(WEEKDAY(DATE(CalendarioAño,1,3),1),"ddd")</f>
        <v>vie</v>
      </c>
      <c r="F12" s="16" t="str">
        <f>TEXT(WEEKDAY(DATE(CalendarioAño,1,4),1),"ddd")</f>
        <v>sáb</v>
      </c>
      <c r="G12" s="16" t="str">
        <f>TEXT(WEEKDAY(DATE(CalendarioAño,1,5),1),"ddd")</f>
        <v>dom</v>
      </c>
      <c r="H12" s="16" t="str">
        <f>TEXT(WEEKDAY(DATE(CalendarioAño,1,6),1),"ddd")</f>
        <v>lun</v>
      </c>
      <c r="I12" s="16" t="str">
        <f>TEXT(WEEKDAY(DATE(CalendarioAño,1,7),1),"ddd")</f>
        <v>mar</v>
      </c>
      <c r="J12" s="16" t="str">
        <f>TEXT(WEEKDAY(DATE(CalendarioAño,1,8),1),"ddd")</f>
        <v>mié</v>
      </c>
      <c r="K12" s="16" t="str">
        <f>TEXT(WEEKDAY(DATE(CalendarioAño,1,9),1),"ddd")</f>
        <v>jue</v>
      </c>
      <c r="L12" s="16" t="str">
        <f>TEXT(WEEKDAY(DATE(CalendarioAño,1,10),1),"ddd")</f>
        <v>vie</v>
      </c>
      <c r="M12" s="16" t="str">
        <f>TEXT(WEEKDAY(DATE(CalendarioAño,1,11),1),"ddd")</f>
        <v>sáb</v>
      </c>
      <c r="N12" s="16" t="str">
        <f>TEXT(WEEKDAY(DATE(CalendarioAño,1,12),1),"ddd")</f>
        <v>dom</v>
      </c>
      <c r="O12" s="16" t="str">
        <f>TEXT(WEEKDAY(DATE(CalendarioAño,1,13),1),"ddd")</f>
        <v>lun</v>
      </c>
      <c r="P12" s="16" t="str">
        <f>TEXT(WEEKDAY(DATE(CalendarioAño,1,14),1),"ddd")</f>
        <v>mar</v>
      </c>
      <c r="Q12" s="16" t="str">
        <f>TEXT(WEEKDAY(DATE(CalendarioAño,1,15),1),"ddd")</f>
        <v>mié</v>
      </c>
      <c r="R12" s="16" t="str">
        <f>TEXT(WEEKDAY(DATE(CalendarioAño,1,16),1),"ddd")</f>
        <v>jue</v>
      </c>
      <c r="S12" s="16" t="str">
        <f>TEXT(WEEKDAY(DATE(CalendarioAño,1,17),1),"ddd")</f>
        <v>vie</v>
      </c>
      <c r="T12" s="16" t="str">
        <f>TEXT(WEEKDAY(DATE(CalendarioAño,1,18),1),"ddd")</f>
        <v>sáb</v>
      </c>
      <c r="U12" s="16" t="str">
        <f>TEXT(WEEKDAY(DATE(CalendarioAño,1,19),1),"ddd")</f>
        <v>dom</v>
      </c>
      <c r="V12" s="16" t="str">
        <f>TEXT(WEEKDAY(DATE(CalendarioAño,1,20),1),"ddd")</f>
        <v>lun</v>
      </c>
      <c r="W12" s="16" t="str">
        <f>TEXT(WEEKDAY(DATE(CalendarioAño,1,21),1),"ddd")</f>
        <v>mar</v>
      </c>
      <c r="X12" s="16" t="str">
        <f>TEXT(WEEKDAY(DATE(CalendarioAño,1,22),1),"ddd")</f>
        <v>mié</v>
      </c>
      <c r="Y12" s="16" t="str">
        <f>TEXT(WEEKDAY(DATE(CalendarioAño,1,23),1),"ddd")</f>
        <v>jue</v>
      </c>
      <c r="Z12" s="16" t="str">
        <f>TEXT(WEEKDAY(DATE(CalendarioAño,1,24),1),"ddd")</f>
        <v>vie</v>
      </c>
      <c r="AA12" s="16" t="str">
        <f>TEXT(WEEKDAY(DATE(CalendarioAño,1,25),1),"ddd")</f>
        <v>sáb</v>
      </c>
      <c r="AB12" s="16" t="str">
        <f>TEXT(WEEKDAY(DATE(CalendarioAño,1,26),1),"ddd")</f>
        <v>dom</v>
      </c>
      <c r="AC12" s="16" t="str">
        <f>TEXT(WEEKDAY(DATE(CalendarioAño,1,27),1),"ddd")</f>
        <v>lun</v>
      </c>
      <c r="AD12" s="16" t="str">
        <f>TEXT(WEEKDAY(DATE(CalendarioAño,1,28),1),"ddd")</f>
        <v>mar</v>
      </c>
      <c r="AE12" s="16" t="str">
        <f>TEXT(WEEKDAY(DATE(CalendarioAño,1,29),1),"ddd")</f>
        <v>mié</v>
      </c>
      <c r="AF12" s="16" t="str">
        <f>TEXT(WEEKDAY(DATE(CalendarioAño,1,30),1),"ddd")</f>
        <v>jue</v>
      </c>
      <c r="AG12" s="16" t="str">
        <f>TEXT(WEEKDAY(DATE(CalendarioAño,1,31),1),"ddd")</f>
        <v>vie</v>
      </c>
      <c r="AH12" s="32"/>
    </row>
    <row r="13" ht="21.75" customHeight="1">
      <c r="A13" s="17"/>
      <c r="B13" s="33" t="s">
        <v>14</v>
      </c>
      <c r="C13" s="19" t="s">
        <v>15</v>
      </c>
      <c r="D13" s="19" t="s">
        <v>16</v>
      </c>
      <c r="E13" s="19" t="s">
        <v>17</v>
      </c>
      <c r="F13" s="19" t="s">
        <v>18</v>
      </c>
      <c r="G13" s="19" t="s">
        <v>19</v>
      </c>
      <c r="H13" s="19" t="s">
        <v>20</v>
      </c>
      <c r="I13" s="19" t="s">
        <v>21</v>
      </c>
      <c r="J13" s="19" t="s">
        <v>22</v>
      </c>
      <c r="K13" s="19" t="s">
        <v>23</v>
      </c>
      <c r="L13" s="19" t="s">
        <v>24</v>
      </c>
      <c r="M13" s="19" t="s">
        <v>25</v>
      </c>
      <c r="N13" s="19" t="s">
        <v>26</v>
      </c>
      <c r="O13" s="19" t="s">
        <v>27</v>
      </c>
      <c r="P13" s="19" t="s">
        <v>28</v>
      </c>
      <c r="Q13" s="19" t="s">
        <v>29</v>
      </c>
      <c r="R13" s="19" t="s">
        <v>30</v>
      </c>
      <c r="S13" s="19" t="s">
        <v>31</v>
      </c>
      <c r="T13" s="19" t="s">
        <v>32</v>
      </c>
      <c r="U13" s="19" t="s">
        <v>33</v>
      </c>
      <c r="V13" s="19" t="s">
        <v>34</v>
      </c>
      <c r="W13" s="19" t="s">
        <v>35</v>
      </c>
      <c r="X13" s="19" t="s">
        <v>36</v>
      </c>
      <c r="Y13" s="19" t="s">
        <v>37</v>
      </c>
      <c r="Z13" s="19" t="s">
        <v>38</v>
      </c>
      <c r="AA13" s="19" t="s">
        <v>39</v>
      </c>
      <c r="AB13" s="19" t="s">
        <v>40</v>
      </c>
      <c r="AC13" s="19" t="s">
        <v>41</v>
      </c>
      <c r="AD13" s="19" t="s">
        <v>42</v>
      </c>
      <c r="AE13" s="19" t="s">
        <v>43</v>
      </c>
      <c r="AF13" s="19" t="s">
        <v>44</v>
      </c>
      <c r="AG13" s="19" t="s">
        <v>45</v>
      </c>
      <c r="AH13" s="19" t="s">
        <v>46</v>
      </c>
    </row>
    <row r="14" ht="30.0" customHeight="1">
      <c r="B14" s="20" t="s">
        <v>50</v>
      </c>
      <c r="C14" s="21"/>
      <c r="D14" s="21"/>
      <c r="E14" s="21"/>
      <c r="F14" s="21"/>
      <c r="G14" s="34"/>
      <c r="H14" s="22"/>
      <c r="I14" s="10" t="s">
        <v>6</v>
      </c>
      <c r="J14" s="21"/>
      <c r="K14" s="22"/>
      <c r="L14" s="21"/>
      <c r="M14" s="10" t="s">
        <v>6</v>
      </c>
      <c r="N14" s="22"/>
      <c r="O14" s="21"/>
      <c r="P14" s="21"/>
      <c r="Q14" s="21"/>
      <c r="R14" s="22"/>
      <c r="S14" s="21"/>
      <c r="T14" s="10" t="s">
        <v>6</v>
      </c>
      <c r="U14" s="21"/>
      <c r="V14" s="21"/>
      <c r="W14" s="10" t="s">
        <v>6</v>
      </c>
      <c r="X14" s="21"/>
      <c r="Y14" s="21"/>
      <c r="Z14" s="21"/>
      <c r="AA14" s="10" t="s">
        <v>6</v>
      </c>
      <c r="AB14" s="22"/>
      <c r="AC14" s="22"/>
      <c r="AD14" s="21"/>
      <c r="AE14" s="21"/>
      <c r="AF14" s="10" t="s">
        <v>6</v>
      </c>
      <c r="AG14" s="21"/>
      <c r="AH14" s="25">
        <f t="shared" ref="AH14:AH19" si="2">(COUNTA(C14:AG14))</f>
        <v>6</v>
      </c>
    </row>
    <row r="15" ht="30.0" customHeight="1">
      <c r="B15" s="20" t="s">
        <v>51</v>
      </c>
      <c r="C15" s="21"/>
      <c r="D15" s="21"/>
      <c r="E15" s="21"/>
      <c r="F15" s="21"/>
      <c r="G15" s="21"/>
      <c r="H15" s="21"/>
      <c r="I15" s="23"/>
      <c r="J15" s="21"/>
      <c r="K15" s="10" t="s">
        <v>6</v>
      </c>
      <c r="L15" s="21"/>
      <c r="M15" s="21"/>
      <c r="N15" s="21"/>
      <c r="O15" s="21"/>
      <c r="P15" s="10" t="s">
        <v>6</v>
      </c>
      <c r="Q15" s="21"/>
      <c r="R15" s="10" t="s">
        <v>6</v>
      </c>
      <c r="S15" s="21"/>
      <c r="T15" s="21"/>
      <c r="U15" s="21"/>
      <c r="V15" s="21"/>
      <c r="W15" s="10" t="s">
        <v>6</v>
      </c>
      <c r="X15" s="21"/>
      <c r="Y15" s="21"/>
      <c r="Z15" s="21"/>
      <c r="AA15" s="21"/>
      <c r="AB15" s="21"/>
      <c r="AC15" s="21"/>
      <c r="AD15" s="21"/>
      <c r="AE15" s="21"/>
      <c r="AF15" s="10" t="s">
        <v>6</v>
      </c>
      <c r="AG15" s="21"/>
      <c r="AH15" s="25">
        <f t="shared" si="2"/>
        <v>5</v>
      </c>
    </row>
    <row r="16" ht="30.0" customHeight="1">
      <c r="B16" s="20" t="s">
        <v>52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10" t="s">
        <v>6</v>
      </c>
      <c r="Q16" s="21"/>
      <c r="R16" s="10" t="s">
        <v>6</v>
      </c>
      <c r="S16" s="21"/>
      <c r="T16" s="21"/>
      <c r="U16" s="21"/>
      <c r="V16" s="21"/>
      <c r="W16" s="10" t="s">
        <v>6</v>
      </c>
      <c r="X16" s="21"/>
      <c r="Y16" s="10" t="s">
        <v>6</v>
      </c>
      <c r="Z16" s="21"/>
      <c r="AA16" s="21"/>
      <c r="AB16" s="21"/>
      <c r="AC16" s="21"/>
      <c r="AD16" s="10" t="s">
        <v>6</v>
      </c>
      <c r="AE16" s="21"/>
      <c r="AF16" s="10" t="s">
        <v>6</v>
      </c>
      <c r="AG16" s="21"/>
      <c r="AH16" s="25">
        <f t="shared" si="2"/>
        <v>6</v>
      </c>
    </row>
    <row r="17" ht="30.0" customHeight="1">
      <c r="B17" s="20" t="s">
        <v>53</v>
      </c>
      <c r="C17" s="21"/>
      <c r="D17" s="21"/>
      <c r="E17" s="21"/>
      <c r="F17" s="22"/>
      <c r="G17" s="21"/>
      <c r="H17" s="21"/>
      <c r="I17" s="21"/>
      <c r="J17" s="21"/>
      <c r="K17" s="10" t="s">
        <v>6</v>
      </c>
      <c r="L17" s="21"/>
      <c r="M17" s="10" t="s">
        <v>6</v>
      </c>
      <c r="N17" s="21"/>
      <c r="O17" s="21"/>
      <c r="P17" s="21"/>
      <c r="Q17" s="21"/>
      <c r="R17" s="10" t="s">
        <v>6</v>
      </c>
      <c r="S17" s="21"/>
      <c r="T17" s="10" t="s">
        <v>6</v>
      </c>
      <c r="U17" s="21"/>
      <c r="V17" s="21"/>
      <c r="W17" s="10" t="s">
        <v>6</v>
      </c>
      <c r="X17" s="21"/>
      <c r="Y17" s="10" t="s">
        <v>6</v>
      </c>
      <c r="Z17" s="21"/>
      <c r="AA17" s="21"/>
      <c r="AB17" s="21"/>
      <c r="AC17" s="21"/>
      <c r="AD17" s="10" t="s">
        <v>6</v>
      </c>
      <c r="AE17" s="21"/>
      <c r="AF17" s="10" t="s">
        <v>6</v>
      </c>
      <c r="AG17" s="21"/>
      <c r="AH17" s="25">
        <f t="shared" si="2"/>
        <v>8</v>
      </c>
    </row>
    <row r="18" ht="30.0" customHeight="1">
      <c r="B18" s="20" t="s">
        <v>54</v>
      </c>
      <c r="C18" s="21"/>
      <c r="D18" s="21"/>
      <c r="E18" s="21"/>
      <c r="F18" s="21"/>
      <c r="G18" s="21"/>
      <c r="H18" s="22"/>
      <c r="I18" s="10" t="s">
        <v>6</v>
      </c>
      <c r="J18" s="21"/>
      <c r="K18" s="10" t="s">
        <v>6</v>
      </c>
      <c r="L18" s="21"/>
      <c r="M18" s="10" t="s">
        <v>6</v>
      </c>
      <c r="N18" s="22"/>
      <c r="O18" s="21"/>
      <c r="P18" s="10" t="s">
        <v>6</v>
      </c>
      <c r="Q18" s="21"/>
      <c r="R18" s="10" t="s">
        <v>6</v>
      </c>
      <c r="S18" s="21"/>
      <c r="T18" s="21"/>
      <c r="U18" s="21"/>
      <c r="V18" s="21"/>
      <c r="W18" s="10" t="s">
        <v>6</v>
      </c>
      <c r="X18" s="21"/>
      <c r="Y18" s="10" t="s">
        <v>6</v>
      </c>
      <c r="Z18" s="21"/>
      <c r="AA18" s="21"/>
      <c r="AB18" s="21"/>
      <c r="AC18" s="22"/>
      <c r="AD18" s="21"/>
      <c r="AE18" s="21"/>
      <c r="AF18" s="10" t="s">
        <v>6</v>
      </c>
      <c r="AG18" s="21"/>
      <c r="AH18" s="25">
        <f t="shared" si="2"/>
        <v>8</v>
      </c>
    </row>
    <row r="19" ht="30.0" customHeight="1">
      <c r="B19" s="20" t="s">
        <v>55</v>
      </c>
      <c r="C19" s="21"/>
      <c r="D19" s="21"/>
      <c r="E19" s="21"/>
      <c r="F19" s="21"/>
      <c r="G19" s="21"/>
      <c r="H19" s="21"/>
      <c r="I19" s="10" t="s">
        <v>6</v>
      </c>
      <c r="J19" s="21"/>
      <c r="K19" s="21"/>
      <c r="L19" s="21"/>
      <c r="M19" s="22"/>
      <c r="N19" s="21"/>
      <c r="O19" s="21"/>
      <c r="P19" s="10" t="s">
        <v>6</v>
      </c>
      <c r="Q19" s="21"/>
      <c r="R19" s="21"/>
      <c r="S19" s="21"/>
      <c r="T19" s="22"/>
      <c r="U19" s="22"/>
      <c r="V19" s="21"/>
      <c r="W19" s="10" t="s">
        <v>6</v>
      </c>
      <c r="X19" s="21"/>
      <c r="Y19" s="21"/>
      <c r="Z19" s="22"/>
      <c r="AA19" s="22"/>
      <c r="AB19" s="21"/>
      <c r="AC19" s="21"/>
      <c r="AD19" s="21"/>
      <c r="AE19" s="21"/>
      <c r="AF19" s="21"/>
      <c r="AG19" s="22"/>
      <c r="AH19" s="25">
        <f t="shared" si="2"/>
        <v>3</v>
      </c>
    </row>
    <row r="20" ht="30.0" customHeight="1">
      <c r="B20" s="20" t="s">
        <v>56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5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2"/>
      <c r="AD20" s="21"/>
      <c r="AE20" s="21"/>
      <c r="AF20" s="10" t="s">
        <v>6</v>
      </c>
      <c r="AG20" s="21"/>
      <c r="AH20" s="25"/>
    </row>
    <row r="21" ht="30.0" customHeight="1">
      <c r="B21" s="20" t="s">
        <v>57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1"/>
      <c r="P21" s="21"/>
      <c r="Q21" s="22"/>
      <c r="R21" s="21"/>
      <c r="S21" s="21"/>
      <c r="T21" s="21"/>
      <c r="U21" s="21"/>
      <c r="V21" s="21"/>
      <c r="W21" s="21"/>
      <c r="X21" s="22"/>
      <c r="Y21" s="22"/>
      <c r="Z21" s="21"/>
      <c r="AA21" s="21"/>
      <c r="AB21" s="21"/>
      <c r="AC21" s="21"/>
      <c r="AD21" s="10" t="s">
        <v>6</v>
      </c>
      <c r="AE21" s="22"/>
      <c r="AF21" s="21"/>
      <c r="AG21" s="22"/>
      <c r="AH21" s="36">
        <v>1.0</v>
      </c>
    </row>
    <row r="22" ht="30.0" customHeight="1">
      <c r="B22" s="26" t="str">
        <f>Enero!MonthName&amp;" Total"</f>
        <v>Enero Total</v>
      </c>
      <c r="C22" s="27">
        <f>SUBTOTAL(103,Enero!$C$7:$C$8)</f>
        <v>0</v>
      </c>
      <c r="D22" s="27">
        <f>SUBTOTAL(103,Enero!$D$7:$D$8)</f>
        <v>0</v>
      </c>
      <c r="E22" s="27">
        <f>SUBTOTAL(103,Enero!$E$7:$E$8)</f>
        <v>0</v>
      </c>
      <c r="F22" s="27"/>
      <c r="G22" s="27">
        <f>SUBTOTAL(103,Enero!$G$7:$G$8)</f>
        <v>0</v>
      </c>
      <c r="H22" s="27">
        <f>SUBTOTAL(103,Enero!$H$7:$H$8)</f>
        <v>0</v>
      </c>
      <c r="I22" s="37" t="s">
        <v>17</v>
      </c>
      <c r="J22" s="27">
        <f>SUBTOTAL(103,Enero!$J$7:$J$8)</f>
        <v>0</v>
      </c>
      <c r="K22" s="37" t="s">
        <v>17</v>
      </c>
      <c r="L22" s="27">
        <f>SUBTOTAL(103,Enero!$L$7:$L$8)</f>
        <v>0</v>
      </c>
      <c r="M22" s="37" t="s">
        <v>17</v>
      </c>
      <c r="N22" s="27">
        <f>SUBTOTAL(103,Enero!$N$7:$N$8)</f>
        <v>0</v>
      </c>
      <c r="O22" s="27">
        <f>SUBTOTAL(103,Enero!$O$7:$O$8)</f>
        <v>0</v>
      </c>
      <c r="P22" s="37" t="s">
        <v>18</v>
      </c>
      <c r="Q22" s="27">
        <f>SUBTOTAL(103,Enero!$Q$7:$Q$8)</f>
        <v>0</v>
      </c>
      <c r="R22" s="37" t="s">
        <v>18</v>
      </c>
      <c r="S22" s="27">
        <f>SUBTOTAL(103,Enero!$S$7:$S$8)</f>
        <v>0</v>
      </c>
      <c r="T22" s="37" t="s">
        <v>16</v>
      </c>
      <c r="U22" s="27">
        <f>SUBTOTAL(103,Enero!$U$7:$U$8)</f>
        <v>0</v>
      </c>
      <c r="V22" s="27"/>
      <c r="W22" s="37" t="s">
        <v>20</v>
      </c>
      <c r="X22" s="27">
        <f>SUBTOTAL(103,Enero!$X$7:$X$8)</f>
        <v>0</v>
      </c>
      <c r="Y22" s="37" t="s">
        <v>17</v>
      </c>
      <c r="Z22" s="27">
        <f>SUBTOTAL(103,Enero!$Z$7:$Z$8)</f>
        <v>0</v>
      </c>
      <c r="AA22" s="37" t="s">
        <v>15</v>
      </c>
      <c r="AB22" s="27">
        <f>SUBTOTAL(103,Enero!$AB$7:$AB$8)</f>
        <v>0</v>
      </c>
      <c r="AC22" s="27">
        <f>SUBTOTAL(103,Enero!$AC$7:$AC$8)</f>
        <v>1</v>
      </c>
      <c r="AD22" s="27">
        <f>SUBTOTAL(103,Enero!$AD$7:$AD$8)</f>
        <v>1</v>
      </c>
      <c r="AE22" s="27">
        <f>SUBTOTAL(103,Enero!$AE$7:$AE$8)</f>
        <v>1</v>
      </c>
      <c r="AF22" s="27">
        <f>SUBTOTAL(103,Enero!$AF$7:$AF$8)</f>
        <v>0</v>
      </c>
      <c r="AG22" s="27">
        <f>SUBTOTAL(103,Enero!$AG$7:$AG$8)</f>
        <v>0</v>
      </c>
      <c r="AH22" s="27">
        <f>SUM(C22:AG22)</f>
        <v>32</v>
      </c>
    </row>
    <row r="23" ht="30.0" customHeight="1">
      <c r="AH23" s="5"/>
    </row>
    <row r="24" ht="30.0" customHeight="1">
      <c r="AH24" s="5"/>
    </row>
    <row r="25" ht="30.0" customHeight="1">
      <c r="B25" s="32" t="s">
        <v>12</v>
      </c>
      <c r="C25" s="29" t="s">
        <v>58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8">
        <v>2025.0</v>
      </c>
    </row>
    <row r="26" ht="30.0" customHeight="1">
      <c r="B26" s="32"/>
      <c r="C26" s="16" t="str">
        <f>TEXT(WEEKDAY(DATE(CalendarioAño,1,1),1),"ddd")</f>
        <v>mié</v>
      </c>
      <c r="D26" s="16" t="str">
        <f>TEXT(WEEKDAY(DATE(CalendarioAño,1,2),1),"ddd")</f>
        <v>jue</v>
      </c>
      <c r="E26" s="16" t="str">
        <f>TEXT(WEEKDAY(DATE(CalendarioAño,1,3),1),"ddd")</f>
        <v>vie</v>
      </c>
      <c r="F26" s="16" t="str">
        <f>TEXT(WEEKDAY(DATE(CalendarioAño,1,4),1),"ddd")</f>
        <v>sáb</v>
      </c>
      <c r="G26" s="16" t="str">
        <f>TEXT(WEEKDAY(DATE(CalendarioAño,1,5),1),"ddd")</f>
        <v>dom</v>
      </c>
      <c r="H26" s="16" t="str">
        <f>TEXT(WEEKDAY(DATE(CalendarioAño,1,6),1),"ddd")</f>
        <v>lun</v>
      </c>
      <c r="I26" s="16" t="str">
        <f>TEXT(WEEKDAY(DATE(CalendarioAño,1,7),1),"ddd")</f>
        <v>mar</v>
      </c>
      <c r="J26" s="16" t="str">
        <f>TEXT(WEEKDAY(DATE(CalendarioAño,1,8),1),"ddd")</f>
        <v>mié</v>
      </c>
      <c r="K26" s="16" t="str">
        <f>TEXT(WEEKDAY(DATE(CalendarioAño,1,9),1),"ddd")</f>
        <v>jue</v>
      </c>
      <c r="L26" s="16" t="str">
        <f>TEXT(WEEKDAY(DATE(CalendarioAño,1,10),1),"ddd")</f>
        <v>vie</v>
      </c>
      <c r="M26" s="16" t="str">
        <f>TEXT(WEEKDAY(DATE(CalendarioAño,1,11),1),"ddd")</f>
        <v>sáb</v>
      </c>
      <c r="N26" s="16" t="str">
        <f>TEXT(WEEKDAY(DATE(CalendarioAño,1,12),1),"ddd")</f>
        <v>dom</v>
      </c>
      <c r="O26" s="16" t="str">
        <f>TEXT(WEEKDAY(DATE(CalendarioAño,1,13),1),"ddd")</f>
        <v>lun</v>
      </c>
      <c r="P26" s="16" t="str">
        <f>TEXT(WEEKDAY(DATE(CalendarioAño,1,14),1),"ddd")</f>
        <v>mar</v>
      </c>
      <c r="Q26" s="16" t="str">
        <f>TEXT(WEEKDAY(DATE(CalendarioAño,1,15),1),"ddd")</f>
        <v>mié</v>
      </c>
      <c r="R26" s="16" t="str">
        <f>TEXT(WEEKDAY(DATE(CalendarioAño,1,16),1),"ddd")</f>
        <v>jue</v>
      </c>
      <c r="S26" s="16" t="str">
        <f>TEXT(WEEKDAY(DATE(CalendarioAño,1,17),1),"ddd")</f>
        <v>vie</v>
      </c>
      <c r="T26" s="16" t="str">
        <f>TEXT(WEEKDAY(DATE(CalendarioAño,1,18),1),"ddd")</f>
        <v>sáb</v>
      </c>
      <c r="U26" s="16" t="str">
        <f>TEXT(WEEKDAY(DATE(CalendarioAño,1,19),1),"ddd")</f>
        <v>dom</v>
      </c>
      <c r="V26" s="16" t="str">
        <f>TEXT(WEEKDAY(DATE(CalendarioAño,1,20),1),"ddd")</f>
        <v>lun</v>
      </c>
      <c r="W26" s="16" t="str">
        <f>TEXT(WEEKDAY(DATE(CalendarioAño,1,21),1),"ddd")</f>
        <v>mar</v>
      </c>
      <c r="X26" s="16" t="str">
        <f>TEXT(WEEKDAY(DATE(CalendarioAño,1,22),1),"ddd")</f>
        <v>mié</v>
      </c>
      <c r="Y26" s="16" t="str">
        <f>TEXT(WEEKDAY(DATE(CalendarioAño,1,23),1),"ddd")</f>
        <v>jue</v>
      </c>
      <c r="Z26" s="16" t="str">
        <f>TEXT(WEEKDAY(DATE(CalendarioAño,1,24),1),"ddd")</f>
        <v>vie</v>
      </c>
      <c r="AA26" s="16" t="str">
        <f>TEXT(WEEKDAY(DATE(CalendarioAño,1,25),1),"ddd")</f>
        <v>sáb</v>
      </c>
      <c r="AB26" s="16" t="str">
        <f>TEXT(WEEKDAY(DATE(CalendarioAño,1,26),1),"ddd")</f>
        <v>dom</v>
      </c>
      <c r="AC26" s="16" t="str">
        <f>TEXT(WEEKDAY(DATE(CalendarioAño,1,27),1),"ddd")</f>
        <v>lun</v>
      </c>
      <c r="AD26" s="16" t="str">
        <f>TEXT(WEEKDAY(DATE(CalendarioAño,1,28),1),"ddd")</f>
        <v>mar</v>
      </c>
      <c r="AE26" s="16" t="str">
        <f>TEXT(WEEKDAY(DATE(CalendarioAño,1,29),1),"ddd")</f>
        <v>mié</v>
      </c>
      <c r="AF26" s="16" t="str">
        <f>TEXT(WEEKDAY(DATE(CalendarioAño,1,30),1),"ddd")</f>
        <v>jue</v>
      </c>
      <c r="AG26" s="16" t="str">
        <f>TEXT(WEEKDAY(DATE(CalendarioAño,1,31),1),"ddd")</f>
        <v>vie</v>
      </c>
      <c r="AH26" s="32"/>
    </row>
    <row r="27" ht="30.0" customHeight="1">
      <c r="A27" s="17"/>
      <c r="B27" s="33" t="s">
        <v>14</v>
      </c>
      <c r="C27" s="19" t="s">
        <v>15</v>
      </c>
      <c r="D27" s="19" t="s">
        <v>16</v>
      </c>
      <c r="E27" s="19" t="s">
        <v>17</v>
      </c>
      <c r="F27" s="19" t="s">
        <v>18</v>
      </c>
      <c r="G27" s="19" t="s">
        <v>19</v>
      </c>
      <c r="H27" s="19" t="s">
        <v>20</v>
      </c>
      <c r="I27" s="19" t="s">
        <v>21</v>
      </c>
      <c r="J27" s="19" t="s">
        <v>22</v>
      </c>
      <c r="K27" s="19" t="s">
        <v>23</v>
      </c>
      <c r="L27" s="19" t="s">
        <v>24</v>
      </c>
      <c r="M27" s="19" t="s">
        <v>25</v>
      </c>
      <c r="N27" s="19" t="s">
        <v>26</v>
      </c>
      <c r="O27" s="19" t="s">
        <v>27</v>
      </c>
      <c r="P27" s="19" t="s">
        <v>28</v>
      </c>
      <c r="Q27" s="19" t="s">
        <v>29</v>
      </c>
      <c r="R27" s="19" t="s">
        <v>30</v>
      </c>
      <c r="S27" s="19" t="s">
        <v>31</v>
      </c>
      <c r="T27" s="19" t="s">
        <v>32</v>
      </c>
      <c r="U27" s="19" t="s">
        <v>33</v>
      </c>
      <c r="V27" s="19" t="s">
        <v>34</v>
      </c>
      <c r="W27" s="19" t="s">
        <v>35</v>
      </c>
      <c r="X27" s="19" t="s">
        <v>36</v>
      </c>
      <c r="Y27" s="19" t="s">
        <v>37</v>
      </c>
      <c r="Z27" s="19" t="s">
        <v>38</v>
      </c>
      <c r="AA27" s="19" t="s">
        <v>39</v>
      </c>
      <c r="AB27" s="19" t="s">
        <v>40</v>
      </c>
      <c r="AC27" s="19" t="s">
        <v>41</v>
      </c>
      <c r="AD27" s="19" t="s">
        <v>42</v>
      </c>
      <c r="AE27" s="19" t="s">
        <v>43</v>
      </c>
      <c r="AF27" s="19" t="s">
        <v>44</v>
      </c>
      <c r="AG27" s="19" t="s">
        <v>45</v>
      </c>
      <c r="AH27" s="19" t="s">
        <v>46</v>
      </c>
    </row>
    <row r="28" ht="30.0" customHeight="1">
      <c r="B28" s="39" t="s">
        <v>59</v>
      </c>
      <c r="C28" s="21"/>
      <c r="D28" s="21"/>
      <c r="E28" s="21"/>
      <c r="F28" s="21"/>
      <c r="G28" s="21"/>
      <c r="H28" s="22"/>
      <c r="I28" s="10" t="s">
        <v>6</v>
      </c>
      <c r="J28" s="21"/>
      <c r="K28" s="21"/>
      <c r="L28" s="21"/>
      <c r="M28" s="21"/>
      <c r="N28" s="21"/>
      <c r="O28" s="10" t="s">
        <v>6</v>
      </c>
      <c r="P28" s="21"/>
      <c r="Q28" s="21"/>
      <c r="R28" s="21"/>
      <c r="S28" s="10" t="s">
        <v>6</v>
      </c>
      <c r="T28" s="21"/>
      <c r="U28" s="21"/>
      <c r="V28" s="10" t="s">
        <v>6</v>
      </c>
      <c r="W28" s="21"/>
      <c r="X28" s="21"/>
      <c r="Y28" s="21"/>
      <c r="Z28" s="10" t="s">
        <v>6</v>
      </c>
      <c r="AA28" s="21"/>
      <c r="AB28" s="21"/>
      <c r="AC28" s="10" t="s">
        <v>6</v>
      </c>
      <c r="AD28" s="21"/>
      <c r="AE28" s="21"/>
      <c r="AF28" s="21"/>
      <c r="AG28" s="10" t="s">
        <v>6</v>
      </c>
      <c r="AH28" s="25">
        <f t="shared" ref="AH28:AH42" si="3">(COUNTA(C28:AG28))</f>
        <v>7</v>
      </c>
    </row>
    <row r="29" ht="30.0" customHeight="1">
      <c r="B29" s="39" t="s">
        <v>60</v>
      </c>
      <c r="C29" s="21"/>
      <c r="D29" s="21"/>
      <c r="E29" s="21"/>
      <c r="F29" s="21"/>
      <c r="G29" s="22"/>
      <c r="H29" s="21"/>
      <c r="I29" s="10" t="s">
        <v>6</v>
      </c>
      <c r="J29" s="22"/>
      <c r="K29" s="10" t="s">
        <v>6</v>
      </c>
      <c r="L29" s="22"/>
      <c r="M29" s="21"/>
      <c r="N29" s="22"/>
      <c r="O29" s="21"/>
      <c r="P29" s="10" t="s">
        <v>6</v>
      </c>
      <c r="Q29" s="21"/>
      <c r="R29" s="10" t="s">
        <v>6</v>
      </c>
      <c r="S29" s="22"/>
      <c r="T29" s="21"/>
      <c r="U29" s="22"/>
      <c r="V29" s="21"/>
      <c r="W29" s="10" t="s">
        <v>6</v>
      </c>
      <c r="X29" s="22"/>
      <c r="Y29" s="10" t="s">
        <v>6</v>
      </c>
      <c r="Z29" s="22"/>
      <c r="AA29" s="21"/>
      <c r="AB29" s="21"/>
      <c r="AC29" s="21"/>
      <c r="AD29" s="10" t="s">
        <v>6</v>
      </c>
      <c r="AE29" s="22"/>
      <c r="AF29" s="10" t="s">
        <v>6</v>
      </c>
      <c r="AG29" s="22"/>
      <c r="AH29" s="25">
        <f t="shared" si="3"/>
        <v>8</v>
      </c>
    </row>
    <row r="30" ht="30.0" customHeight="1">
      <c r="B30" s="20" t="s">
        <v>61</v>
      </c>
      <c r="C30" s="21"/>
      <c r="D30" s="21"/>
      <c r="E30" s="21"/>
      <c r="F30" s="21"/>
      <c r="G30" s="21"/>
      <c r="H30" s="21"/>
      <c r="I30" s="10" t="s">
        <v>6</v>
      </c>
      <c r="J30" s="21"/>
      <c r="K30" s="21"/>
      <c r="L30" s="21"/>
      <c r="M30" s="10" t="s">
        <v>6</v>
      </c>
      <c r="N30" s="21"/>
      <c r="O30" s="21"/>
      <c r="P30" s="10" t="s">
        <v>6</v>
      </c>
      <c r="Q30" s="22"/>
      <c r="R30" s="21"/>
      <c r="S30" s="22"/>
      <c r="T30" s="10" t="s">
        <v>6</v>
      </c>
      <c r="U30" s="22"/>
      <c r="V30" s="21"/>
      <c r="W30" s="10" t="s">
        <v>6</v>
      </c>
      <c r="X30" s="22"/>
      <c r="Y30" s="21"/>
      <c r="Z30" s="22"/>
      <c r="AA30" s="21"/>
      <c r="AB30" s="21"/>
      <c r="AC30" s="21"/>
      <c r="AD30" s="21"/>
      <c r="AE30" s="10" t="s">
        <v>6</v>
      </c>
      <c r="AF30" s="21"/>
      <c r="AG30" s="22"/>
      <c r="AH30" s="25">
        <f t="shared" si="3"/>
        <v>6</v>
      </c>
    </row>
    <row r="31" ht="30.0" customHeight="1">
      <c r="B31" s="20" t="s">
        <v>62</v>
      </c>
      <c r="C31" s="21"/>
      <c r="D31" s="21"/>
      <c r="E31" s="21"/>
      <c r="F31" s="21"/>
      <c r="G31" s="21"/>
      <c r="H31" s="21"/>
      <c r="I31" s="10" t="s">
        <v>6</v>
      </c>
      <c r="J31" s="21"/>
      <c r="K31" s="10" t="s">
        <v>6</v>
      </c>
      <c r="L31" s="21"/>
      <c r="M31" s="21"/>
      <c r="N31" s="21"/>
      <c r="O31" s="21"/>
      <c r="P31" s="10" t="s">
        <v>6</v>
      </c>
      <c r="Q31" s="21"/>
      <c r="R31" s="10" t="s">
        <v>6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5">
        <f t="shared" si="3"/>
        <v>4</v>
      </c>
    </row>
    <row r="32" ht="30.0" customHeight="1">
      <c r="B32" s="20" t="s">
        <v>63</v>
      </c>
      <c r="C32" s="21"/>
      <c r="D32" s="21"/>
      <c r="E32" s="21"/>
      <c r="F32" s="22"/>
      <c r="G32" s="22"/>
      <c r="H32" s="22"/>
      <c r="I32" s="10" t="s">
        <v>6</v>
      </c>
      <c r="J32" s="22"/>
      <c r="K32" s="22"/>
      <c r="L32" s="22"/>
      <c r="M32" s="10" t="s">
        <v>6</v>
      </c>
      <c r="N32" s="21"/>
      <c r="O32" s="21"/>
      <c r="P32" s="10" t="s">
        <v>6</v>
      </c>
      <c r="Q32" s="21"/>
      <c r="R32" s="10" t="s">
        <v>6</v>
      </c>
      <c r="S32" s="21"/>
      <c r="T32" s="10" t="s">
        <v>6</v>
      </c>
      <c r="U32" s="21"/>
      <c r="V32" s="21"/>
      <c r="W32" s="10" t="s">
        <v>6</v>
      </c>
      <c r="X32" s="21"/>
      <c r="Y32" s="10" t="s">
        <v>6</v>
      </c>
      <c r="Z32" s="21"/>
      <c r="AA32" s="21"/>
      <c r="AB32" s="21"/>
      <c r="AC32" s="21"/>
      <c r="AD32" s="10" t="s">
        <v>6</v>
      </c>
      <c r="AE32" s="21"/>
      <c r="AF32" s="10" t="s">
        <v>6</v>
      </c>
      <c r="AG32" s="22"/>
      <c r="AH32" s="25">
        <f t="shared" si="3"/>
        <v>9</v>
      </c>
    </row>
    <row r="33" ht="30.0" customHeight="1">
      <c r="B33" s="20" t="s">
        <v>64</v>
      </c>
      <c r="C33" s="21"/>
      <c r="D33" s="21"/>
      <c r="E33" s="21"/>
      <c r="F33" s="22"/>
      <c r="G33" s="22"/>
      <c r="H33" s="21"/>
      <c r="I33" s="10" t="s">
        <v>6</v>
      </c>
      <c r="J33" s="21"/>
      <c r="K33" s="10" t="s">
        <v>6</v>
      </c>
      <c r="L33" s="21"/>
      <c r="M33" s="21"/>
      <c r="N33" s="22"/>
      <c r="O33" s="21"/>
      <c r="P33" s="10" t="s">
        <v>6</v>
      </c>
      <c r="Q33" s="21"/>
      <c r="R33" s="21"/>
      <c r="S33" s="21"/>
      <c r="T33" s="21"/>
      <c r="U33" s="21"/>
      <c r="V33" s="21"/>
      <c r="W33" s="10" t="s">
        <v>6</v>
      </c>
      <c r="X33" s="21"/>
      <c r="Y33" s="10" t="s">
        <v>6</v>
      </c>
      <c r="Z33" s="22"/>
      <c r="AA33" s="21"/>
      <c r="AB33" s="21"/>
      <c r="AC33" s="21"/>
      <c r="AD33" s="10" t="s">
        <v>6</v>
      </c>
      <c r="AE33" s="21"/>
      <c r="AF33" s="10" t="s">
        <v>6</v>
      </c>
      <c r="AG33" s="22"/>
      <c r="AH33" s="25">
        <f t="shared" si="3"/>
        <v>7</v>
      </c>
    </row>
    <row r="34" ht="30.0" customHeight="1">
      <c r="B34" s="20" t="s">
        <v>65</v>
      </c>
      <c r="C34" s="21"/>
      <c r="D34" s="21"/>
      <c r="E34" s="21"/>
      <c r="F34" s="22"/>
      <c r="G34" s="34"/>
      <c r="H34" s="22"/>
      <c r="I34" s="21"/>
      <c r="J34" s="10" t="s">
        <v>6</v>
      </c>
      <c r="K34" s="21"/>
      <c r="L34" s="10" t="s">
        <v>6</v>
      </c>
      <c r="M34" s="21"/>
      <c r="N34" s="22"/>
      <c r="O34" s="22"/>
      <c r="P34" s="10" t="s">
        <v>6</v>
      </c>
      <c r="Q34" s="21"/>
      <c r="R34" s="21"/>
      <c r="S34" s="10" t="s">
        <v>6</v>
      </c>
      <c r="T34" s="21"/>
      <c r="U34" s="21"/>
      <c r="V34" s="21"/>
      <c r="W34" s="10" t="s">
        <v>6</v>
      </c>
      <c r="X34" s="21"/>
      <c r="Y34" s="21"/>
      <c r="Z34" s="10" t="s">
        <v>6</v>
      </c>
      <c r="AA34" s="21"/>
      <c r="AB34" s="21"/>
      <c r="AC34" s="10" t="s">
        <v>6</v>
      </c>
      <c r="AD34" s="10" t="s">
        <v>6</v>
      </c>
      <c r="AE34" s="21"/>
      <c r="AF34" s="21"/>
      <c r="AG34" s="21"/>
      <c r="AH34" s="25">
        <f t="shared" si="3"/>
        <v>8</v>
      </c>
    </row>
    <row r="35" ht="30.0" customHeight="1">
      <c r="B35" s="20" t="s">
        <v>66</v>
      </c>
      <c r="C35" s="21"/>
      <c r="D35" s="21"/>
      <c r="E35" s="21"/>
      <c r="F35" s="22"/>
      <c r="G35" s="34"/>
      <c r="H35" s="22"/>
      <c r="I35" s="21"/>
      <c r="J35" s="10" t="s">
        <v>6</v>
      </c>
      <c r="K35" s="21"/>
      <c r="L35" s="10" t="s">
        <v>6</v>
      </c>
      <c r="M35" s="21"/>
      <c r="N35" s="22"/>
      <c r="O35" s="22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10" t="s">
        <v>6</v>
      </c>
      <c r="AF35" s="21"/>
      <c r="AG35" s="21"/>
      <c r="AH35" s="25">
        <f t="shared" si="3"/>
        <v>3</v>
      </c>
    </row>
    <row r="36" ht="30.0" customHeight="1">
      <c r="B36" s="20" t="s">
        <v>67</v>
      </c>
      <c r="C36" s="21"/>
      <c r="D36" s="21"/>
      <c r="E36" s="21"/>
      <c r="F36" s="22"/>
      <c r="G36" s="34"/>
      <c r="H36" s="22"/>
      <c r="I36" s="21"/>
      <c r="J36" s="10" t="s">
        <v>6</v>
      </c>
      <c r="K36" s="21"/>
      <c r="L36" s="10" t="s">
        <v>6</v>
      </c>
      <c r="M36" s="21"/>
      <c r="N36" s="40"/>
      <c r="O36" s="10" t="s">
        <v>6</v>
      </c>
      <c r="P36" s="21"/>
      <c r="Q36" s="10" t="s">
        <v>6</v>
      </c>
      <c r="R36" s="21"/>
      <c r="S36" s="21"/>
      <c r="T36" s="21"/>
      <c r="U36" s="21"/>
      <c r="V36" s="10" t="s">
        <v>6</v>
      </c>
      <c r="W36" s="21"/>
      <c r="X36" s="10" t="s">
        <v>6</v>
      </c>
      <c r="Y36" s="21"/>
      <c r="Z36" s="21"/>
      <c r="AA36" s="21"/>
      <c r="AB36" s="21"/>
      <c r="AC36" s="21"/>
      <c r="AD36" s="10" t="s">
        <v>6</v>
      </c>
      <c r="AE36" s="21"/>
      <c r="AF36" s="21"/>
      <c r="AG36" s="21"/>
      <c r="AH36" s="25">
        <f t="shared" si="3"/>
        <v>7</v>
      </c>
    </row>
    <row r="37" ht="30.0" customHeight="1">
      <c r="B37" s="20" t="s">
        <v>68</v>
      </c>
      <c r="C37" s="21"/>
      <c r="D37" s="21"/>
      <c r="E37" s="21"/>
      <c r="F37" s="22"/>
      <c r="G37" s="34"/>
      <c r="H37" s="22"/>
      <c r="I37" s="21"/>
      <c r="J37" s="21"/>
      <c r="K37" s="10" t="s">
        <v>6</v>
      </c>
      <c r="L37" s="21"/>
      <c r="M37" s="10" t="s">
        <v>6</v>
      </c>
      <c r="N37" s="22"/>
      <c r="O37" s="22"/>
      <c r="P37" s="10" t="s">
        <v>6</v>
      </c>
      <c r="Q37" s="21"/>
      <c r="R37" s="21"/>
      <c r="S37" s="10" t="s">
        <v>6</v>
      </c>
      <c r="T37" s="21"/>
      <c r="U37" s="21"/>
      <c r="V37" s="21"/>
      <c r="W37" s="10" t="s">
        <v>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5">
        <f t="shared" si="3"/>
        <v>5</v>
      </c>
    </row>
    <row r="38" ht="30.0" customHeight="1">
      <c r="B38" s="39" t="s">
        <v>69</v>
      </c>
      <c r="C38" s="21"/>
      <c r="D38" s="21"/>
      <c r="E38" s="21"/>
      <c r="F38" s="22"/>
      <c r="G38" s="34"/>
      <c r="H38" s="22"/>
      <c r="I38" s="21"/>
      <c r="J38" s="21"/>
      <c r="K38" s="10" t="s">
        <v>6</v>
      </c>
      <c r="L38" s="21"/>
      <c r="M38" s="21"/>
      <c r="N38" s="22"/>
      <c r="O38" s="22"/>
      <c r="P38" s="10" t="s">
        <v>6</v>
      </c>
      <c r="Q38" s="21"/>
      <c r="R38" s="10" t="s">
        <v>6</v>
      </c>
      <c r="S38" s="21"/>
      <c r="T38" s="21"/>
      <c r="U38" s="21"/>
      <c r="V38" s="21"/>
      <c r="W38" s="21"/>
      <c r="X38" s="21"/>
      <c r="Y38" s="10" t="s">
        <v>6</v>
      </c>
      <c r="Z38" s="21"/>
      <c r="AA38" s="21"/>
      <c r="AB38" s="21"/>
      <c r="AC38" s="21"/>
      <c r="AD38" s="21"/>
      <c r="AE38" s="21"/>
      <c r="AF38" s="21"/>
      <c r="AG38" s="21"/>
      <c r="AH38" s="25">
        <f t="shared" si="3"/>
        <v>4</v>
      </c>
    </row>
    <row r="39" ht="30.0" customHeight="1">
      <c r="B39" s="39" t="s">
        <v>70</v>
      </c>
      <c r="C39" s="21"/>
      <c r="D39" s="21"/>
      <c r="E39" s="21"/>
      <c r="F39" s="22"/>
      <c r="G39" s="34"/>
      <c r="H39" s="22"/>
      <c r="I39" s="21"/>
      <c r="J39" s="21"/>
      <c r="K39" s="10" t="s">
        <v>6</v>
      </c>
      <c r="L39" s="21"/>
      <c r="M39" s="21"/>
      <c r="N39" s="22"/>
      <c r="O39" s="22"/>
      <c r="P39" s="21"/>
      <c r="Q39" s="21"/>
      <c r="R39" s="10" t="s">
        <v>6</v>
      </c>
      <c r="S39" s="21"/>
      <c r="T39" s="10" t="s">
        <v>6</v>
      </c>
      <c r="U39" s="21"/>
      <c r="V39" s="21"/>
      <c r="W39" s="21"/>
      <c r="X39" s="21"/>
      <c r="Y39" s="10" t="s">
        <v>6</v>
      </c>
      <c r="Z39" s="21"/>
      <c r="AA39" s="21"/>
      <c r="AB39" s="21"/>
      <c r="AC39" s="21"/>
      <c r="AD39" s="21"/>
      <c r="AE39" s="21"/>
      <c r="AF39" s="21"/>
      <c r="AG39" s="21"/>
      <c r="AH39" s="25">
        <f t="shared" si="3"/>
        <v>4</v>
      </c>
    </row>
    <row r="40" ht="30.0" customHeight="1">
      <c r="B40" s="20" t="s">
        <v>71</v>
      </c>
      <c r="C40" s="21"/>
      <c r="D40" s="21"/>
      <c r="E40" s="21"/>
      <c r="F40" s="22"/>
      <c r="G40" s="34"/>
      <c r="H40" s="22"/>
      <c r="I40" s="21"/>
      <c r="J40" s="21"/>
      <c r="K40" s="21"/>
      <c r="L40" s="10" t="s">
        <v>6</v>
      </c>
      <c r="M40" s="21"/>
      <c r="N40" s="22"/>
      <c r="O40" s="22"/>
      <c r="P40" s="21"/>
      <c r="Q40" s="21"/>
      <c r="R40" s="21"/>
      <c r="S40" s="10" t="s">
        <v>6</v>
      </c>
      <c r="T40" s="10" t="s">
        <v>6</v>
      </c>
      <c r="U40" s="21"/>
      <c r="V40" s="21"/>
      <c r="W40" s="21"/>
      <c r="X40" s="21"/>
      <c r="Y40" s="21"/>
      <c r="Z40" s="10" t="s">
        <v>6</v>
      </c>
      <c r="AA40" s="21"/>
      <c r="AB40" s="21"/>
      <c r="AC40" s="21"/>
      <c r="AD40" s="21"/>
      <c r="AE40" s="21"/>
      <c r="AF40" s="21"/>
      <c r="AG40" s="10" t="s">
        <v>6</v>
      </c>
      <c r="AH40" s="25">
        <f t="shared" si="3"/>
        <v>5</v>
      </c>
    </row>
    <row r="41" ht="30.0" customHeight="1">
      <c r="B41" s="20" t="s">
        <v>72</v>
      </c>
      <c r="C41" s="21"/>
      <c r="D41" s="21"/>
      <c r="E41" s="21"/>
      <c r="F41" s="22"/>
      <c r="G41" s="34"/>
      <c r="H41" s="22"/>
      <c r="I41" s="21"/>
      <c r="J41" s="21"/>
      <c r="K41" s="21"/>
      <c r="L41" s="21"/>
      <c r="M41" s="10" t="s">
        <v>6</v>
      </c>
      <c r="N41" s="22"/>
      <c r="O41" s="22"/>
      <c r="P41" s="21"/>
      <c r="Q41" s="21"/>
      <c r="R41" s="21"/>
      <c r="S41" s="21"/>
      <c r="T41" s="10" t="s">
        <v>6</v>
      </c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5">
        <f t="shared" si="3"/>
        <v>2</v>
      </c>
    </row>
    <row r="42" ht="30.0" customHeight="1">
      <c r="B42" s="20" t="s">
        <v>73</v>
      </c>
      <c r="C42" s="21"/>
      <c r="D42" s="21"/>
      <c r="E42" s="21"/>
      <c r="F42" s="22"/>
      <c r="G42" s="34"/>
      <c r="H42" s="22"/>
      <c r="I42" s="21"/>
      <c r="J42" s="21"/>
      <c r="K42" s="21"/>
      <c r="L42" s="21"/>
      <c r="M42" s="40"/>
      <c r="N42" s="22"/>
      <c r="O42" s="22"/>
      <c r="P42" s="21"/>
      <c r="Q42" s="21"/>
      <c r="R42" s="21"/>
      <c r="S42" s="10" t="s">
        <v>6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5">
        <f t="shared" si="3"/>
        <v>1</v>
      </c>
    </row>
    <row r="43" ht="30.0" customHeight="1">
      <c r="B43" s="26" t="str">
        <f>Enero!MonthName&amp;" Total"</f>
        <v>Enero Total</v>
      </c>
      <c r="C43" s="27">
        <f>SUBTOTAL(103,Enero!$C$7:$C$8)</f>
        <v>0</v>
      </c>
      <c r="D43" s="27">
        <f>SUBTOTAL(103,Enero!$D$7:$D$8)</f>
        <v>0</v>
      </c>
      <c r="E43" s="27">
        <f>SUBTOTAL(103,Enero!$E$7:$E$8)</f>
        <v>0</v>
      </c>
      <c r="F43" s="27"/>
      <c r="G43" s="27">
        <f>SUBTOTAL(103,Enero!$G$7:$G$8)</f>
        <v>0</v>
      </c>
      <c r="H43" s="27">
        <f>SUBTOTAL(103,Enero!$H$7:$H$8)</f>
        <v>0</v>
      </c>
      <c r="I43" s="37" t="s">
        <v>20</v>
      </c>
      <c r="J43" s="37" t="s">
        <v>17</v>
      </c>
      <c r="K43" s="37" t="s">
        <v>20</v>
      </c>
      <c r="L43" s="37" t="s">
        <v>18</v>
      </c>
      <c r="M43" s="37" t="s">
        <v>18</v>
      </c>
      <c r="N43" s="27">
        <f>SUBTOTAL(103,Enero!$N$7:$N$8)</f>
        <v>0</v>
      </c>
      <c r="O43" s="37" t="s">
        <v>16</v>
      </c>
      <c r="P43" s="37" t="s">
        <v>22</v>
      </c>
      <c r="Q43" s="37" t="s">
        <v>15</v>
      </c>
      <c r="R43" s="37" t="s">
        <v>19</v>
      </c>
      <c r="S43" s="37" t="s">
        <v>19</v>
      </c>
      <c r="T43" s="37" t="s">
        <v>19</v>
      </c>
      <c r="U43" s="27">
        <f>SUBTOTAL(103,Enero!$U$7:$U$8)</f>
        <v>0</v>
      </c>
      <c r="V43" s="37" t="s">
        <v>16</v>
      </c>
      <c r="W43" s="37" t="s">
        <v>20</v>
      </c>
      <c r="X43" s="37" t="s">
        <v>15</v>
      </c>
      <c r="Y43" s="37" t="s">
        <v>19</v>
      </c>
      <c r="Z43" s="37" t="s">
        <v>17</v>
      </c>
      <c r="AA43" s="27">
        <f>SUBTOTAL(103,Enero!$AA$7:$AA$8)</f>
        <v>0</v>
      </c>
      <c r="AB43" s="27">
        <f>SUBTOTAL(103,Enero!$AB$7:$AB$8)</f>
        <v>0</v>
      </c>
      <c r="AC43" s="27">
        <f>SUBTOTAL(103,Enero!$AC$7:$AC$8)</f>
        <v>1</v>
      </c>
      <c r="AD43" s="27">
        <f>SUBTOTAL(103,Enero!$AD$7:$AD$8)</f>
        <v>1</v>
      </c>
      <c r="AE43" s="27">
        <f>SUBTOTAL(103,Enero!$AE$7:$AE$8)</f>
        <v>1</v>
      </c>
      <c r="AF43" s="27">
        <f>SUBTOTAL(103,Enero!$AF$7:$AF$8)</f>
        <v>0</v>
      </c>
      <c r="AG43" s="27">
        <f>SUBTOTAL(103,Enero!$AG$7:$AG$8)</f>
        <v>0</v>
      </c>
      <c r="AH43" s="27">
        <f>SUM(C43:AG43)</f>
        <v>69</v>
      </c>
    </row>
    <row r="44" ht="30.0" customHeight="1">
      <c r="AH44" s="5"/>
    </row>
    <row r="45" ht="30.0" customHeight="1">
      <c r="B45" s="32" t="s">
        <v>12</v>
      </c>
      <c r="C45" s="29" t="s">
        <v>74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8">
        <v>2025.0</v>
      </c>
    </row>
    <row r="46" ht="30.0" customHeight="1">
      <c r="B46" s="32"/>
      <c r="C46" s="16" t="str">
        <f>TEXT(WEEKDAY(DATE(CalendarioAño,1,1),1),"ddd")</f>
        <v>mié</v>
      </c>
      <c r="D46" s="16" t="str">
        <f>TEXT(WEEKDAY(DATE(CalendarioAño,1,2),1),"ddd")</f>
        <v>jue</v>
      </c>
      <c r="E46" s="16" t="str">
        <f>TEXT(WEEKDAY(DATE(CalendarioAño,1,3),1),"ddd")</f>
        <v>vie</v>
      </c>
      <c r="F46" s="16" t="str">
        <f>TEXT(WEEKDAY(DATE(CalendarioAño,1,4),1),"ddd")</f>
        <v>sáb</v>
      </c>
      <c r="G46" s="16" t="str">
        <f>TEXT(WEEKDAY(DATE(CalendarioAño,1,5),1),"ddd")</f>
        <v>dom</v>
      </c>
      <c r="H46" s="16" t="str">
        <f>TEXT(WEEKDAY(DATE(CalendarioAño,1,6),1),"ddd")</f>
        <v>lun</v>
      </c>
      <c r="I46" s="16" t="str">
        <f>TEXT(WEEKDAY(DATE(CalendarioAño,1,7),1),"ddd")</f>
        <v>mar</v>
      </c>
      <c r="J46" s="16" t="str">
        <f>TEXT(WEEKDAY(DATE(CalendarioAño,1,8),1),"ddd")</f>
        <v>mié</v>
      </c>
      <c r="K46" s="16" t="str">
        <f>TEXT(WEEKDAY(DATE(CalendarioAño,1,9),1),"ddd")</f>
        <v>jue</v>
      </c>
      <c r="L46" s="16" t="str">
        <f>TEXT(WEEKDAY(DATE(CalendarioAño,1,10),1),"ddd")</f>
        <v>vie</v>
      </c>
      <c r="M46" s="16" t="str">
        <f>TEXT(WEEKDAY(DATE(CalendarioAño,1,11),1),"ddd")</f>
        <v>sáb</v>
      </c>
      <c r="N46" s="16" t="str">
        <f>TEXT(WEEKDAY(DATE(CalendarioAño,1,12),1),"ddd")</f>
        <v>dom</v>
      </c>
      <c r="O46" s="16" t="str">
        <f>TEXT(WEEKDAY(DATE(CalendarioAño,1,13),1),"ddd")</f>
        <v>lun</v>
      </c>
      <c r="P46" s="16" t="str">
        <f>TEXT(WEEKDAY(DATE(CalendarioAño,1,14),1),"ddd")</f>
        <v>mar</v>
      </c>
      <c r="Q46" s="16" t="str">
        <f>TEXT(WEEKDAY(DATE(CalendarioAño,1,15),1),"ddd")</f>
        <v>mié</v>
      </c>
      <c r="R46" s="16" t="str">
        <f>TEXT(WEEKDAY(DATE(CalendarioAño,1,16),1),"ddd")</f>
        <v>jue</v>
      </c>
      <c r="S46" s="16" t="str">
        <f>TEXT(WEEKDAY(DATE(CalendarioAño,1,17),1),"ddd")</f>
        <v>vie</v>
      </c>
      <c r="T46" s="16" t="str">
        <f>TEXT(WEEKDAY(DATE(CalendarioAño,1,18),1),"ddd")</f>
        <v>sáb</v>
      </c>
      <c r="U46" s="16" t="str">
        <f>TEXT(WEEKDAY(DATE(CalendarioAño,1,19),1),"ddd")</f>
        <v>dom</v>
      </c>
      <c r="V46" s="16" t="str">
        <f>TEXT(WEEKDAY(DATE(CalendarioAño,1,20),1),"ddd")</f>
        <v>lun</v>
      </c>
      <c r="W46" s="16" t="str">
        <f>TEXT(WEEKDAY(DATE(CalendarioAño,1,21),1),"ddd")</f>
        <v>mar</v>
      </c>
      <c r="X46" s="16" t="str">
        <f>TEXT(WEEKDAY(DATE(CalendarioAño,1,22),1),"ddd")</f>
        <v>mié</v>
      </c>
      <c r="Y46" s="16" t="str">
        <f>TEXT(WEEKDAY(DATE(CalendarioAño,1,23),1),"ddd")</f>
        <v>jue</v>
      </c>
      <c r="Z46" s="16" t="str">
        <f>TEXT(WEEKDAY(DATE(CalendarioAño,1,24),1),"ddd")</f>
        <v>vie</v>
      </c>
      <c r="AA46" s="16" t="str">
        <f>TEXT(WEEKDAY(DATE(CalendarioAño,1,25),1),"ddd")</f>
        <v>sáb</v>
      </c>
      <c r="AB46" s="16" t="str">
        <f>TEXT(WEEKDAY(DATE(CalendarioAño,1,26),1),"ddd")</f>
        <v>dom</v>
      </c>
      <c r="AC46" s="16" t="str">
        <f>TEXT(WEEKDAY(DATE(CalendarioAño,1,27),1),"ddd")</f>
        <v>lun</v>
      </c>
      <c r="AD46" s="16" t="str">
        <f>TEXT(WEEKDAY(DATE(CalendarioAño,1,28),1),"ddd")</f>
        <v>mar</v>
      </c>
      <c r="AE46" s="16" t="str">
        <f>TEXT(WEEKDAY(DATE(CalendarioAño,1,29),1),"ddd")</f>
        <v>mié</v>
      </c>
      <c r="AF46" s="16" t="str">
        <f>TEXT(WEEKDAY(DATE(CalendarioAño,1,30),1),"ddd")</f>
        <v>jue</v>
      </c>
      <c r="AG46" s="16" t="str">
        <f>TEXT(WEEKDAY(DATE(CalendarioAño,1,31),1),"ddd")</f>
        <v>vie</v>
      </c>
      <c r="AH46" s="32"/>
    </row>
    <row r="47" ht="30.0" customHeight="1">
      <c r="A47" s="17"/>
      <c r="B47" s="33" t="s">
        <v>14</v>
      </c>
      <c r="C47" s="19" t="s">
        <v>15</v>
      </c>
      <c r="D47" s="19" t="s">
        <v>16</v>
      </c>
      <c r="E47" s="19" t="s">
        <v>17</v>
      </c>
      <c r="F47" s="19" t="s">
        <v>18</v>
      </c>
      <c r="G47" s="19" t="s">
        <v>19</v>
      </c>
      <c r="H47" s="19" t="s">
        <v>20</v>
      </c>
      <c r="I47" s="19" t="s">
        <v>21</v>
      </c>
      <c r="J47" s="19" t="s">
        <v>22</v>
      </c>
      <c r="K47" s="19" t="s">
        <v>23</v>
      </c>
      <c r="L47" s="19" t="s">
        <v>24</v>
      </c>
      <c r="M47" s="19" t="s">
        <v>25</v>
      </c>
      <c r="N47" s="19" t="s">
        <v>26</v>
      </c>
      <c r="O47" s="19" t="s">
        <v>27</v>
      </c>
      <c r="P47" s="19" t="s">
        <v>28</v>
      </c>
      <c r="Q47" s="19" t="s">
        <v>29</v>
      </c>
      <c r="R47" s="19" t="s">
        <v>30</v>
      </c>
      <c r="S47" s="19" t="s">
        <v>31</v>
      </c>
      <c r="T47" s="19" t="s">
        <v>32</v>
      </c>
      <c r="U47" s="19" t="s">
        <v>33</v>
      </c>
      <c r="V47" s="19" t="s">
        <v>34</v>
      </c>
      <c r="W47" s="19" t="s">
        <v>35</v>
      </c>
      <c r="X47" s="19" t="s">
        <v>36</v>
      </c>
      <c r="Y47" s="19" t="s">
        <v>37</v>
      </c>
      <c r="Z47" s="19" t="s">
        <v>38</v>
      </c>
      <c r="AA47" s="19" t="s">
        <v>39</v>
      </c>
      <c r="AB47" s="19" t="s">
        <v>40</v>
      </c>
      <c r="AC47" s="19" t="s">
        <v>41</v>
      </c>
      <c r="AD47" s="19" t="s">
        <v>42</v>
      </c>
      <c r="AE47" s="19" t="s">
        <v>43</v>
      </c>
      <c r="AF47" s="19" t="s">
        <v>44</v>
      </c>
      <c r="AG47" s="19" t="s">
        <v>45</v>
      </c>
      <c r="AH47" s="19" t="s">
        <v>46</v>
      </c>
    </row>
    <row r="48" ht="30.0" customHeight="1">
      <c r="B48" s="39" t="s">
        <v>75</v>
      </c>
      <c r="C48" s="21"/>
      <c r="D48" s="21"/>
      <c r="E48" s="21"/>
      <c r="F48" s="21"/>
      <c r="G48" s="21"/>
      <c r="H48" s="21"/>
      <c r="I48" s="10" t="s">
        <v>6</v>
      </c>
      <c r="J48" s="21"/>
      <c r="K48" s="10" t="s">
        <v>6</v>
      </c>
      <c r="L48" s="21"/>
      <c r="M48" s="10" t="s">
        <v>6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10" t="s">
        <v>6</v>
      </c>
      <c r="AE48" s="21"/>
      <c r="AF48" s="10" t="s">
        <v>6</v>
      </c>
      <c r="AG48" s="21"/>
      <c r="AH48" s="25">
        <f t="shared" ref="AH48:AH71" si="4">(COUNTA(C48:AG48))</f>
        <v>5</v>
      </c>
    </row>
    <row r="49" ht="30.0" customHeight="1">
      <c r="B49" s="39" t="s">
        <v>76</v>
      </c>
      <c r="C49" s="21"/>
      <c r="D49" s="21"/>
      <c r="E49" s="21"/>
      <c r="F49" s="22"/>
      <c r="G49" s="22"/>
      <c r="H49" s="21"/>
      <c r="I49" s="10" t="s">
        <v>6</v>
      </c>
      <c r="J49" s="21"/>
      <c r="K49" s="10" t="s">
        <v>6</v>
      </c>
      <c r="L49" s="21"/>
      <c r="M49" s="21"/>
      <c r="N49" s="22"/>
      <c r="O49" s="21"/>
      <c r="P49" s="10" t="s">
        <v>6</v>
      </c>
      <c r="Q49" s="22"/>
      <c r="R49" s="10" t="s">
        <v>6</v>
      </c>
      <c r="S49" s="21"/>
      <c r="T49" s="22"/>
      <c r="U49" s="22"/>
      <c r="V49" s="21"/>
      <c r="W49" s="10" t="s">
        <v>6</v>
      </c>
      <c r="X49" s="21"/>
      <c r="Y49" s="10" t="s">
        <v>6</v>
      </c>
      <c r="Z49" s="21"/>
      <c r="AA49" s="22"/>
      <c r="AB49" s="21"/>
      <c r="AC49" s="22"/>
      <c r="AD49" s="21"/>
      <c r="AE49" s="22"/>
      <c r="AF49" s="10" t="s">
        <v>6</v>
      </c>
      <c r="AG49" s="21"/>
      <c r="AH49" s="25">
        <f t="shared" si="4"/>
        <v>7</v>
      </c>
    </row>
    <row r="50" ht="30.0" customHeight="1">
      <c r="B50" s="39" t="s">
        <v>77</v>
      </c>
      <c r="C50" s="21"/>
      <c r="D50" s="21"/>
      <c r="E50" s="21"/>
      <c r="F50" s="21"/>
      <c r="G50" s="22"/>
      <c r="H50" s="21"/>
      <c r="I50" s="10" t="s">
        <v>6</v>
      </c>
      <c r="J50" s="22"/>
      <c r="K50" s="10" t="s">
        <v>6</v>
      </c>
      <c r="L50" s="22"/>
      <c r="M50" s="21"/>
      <c r="N50" s="22"/>
      <c r="O50" s="21"/>
      <c r="P50" s="10" t="s">
        <v>6</v>
      </c>
      <c r="Q50" s="22"/>
      <c r="R50" s="10" t="s">
        <v>6</v>
      </c>
      <c r="S50" s="22"/>
      <c r="T50" s="21"/>
      <c r="U50" s="22"/>
      <c r="V50" s="21"/>
      <c r="W50" s="10" t="s">
        <v>6</v>
      </c>
      <c r="X50" s="22"/>
      <c r="Y50" s="10" t="s">
        <v>6</v>
      </c>
      <c r="Z50" s="22"/>
      <c r="AA50" s="21"/>
      <c r="AB50" s="21"/>
      <c r="AC50" s="21"/>
      <c r="AD50" s="21"/>
      <c r="AE50" s="22"/>
      <c r="AF50" s="10" t="s">
        <v>6</v>
      </c>
      <c r="AG50" s="22"/>
      <c r="AH50" s="25">
        <f t="shared" si="4"/>
        <v>7</v>
      </c>
    </row>
    <row r="51" ht="30.0" customHeight="1">
      <c r="B51" s="39" t="s">
        <v>78</v>
      </c>
      <c r="C51" s="21"/>
      <c r="D51" s="21"/>
      <c r="E51" s="21"/>
      <c r="F51" s="21"/>
      <c r="G51" s="22"/>
      <c r="H51" s="21"/>
      <c r="I51" s="10" t="s">
        <v>6</v>
      </c>
      <c r="J51" s="22"/>
      <c r="K51" s="21"/>
      <c r="L51" s="22"/>
      <c r="M51" s="21"/>
      <c r="N51" s="22"/>
      <c r="O51" s="21"/>
      <c r="P51" s="10" t="s">
        <v>6</v>
      </c>
      <c r="Q51" s="22"/>
      <c r="R51" s="10" t="s">
        <v>6</v>
      </c>
      <c r="S51" s="22"/>
      <c r="T51" s="10" t="s">
        <v>6</v>
      </c>
      <c r="U51" s="22"/>
      <c r="V51" s="21"/>
      <c r="W51" s="10" t="s">
        <v>6</v>
      </c>
      <c r="X51" s="22"/>
      <c r="Y51" s="10" t="s">
        <v>6</v>
      </c>
      <c r="Z51" s="22"/>
      <c r="AA51" s="21"/>
      <c r="AB51" s="21"/>
      <c r="AC51" s="21"/>
      <c r="AD51" s="10" t="s">
        <v>6</v>
      </c>
      <c r="AE51" s="22"/>
      <c r="AF51" s="10" t="s">
        <v>6</v>
      </c>
      <c r="AG51" s="22"/>
      <c r="AH51" s="25">
        <f t="shared" si="4"/>
        <v>8</v>
      </c>
    </row>
    <row r="52" ht="30.0" customHeight="1">
      <c r="B52" s="20" t="s">
        <v>79</v>
      </c>
      <c r="C52" s="21"/>
      <c r="D52" s="21"/>
      <c r="E52" s="21"/>
      <c r="F52" s="21"/>
      <c r="G52" s="22"/>
      <c r="H52" s="21"/>
      <c r="I52" s="10" t="s">
        <v>6</v>
      </c>
      <c r="J52" s="10" t="s">
        <v>6</v>
      </c>
      <c r="K52" s="10" t="s">
        <v>6</v>
      </c>
      <c r="L52" s="22"/>
      <c r="M52" s="21"/>
      <c r="N52" s="22"/>
      <c r="O52" s="21"/>
      <c r="P52" s="10" t="s">
        <v>6</v>
      </c>
      <c r="Q52" s="10" t="s">
        <v>6</v>
      </c>
      <c r="R52" s="10" t="s">
        <v>6</v>
      </c>
      <c r="S52" s="21"/>
      <c r="T52" s="21"/>
      <c r="U52" s="22"/>
      <c r="V52" s="10" t="s">
        <v>6</v>
      </c>
      <c r="W52" s="10" t="s">
        <v>6</v>
      </c>
      <c r="X52" s="10" t="s">
        <v>6</v>
      </c>
      <c r="Y52" s="10" t="s">
        <v>6</v>
      </c>
      <c r="Z52" s="22"/>
      <c r="AA52" s="21"/>
      <c r="AB52" s="21"/>
      <c r="AC52" s="21"/>
      <c r="AD52" s="10" t="s">
        <v>6</v>
      </c>
      <c r="AE52" s="21"/>
      <c r="AF52" s="10" t="s">
        <v>6</v>
      </c>
      <c r="AG52" s="22"/>
      <c r="AH52" s="25">
        <f t="shared" si="4"/>
        <v>12</v>
      </c>
    </row>
    <row r="53" ht="30.0" customHeight="1">
      <c r="B53" s="39" t="s">
        <v>80</v>
      </c>
      <c r="C53" s="21"/>
      <c r="D53" s="21"/>
      <c r="E53" s="21"/>
      <c r="F53" s="21"/>
      <c r="G53" s="21"/>
      <c r="H53" s="21"/>
      <c r="I53" s="10" t="s">
        <v>6</v>
      </c>
      <c r="J53" s="21"/>
      <c r="K53" s="10" t="s">
        <v>6</v>
      </c>
      <c r="L53" s="10" t="s">
        <v>6</v>
      </c>
      <c r="M53" s="21"/>
      <c r="N53" s="21"/>
      <c r="O53" s="21"/>
      <c r="P53" s="10" t="s">
        <v>6</v>
      </c>
      <c r="Q53" s="21"/>
      <c r="R53" s="10" t="s">
        <v>6</v>
      </c>
      <c r="S53" s="21"/>
      <c r="T53" s="21"/>
      <c r="U53" s="21"/>
      <c r="V53" s="21"/>
      <c r="W53" s="10" t="s">
        <v>6</v>
      </c>
      <c r="X53" s="21"/>
      <c r="Y53" s="10" t="s">
        <v>6</v>
      </c>
      <c r="Z53" s="21"/>
      <c r="AA53" s="21"/>
      <c r="AB53" s="21"/>
      <c r="AC53" s="21"/>
      <c r="AD53" s="21"/>
      <c r="AE53" s="21"/>
      <c r="AF53" s="21"/>
      <c r="AG53" s="21"/>
      <c r="AH53" s="25">
        <f t="shared" si="4"/>
        <v>7</v>
      </c>
    </row>
    <row r="54" ht="30.0" customHeight="1">
      <c r="B54" s="20" t="s">
        <v>81</v>
      </c>
      <c r="C54" s="21"/>
      <c r="D54" s="21"/>
      <c r="E54" s="21"/>
      <c r="F54" s="21"/>
      <c r="G54" s="21"/>
      <c r="H54" s="21"/>
      <c r="I54" s="10" t="s">
        <v>6</v>
      </c>
      <c r="J54" s="21"/>
      <c r="K54" s="21"/>
      <c r="L54" s="21"/>
      <c r="M54" s="21"/>
      <c r="N54" s="21"/>
      <c r="O54" s="21"/>
      <c r="P54" s="10" t="s">
        <v>6</v>
      </c>
      <c r="Q54" s="21"/>
      <c r="R54" s="21"/>
      <c r="S54" s="21"/>
      <c r="T54" s="21"/>
      <c r="U54" s="21"/>
      <c r="V54" s="10" t="s">
        <v>6</v>
      </c>
      <c r="W54" s="21"/>
      <c r="X54" s="21"/>
      <c r="Y54" s="21"/>
      <c r="Z54" s="21"/>
      <c r="AA54" s="21"/>
      <c r="AB54" s="21"/>
      <c r="AC54" s="21"/>
      <c r="AD54" s="10" t="s">
        <v>6</v>
      </c>
      <c r="AE54" s="21"/>
      <c r="AF54" s="21"/>
      <c r="AG54" s="21"/>
      <c r="AH54" s="25">
        <f t="shared" si="4"/>
        <v>4</v>
      </c>
    </row>
    <row r="55" ht="30.0" customHeight="1">
      <c r="B55" s="20" t="s">
        <v>82</v>
      </c>
      <c r="C55" s="21"/>
      <c r="D55" s="21"/>
      <c r="E55" s="21"/>
      <c r="F55" s="21"/>
      <c r="G55" s="21"/>
      <c r="H55" s="21"/>
      <c r="I55" s="10" t="s">
        <v>6</v>
      </c>
      <c r="J55" s="21"/>
      <c r="K55" s="10" t="s">
        <v>6</v>
      </c>
      <c r="L55" s="21"/>
      <c r="M55" s="21"/>
      <c r="N55" s="21"/>
      <c r="O55" s="21"/>
      <c r="P55" s="10" t="s">
        <v>6</v>
      </c>
      <c r="Q55" s="21"/>
      <c r="R55" s="41"/>
      <c r="S55" s="10" t="s">
        <v>6</v>
      </c>
      <c r="T55" s="21"/>
      <c r="U55" s="21"/>
      <c r="V55" s="21"/>
      <c r="W55" s="10" t="s">
        <v>6</v>
      </c>
      <c r="X55" s="21"/>
      <c r="Y55" s="10" t="s">
        <v>6</v>
      </c>
      <c r="Z55" s="21"/>
      <c r="AA55" s="21"/>
      <c r="AB55" s="21"/>
      <c r="AC55" s="21"/>
      <c r="AD55" s="10" t="s">
        <v>6</v>
      </c>
      <c r="AE55" s="21"/>
      <c r="AF55" s="10" t="s">
        <v>6</v>
      </c>
      <c r="AG55" s="21"/>
      <c r="AH55" s="25">
        <f t="shared" si="4"/>
        <v>8</v>
      </c>
    </row>
    <row r="56" ht="30.0" customHeight="1">
      <c r="B56" s="20" t="s">
        <v>83</v>
      </c>
      <c r="C56" s="21"/>
      <c r="D56" s="21"/>
      <c r="E56" s="21"/>
      <c r="F56" s="21"/>
      <c r="G56" s="21"/>
      <c r="H56" s="21"/>
      <c r="I56" s="10" t="s">
        <v>6</v>
      </c>
      <c r="J56" s="10" t="s">
        <v>6</v>
      </c>
      <c r="K56" s="21"/>
      <c r="L56" s="10" t="s">
        <v>6</v>
      </c>
      <c r="M56" s="21"/>
      <c r="N56" s="21"/>
      <c r="O56" s="21"/>
      <c r="P56" s="21"/>
      <c r="Q56" s="21"/>
      <c r="R56" s="10" t="s">
        <v>6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5">
        <f t="shared" si="4"/>
        <v>4</v>
      </c>
    </row>
    <row r="57" ht="30.0" customHeight="1">
      <c r="B57" s="20" t="s">
        <v>84</v>
      </c>
      <c r="C57" s="21"/>
      <c r="D57" s="21"/>
      <c r="E57" s="21"/>
      <c r="F57" s="21"/>
      <c r="G57" s="21"/>
      <c r="H57" s="21"/>
      <c r="I57" s="40"/>
      <c r="J57" s="10" t="s">
        <v>6</v>
      </c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5">
        <f t="shared" si="4"/>
        <v>1</v>
      </c>
    </row>
    <row r="58" ht="30.0" customHeight="1">
      <c r="B58" s="20" t="s">
        <v>85</v>
      </c>
      <c r="C58" s="21"/>
      <c r="D58" s="21"/>
      <c r="E58" s="21"/>
      <c r="F58" s="21"/>
      <c r="G58" s="21"/>
      <c r="H58" s="21"/>
      <c r="I58" s="40"/>
      <c r="J58" s="10" t="s">
        <v>6</v>
      </c>
      <c r="K58" s="21"/>
      <c r="L58" s="21"/>
      <c r="M58" s="10" t="s">
        <v>6</v>
      </c>
      <c r="N58" s="21"/>
      <c r="O58" s="21"/>
      <c r="P58" s="21"/>
      <c r="Q58" s="10" t="s">
        <v>6</v>
      </c>
      <c r="R58" s="21"/>
      <c r="S58" s="21"/>
      <c r="T58" s="10" t="s">
        <v>6</v>
      </c>
      <c r="U58" s="21"/>
      <c r="V58" s="21"/>
      <c r="W58" s="21"/>
      <c r="X58" s="10" t="s">
        <v>6</v>
      </c>
      <c r="Y58" s="21"/>
      <c r="Z58" s="21"/>
      <c r="AA58" s="21"/>
      <c r="AB58" s="21"/>
      <c r="AC58" s="21"/>
      <c r="AD58" s="21"/>
      <c r="AE58" s="10" t="s">
        <v>6</v>
      </c>
      <c r="AF58" s="21"/>
      <c r="AG58" s="21"/>
      <c r="AH58" s="25">
        <f t="shared" si="4"/>
        <v>6</v>
      </c>
    </row>
    <row r="59" ht="30.0" customHeight="1">
      <c r="B59" s="20" t="s">
        <v>86</v>
      </c>
      <c r="C59" s="21"/>
      <c r="D59" s="21"/>
      <c r="E59" s="21"/>
      <c r="F59" s="21"/>
      <c r="G59" s="21"/>
      <c r="H59" s="21"/>
      <c r="I59" s="40"/>
      <c r="J59" s="10" t="s">
        <v>6</v>
      </c>
      <c r="K59" s="10" t="s">
        <v>6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0" t="s">
        <v>6</v>
      </c>
      <c r="W59" s="10" t="s">
        <v>6</v>
      </c>
      <c r="X59" s="21"/>
      <c r="Y59" s="21"/>
      <c r="Z59" s="21"/>
      <c r="AA59" s="21"/>
      <c r="AB59" s="21"/>
      <c r="AC59" s="10" t="s">
        <v>6</v>
      </c>
      <c r="AD59" s="10" t="s">
        <v>6</v>
      </c>
      <c r="AE59" s="21"/>
      <c r="AF59" s="21"/>
      <c r="AG59" s="21"/>
      <c r="AH59" s="25">
        <f t="shared" si="4"/>
        <v>6</v>
      </c>
    </row>
    <row r="60" ht="30.0" customHeight="1">
      <c r="B60" s="20" t="s">
        <v>87</v>
      </c>
      <c r="C60" s="21"/>
      <c r="D60" s="21"/>
      <c r="E60" s="21"/>
      <c r="F60" s="21"/>
      <c r="G60" s="21"/>
      <c r="H60" s="21"/>
      <c r="I60" s="40"/>
      <c r="J60" s="10" t="s">
        <v>6</v>
      </c>
      <c r="K60" s="21"/>
      <c r="L60" s="21"/>
      <c r="M60" s="21"/>
      <c r="N60" s="21"/>
      <c r="O60" s="21"/>
      <c r="P60" s="21"/>
      <c r="Q60" s="21"/>
      <c r="R60" s="21"/>
      <c r="S60" s="10" t="s">
        <v>6</v>
      </c>
      <c r="T60" s="21"/>
      <c r="U60" s="21"/>
      <c r="V60" s="21"/>
      <c r="W60" s="21"/>
      <c r="X60" s="10" t="s">
        <v>6</v>
      </c>
      <c r="Y60" s="21"/>
      <c r="Z60" s="10" t="s">
        <v>6</v>
      </c>
      <c r="AA60" s="21"/>
      <c r="AB60" s="21"/>
      <c r="AC60" s="21"/>
      <c r="AD60" s="21"/>
      <c r="AE60" s="10" t="s">
        <v>6</v>
      </c>
      <c r="AF60" s="21"/>
      <c r="AG60" s="21"/>
      <c r="AH60" s="25">
        <f t="shared" si="4"/>
        <v>5</v>
      </c>
    </row>
    <row r="61" ht="30.0" customHeight="1">
      <c r="B61" s="20" t="s">
        <v>88</v>
      </c>
      <c r="C61" s="21"/>
      <c r="D61" s="21"/>
      <c r="E61" s="21"/>
      <c r="F61" s="21"/>
      <c r="G61" s="21"/>
      <c r="H61" s="21"/>
      <c r="I61" s="40"/>
      <c r="J61" s="40"/>
      <c r="K61" s="10" t="s">
        <v>6</v>
      </c>
      <c r="L61" s="10" t="s">
        <v>6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10" t="s">
        <v>6</v>
      </c>
      <c r="Y61" s="21"/>
      <c r="Z61" s="10" t="s">
        <v>6</v>
      </c>
      <c r="AA61" s="21"/>
      <c r="AB61" s="21"/>
      <c r="AC61" s="21"/>
      <c r="AD61" s="10" t="s">
        <v>6</v>
      </c>
      <c r="AE61" s="23" t="s">
        <v>89</v>
      </c>
      <c r="AF61" s="10" t="s">
        <v>6</v>
      </c>
      <c r="AG61" s="21"/>
      <c r="AH61" s="25">
        <f t="shared" si="4"/>
        <v>7</v>
      </c>
    </row>
    <row r="62" ht="30.0" customHeight="1">
      <c r="B62" s="20" t="s">
        <v>90</v>
      </c>
      <c r="C62" s="21"/>
      <c r="D62" s="21"/>
      <c r="E62" s="21"/>
      <c r="F62" s="21"/>
      <c r="G62" s="21"/>
      <c r="H62" s="21"/>
      <c r="I62" s="40"/>
      <c r="J62" s="40"/>
      <c r="K62" s="10" t="s">
        <v>6</v>
      </c>
      <c r="L62" s="21"/>
      <c r="M62" s="21"/>
      <c r="N62" s="21"/>
      <c r="O62" s="21"/>
      <c r="P62" s="10" t="s">
        <v>6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5">
        <f t="shared" si="4"/>
        <v>2</v>
      </c>
    </row>
    <row r="63" ht="30.0" customHeight="1">
      <c r="B63" s="20" t="s">
        <v>91</v>
      </c>
      <c r="C63" s="21"/>
      <c r="D63" s="21"/>
      <c r="E63" s="21"/>
      <c r="F63" s="21"/>
      <c r="G63" s="21"/>
      <c r="H63" s="21"/>
      <c r="I63" s="40"/>
      <c r="J63" s="40"/>
      <c r="K63" s="10" t="s">
        <v>6</v>
      </c>
      <c r="L63" s="10" t="s">
        <v>6</v>
      </c>
      <c r="M63" s="21"/>
      <c r="N63" s="21"/>
      <c r="O63" s="10" t="s">
        <v>6</v>
      </c>
      <c r="P63" s="21"/>
      <c r="Q63" s="21"/>
      <c r="R63" s="10" t="s">
        <v>6</v>
      </c>
      <c r="S63" s="21"/>
      <c r="T63" s="21"/>
      <c r="U63" s="21"/>
      <c r="V63" s="10" t="s">
        <v>6</v>
      </c>
      <c r="W63" s="21"/>
      <c r="X63" s="21"/>
      <c r="Y63" s="10" t="s">
        <v>6</v>
      </c>
      <c r="Z63" s="21"/>
      <c r="AA63" s="21"/>
      <c r="AB63" s="21"/>
      <c r="AC63" s="10" t="s">
        <v>6</v>
      </c>
      <c r="AD63" s="21"/>
      <c r="AE63" s="21"/>
      <c r="AF63" s="10" t="s">
        <v>6</v>
      </c>
      <c r="AG63" s="21"/>
      <c r="AH63" s="25">
        <f t="shared" si="4"/>
        <v>8</v>
      </c>
    </row>
    <row r="64" ht="30.0" customHeight="1">
      <c r="B64" s="39" t="s">
        <v>92</v>
      </c>
      <c r="C64" s="21"/>
      <c r="D64" s="21"/>
      <c r="E64" s="21"/>
      <c r="F64" s="21"/>
      <c r="G64" s="21"/>
      <c r="H64" s="21"/>
      <c r="I64" s="40"/>
      <c r="J64" s="40"/>
      <c r="K64" s="40"/>
      <c r="L64" s="10" t="s">
        <v>6</v>
      </c>
      <c r="M64" s="21"/>
      <c r="N64" s="21"/>
      <c r="O64" s="21"/>
      <c r="P64" s="21"/>
      <c r="Q64" s="21"/>
      <c r="R64" s="10" t="s">
        <v>6</v>
      </c>
      <c r="S64" s="21"/>
      <c r="T64" s="21"/>
      <c r="U64" s="21"/>
      <c r="V64" s="21"/>
      <c r="W64" s="21"/>
      <c r="X64" s="21"/>
      <c r="Y64" s="10" t="s">
        <v>6</v>
      </c>
      <c r="Z64" s="21"/>
      <c r="AA64" s="21"/>
      <c r="AB64" s="21"/>
      <c r="AC64" s="21"/>
      <c r="AD64" s="21"/>
      <c r="AE64" s="21"/>
      <c r="AF64" s="21"/>
      <c r="AG64" s="21"/>
      <c r="AH64" s="25">
        <f t="shared" si="4"/>
        <v>3</v>
      </c>
    </row>
    <row r="65" ht="30.0" customHeight="1">
      <c r="B65" s="39" t="s">
        <v>93</v>
      </c>
      <c r="C65" s="21"/>
      <c r="D65" s="21"/>
      <c r="E65" s="21"/>
      <c r="F65" s="21"/>
      <c r="G65" s="21"/>
      <c r="H65" s="21"/>
      <c r="I65" s="40"/>
      <c r="J65" s="40"/>
      <c r="K65" s="40"/>
      <c r="L65" s="10" t="s">
        <v>6</v>
      </c>
      <c r="M65" s="21"/>
      <c r="N65" s="21"/>
      <c r="O65" s="21"/>
      <c r="P65" s="10" t="s">
        <v>6</v>
      </c>
      <c r="Q65" s="21"/>
      <c r="R65" s="10" t="s">
        <v>6</v>
      </c>
      <c r="S65" s="21"/>
      <c r="T65" s="21"/>
      <c r="U65" s="21"/>
      <c r="V65" s="21"/>
      <c r="W65" s="21"/>
      <c r="X65" s="21"/>
      <c r="Y65" s="10" t="s">
        <v>6</v>
      </c>
      <c r="Z65" s="21"/>
      <c r="AA65" s="21"/>
      <c r="AB65" s="21"/>
      <c r="AC65" s="21"/>
      <c r="AD65" s="10" t="s">
        <v>6</v>
      </c>
      <c r="AE65" s="21"/>
      <c r="AF65" s="10" t="s">
        <v>6</v>
      </c>
      <c r="AG65" s="21"/>
      <c r="AH65" s="25">
        <f t="shared" si="4"/>
        <v>6</v>
      </c>
    </row>
    <row r="66" ht="30.0" customHeight="1">
      <c r="B66" s="20" t="s">
        <v>94</v>
      </c>
      <c r="C66" s="21"/>
      <c r="D66" s="21"/>
      <c r="E66" s="21"/>
      <c r="F66" s="21"/>
      <c r="G66" s="21"/>
      <c r="H66" s="21"/>
      <c r="I66" s="40"/>
      <c r="J66" s="40"/>
      <c r="K66" s="40"/>
      <c r="L66" s="40"/>
      <c r="M66" s="10" t="s">
        <v>6</v>
      </c>
      <c r="N66" s="21"/>
      <c r="O66" s="21"/>
      <c r="P66" s="21"/>
      <c r="Q66" s="21"/>
      <c r="R66" s="21"/>
      <c r="S66" s="21"/>
      <c r="T66" s="10" t="s">
        <v>6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5">
        <f t="shared" si="4"/>
        <v>2</v>
      </c>
    </row>
    <row r="67" ht="30.0" customHeight="1">
      <c r="B67" s="20" t="s">
        <v>95</v>
      </c>
      <c r="C67" s="21"/>
      <c r="D67" s="21"/>
      <c r="E67" s="21"/>
      <c r="F67" s="21"/>
      <c r="G67" s="21"/>
      <c r="H67" s="21"/>
      <c r="I67" s="40"/>
      <c r="J67" s="40"/>
      <c r="K67" s="40"/>
      <c r="L67" s="40"/>
      <c r="M67" s="10" t="s">
        <v>6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5">
        <f t="shared" si="4"/>
        <v>1</v>
      </c>
    </row>
    <row r="68" ht="30.0" customHeight="1">
      <c r="B68" s="20" t="s">
        <v>96</v>
      </c>
      <c r="C68" s="21"/>
      <c r="D68" s="21"/>
      <c r="E68" s="21"/>
      <c r="F68" s="21"/>
      <c r="G68" s="21"/>
      <c r="H68" s="21"/>
      <c r="I68" s="40"/>
      <c r="J68" s="40"/>
      <c r="K68" s="40"/>
      <c r="L68" s="40"/>
      <c r="M68" s="40"/>
      <c r="N68" s="21"/>
      <c r="O68" s="10" t="s">
        <v>6</v>
      </c>
      <c r="P68" s="10" t="s">
        <v>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5">
        <f t="shared" si="4"/>
        <v>2</v>
      </c>
    </row>
    <row r="69" ht="30.0" customHeight="1">
      <c r="B69" s="20" t="s">
        <v>97</v>
      </c>
      <c r="C69" s="21"/>
      <c r="D69" s="21"/>
      <c r="E69" s="21"/>
      <c r="F69" s="21"/>
      <c r="G69" s="21"/>
      <c r="H69" s="21"/>
      <c r="I69" s="40"/>
      <c r="J69" s="40"/>
      <c r="K69" s="40"/>
      <c r="L69" s="40"/>
      <c r="M69" s="40"/>
      <c r="N69" s="21"/>
      <c r="O69" s="10" t="s">
        <v>6</v>
      </c>
      <c r="P69" s="21"/>
      <c r="Q69" s="10" t="s">
        <v>6</v>
      </c>
      <c r="R69" s="21"/>
      <c r="S69" s="21"/>
      <c r="T69" s="21"/>
      <c r="U69" s="21"/>
      <c r="V69" s="10" t="s">
        <v>6</v>
      </c>
      <c r="W69" s="21"/>
      <c r="X69" s="10" t="s">
        <v>6</v>
      </c>
      <c r="Y69" s="21"/>
      <c r="Z69" s="21"/>
      <c r="AA69" s="21"/>
      <c r="AB69" s="21"/>
      <c r="AC69" s="21"/>
      <c r="AD69" s="10" t="s">
        <v>6</v>
      </c>
      <c r="AE69" s="10" t="s">
        <v>6</v>
      </c>
      <c r="AF69" s="21"/>
      <c r="AG69" s="21"/>
      <c r="AH69" s="25">
        <f t="shared" si="4"/>
        <v>6</v>
      </c>
    </row>
    <row r="70" ht="30.0" customHeight="1">
      <c r="B70" s="20" t="s">
        <v>98</v>
      </c>
      <c r="C70" s="21"/>
      <c r="D70" s="21"/>
      <c r="E70" s="21"/>
      <c r="F70" s="21"/>
      <c r="G70" s="21"/>
      <c r="H70" s="21"/>
      <c r="I70" s="40"/>
      <c r="J70" s="40"/>
      <c r="K70" s="40"/>
      <c r="L70" s="40"/>
      <c r="M70" s="40"/>
      <c r="N70" s="21"/>
      <c r="O70" s="40"/>
      <c r="P70" s="10" t="s">
        <v>6</v>
      </c>
      <c r="Q70" s="21"/>
      <c r="R70" s="10" t="s">
        <v>6</v>
      </c>
      <c r="S70" s="21"/>
      <c r="T70" s="21"/>
      <c r="U70" s="21"/>
      <c r="V70" s="10" t="s">
        <v>6</v>
      </c>
      <c r="W70" s="21"/>
      <c r="X70" s="21"/>
      <c r="Y70" s="21"/>
      <c r="Z70" s="21"/>
      <c r="AA70" s="21"/>
      <c r="AB70" s="21"/>
      <c r="AC70" s="21"/>
      <c r="AD70" s="21"/>
      <c r="AE70" s="21"/>
      <c r="AF70" s="10" t="s">
        <v>6</v>
      </c>
      <c r="AG70" s="21"/>
      <c r="AH70" s="25">
        <f t="shared" si="4"/>
        <v>4</v>
      </c>
    </row>
    <row r="71" ht="30.0" customHeight="1">
      <c r="B71" s="20" t="s">
        <v>99</v>
      </c>
      <c r="C71" s="21"/>
      <c r="D71" s="21"/>
      <c r="E71" s="21"/>
      <c r="F71" s="21"/>
      <c r="G71" s="21"/>
      <c r="H71" s="21"/>
      <c r="I71" s="40"/>
      <c r="J71" s="40"/>
      <c r="K71" s="40"/>
      <c r="L71" s="40"/>
      <c r="M71" s="40"/>
      <c r="N71" s="21"/>
      <c r="O71" s="40"/>
      <c r="P71" s="40"/>
      <c r="Q71" s="10" t="s">
        <v>6</v>
      </c>
      <c r="R71" s="21"/>
      <c r="S71" s="10" t="s">
        <v>6</v>
      </c>
      <c r="T71" s="21"/>
      <c r="U71" s="21"/>
      <c r="V71" s="21"/>
      <c r="W71" s="21"/>
      <c r="X71" s="10" t="s">
        <v>6</v>
      </c>
      <c r="Y71" s="21"/>
      <c r="Z71" s="10" t="s">
        <v>6</v>
      </c>
      <c r="AA71" s="21"/>
      <c r="AB71" s="21"/>
      <c r="AC71" s="21"/>
      <c r="AD71" s="21"/>
      <c r="AE71" s="10" t="s">
        <v>6</v>
      </c>
      <c r="AF71" s="21"/>
      <c r="AG71" s="10" t="s">
        <v>6</v>
      </c>
      <c r="AH71" s="25">
        <f t="shared" si="4"/>
        <v>6</v>
      </c>
    </row>
    <row r="72" ht="30.0" customHeight="1">
      <c r="B72" s="20" t="s">
        <v>100</v>
      </c>
      <c r="C72" s="21"/>
      <c r="D72" s="21"/>
      <c r="E72" s="21"/>
      <c r="F72" s="21"/>
      <c r="G72" s="21"/>
      <c r="H72" s="21"/>
      <c r="I72" s="40"/>
      <c r="J72" s="40"/>
      <c r="K72" s="40"/>
      <c r="L72" s="40"/>
      <c r="M72" s="40"/>
      <c r="N72" s="21"/>
      <c r="O72" s="40"/>
      <c r="P72" s="40"/>
      <c r="Q72" s="40"/>
      <c r="R72" s="21"/>
      <c r="S72" s="40"/>
      <c r="T72" s="21"/>
      <c r="U72" s="21"/>
      <c r="V72" s="21"/>
      <c r="W72" s="21"/>
      <c r="X72" s="40"/>
      <c r="Y72" s="21"/>
      <c r="Z72" s="40"/>
      <c r="AA72" s="21"/>
      <c r="AB72" s="21"/>
      <c r="AC72" s="21"/>
      <c r="AD72" s="21"/>
      <c r="AE72" s="10" t="s">
        <v>6</v>
      </c>
      <c r="AF72" s="21"/>
      <c r="AG72" s="10" t="s">
        <v>6</v>
      </c>
      <c r="AH72" s="36">
        <v>2.0</v>
      </c>
    </row>
    <row r="73" ht="30.0" customHeight="1">
      <c r="B73" s="20" t="s">
        <v>101</v>
      </c>
      <c r="C73" s="21"/>
      <c r="D73" s="21"/>
      <c r="E73" s="21"/>
      <c r="F73" s="21"/>
      <c r="G73" s="21"/>
      <c r="H73" s="21"/>
      <c r="I73" s="40"/>
      <c r="J73" s="40"/>
      <c r="K73" s="40"/>
      <c r="L73" s="40"/>
      <c r="M73" s="40"/>
      <c r="N73" s="21"/>
      <c r="O73" s="40"/>
      <c r="P73" s="40"/>
      <c r="Q73" s="40"/>
      <c r="R73" s="21"/>
      <c r="S73" s="40"/>
      <c r="T73" s="21"/>
      <c r="U73" s="21"/>
      <c r="V73" s="21"/>
      <c r="W73" s="21"/>
      <c r="X73" s="40"/>
      <c r="Y73" s="21"/>
      <c r="Z73" s="40"/>
      <c r="AA73" s="21"/>
      <c r="AB73" s="21"/>
      <c r="AC73" s="21"/>
      <c r="AD73" s="21"/>
      <c r="AE73" s="10" t="s">
        <v>6</v>
      </c>
      <c r="AF73" s="21"/>
      <c r="AG73" s="10" t="s">
        <v>6</v>
      </c>
      <c r="AH73" s="36">
        <v>2.0</v>
      </c>
    </row>
    <row r="74" ht="30.0" customHeight="1">
      <c r="B74" s="20" t="s">
        <v>102</v>
      </c>
      <c r="C74" s="21"/>
      <c r="D74" s="21"/>
      <c r="E74" s="21"/>
      <c r="F74" s="21"/>
      <c r="G74" s="21"/>
      <c r="H74" s="21"/>
      <c r="I74" s="40"/>
      <c r="J74" s="40"/>
      <c r="K74" s="40"/>
      <c r="L74" s="40"/>
      <c r="M74" s="40"/>
      <c r="N74" s="21"/>
      <c r="O74" s="40"/>
      <c r="P74" s="40"/>
      <c r="Q74" s="40"/>
      <c r="R74" s="21"/>
      <c r="S74" s="40"/>
      <c r="T74" s="21"/>
      <c r="U74" s="21"/>
      <c r="V74" s="21"/>
      <c r="W74" s="21"/>
      <c r="X74" s="40"/>
      <c r="Y74" s="21"/>
      <c r="Z74" s="40"/>
      <c r="AA74" s="21"/>
      <c r="AB74" s="21"/>
      <c r="AC74" s="21"/>
      <c r="AD74" s="21"/>
      <c r="AE74" s="10" t="s">
        <v>6</v>
      </c>
      <c r="AF74" s="21"/>
      <c r="AG74" s="21"/>
      <c r="AH74" s="36">
        <v>1.0</v>
      </c>
    </row>
    <row r="75" ht="30.0" customHeight="1">
      <c r="B75" s="42" t="str">
        <f>Enero!MonthName&amp;" Total"</f>
        <v>Enero Total</v>
      </c>
      <c r="C75" s="27">
        <f>SUBTOTAL(103,Enero!$C$7:$C$8)</f>
        <v>0</v>
      </c>
      <c r="D75" s="27">
        <f>SUBTOTAL(103,Enero!$D$7:$D$8)</f>
        <v>0</v>
      </c>
      <c r="E75" s="27">
        <f>SUBTOTAL(103,Enero!$E$7:$E$8)</f>
        <v>0</v>
      </c>
      <c r="F75" s="27"/>
      <c r="G75" s="27">
        <f>SUBTOTAL(103,Enero!$G$7:$G$8)</f>
        <v>0</v>
      </c>
      <c r="H75" s="27">
        <f>SUBTOTAL(103,Enero!$H$7:$H$8)</f>
        <v>0</v>
      </c>
      <c r="I75" s="37" t="s">
        <v>24</v>
      </c>
      <c r="J75" s="37" t="s">
        <v>21</v>
      </c>
      <c r="K75" s="37" t="s">
        <v>24</v>
      </c>
      <c r="L75" s="37" t="s">
        <v>21</v>
      </c>
      <c r="M75" s="37" t="s">
        <v>18</v>
      </c>
      <c r="N75" s="27">
        <f>SUBTOTAL(103,Enero!$N$7:$N$8)</f>
        <v>0</v>
      </c>
      <c r="O75" s="37" t="s">
        <v>17</v>
      </c>
      <c r="P75" s="37" t="s">
        <v>25</v>
      </c>
      <c r="Q75" s="37" t="s">
        <v>18</v>
      </c>
      <c r="R75" s="37" t="s">
        <v>24</v>
      </c>
      <c r="S75" s="37" t="s">
        <v>17</v>
      </c>
      <c r="T75" s="37" t="s">
        <v>17</v>
      </c>
      <c r="U75" s="27">
        <f>SUBTOTAL(103,Enero!$U$7:$U$8)</f>
        <v>0</v>
      </c>
      <c r="V75" s="37" t="s">
        <v>20</v>
      </c>
      <c r="W75" s="37" t="s">
        <v>21</v>
      </c>
      <c r="X75" s="37" t="s">
        <v>20</v>
      </c>
      <c r="Y75" s="37" t="s">
        <v>23</v>
      </c>
      <c r="Z75" s="37" t="s">
        <v>17</v>
      </c>
      <c r="AA75" s="27">
        <f>SUBTOTAL(103,Enero!$AA$7:$AA$8)</f>
        <v>0</v>
      </c>
      <c r="AB75" s="27">
        <f>SUBTOTAL(103,Enero!$AB$7:$AB$8)</f>
        <v>0</v>
      </c>
      <c r="AC75" s="27">
        <f>SUBTOTAL(103,Enero!$AC$7:$AC$8)</f>
        <v>1</v>
      </c>
      <c r="AD75" s="27">
        <f>SUBTOTAL(103,Enero!$AD$7:$AD$8)</f>
        <v>1</v>
      </c>
      <c r="AE75" s="27">
        <f>SUBTOTAL(103,Enero!$AE$7:$AE$8)</f>
        <v>1</v>
      </c>
      <c r="AF75" s="27">
        <f>SUBTOTAL(103,Enero!$AF$7:$AF$8)</f>
        <v>0</v>
      </c>
      <c r="AG75" s="27">
        <f>SUBTOTAL(103,Enero!$AG$7:$AG$8)</f>
        <v>0</v>
      </c>
      <c r="AH75" s="27">
        <f>SUM(C75:AG75)</f>
        <v>106</v>
      </c>
    </row>
    <row r="76" ht="30.0" customHeight="1">
      <c r="AH76" s="5"/>
    </row>
    <row r="77" ht="30.0" customHeight="1">
      <c r="B77" s="32" t="s">
        <v>12</v>
      </c>
      <c r="C77" s="29" t="s">
        <v>103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8">
        <v>2025.0</v>
      </c>
    </row>
    <row r="78" ht="30.0" customHeight="1">
      <c r="B78" s="32"/>
      <c r="C78" s="16" t="str">
        <f>TEXT(WEEKDAY(DATE(CalendarioAño,1,1),1),"ddd")</f>
        <v>mié</v>
      </c>
      <c r="D78" s="16" t="str">
        <f>TEXT(WEEKDAY(DATE(CalendarioAño,1,2),1),"ddd")</f>
        <v>jue</v>
      </c>
      <c r="E78" s="16" t="str">
        <f>TEXT(WEEKDAY(DATE(CalendarioAño,1,3),1),"ddd")</f>
        <v>vie</v>
      </c>
      <c r="F78" s="16" t="str">
        <f>TEXT(WEEKDAY(DATE(CalendarioAño,1,4),1),"ddd")</f>
        <v>sáb</v>
      </c>
      <c r="G78" s="16" t="str">
        <f>TEXT(WEEKDAY(DATE(CalendarioAño,1,5),1),"ddd")</f>
        <v>dom</v>
      </c>
      <c r="H78" s="16" t="str">
        <f>TEXT(WEEKDAY(DATE(CalendarioAño,1,6),1),"ddd")</f>
        <v>lun</v>
      </c>
      <c r="I78" s="16" t="str">
        <f>TEXT(WEEKDAY(DATE(CalendarioAño,1,7),1),"ddd")</f>
        <v>mar</v>
      </c>
      <c r="J78" s="16" t="str">
        <f>TEXT(WEEKDAY(DATE(CalendarioAño,1,8),1),"ddd")</f>
        <v>mié</v>
      </c>
      <c r="K78" s="16" t="str">
        <f>TEXT(WEEKDAY(DATE(CalendarioAño,1,9),1),"ddd")</f>
        <v>jue</v>
      </c>
      <c r="L78" s="16" t="str">
        <f>TEXT(WEEKDAY(DATE(CalendarioAño,1,10),1),"ddd")</f>
        <v>vie</v>
      </c>
      <c r="M78" s="16" t="str">
        <f>TEXT(WEEKDAY(DATE(CalendarioAño,1,11),1),"ddd")</f>
        <v>sáb</v>
      </c>
      <c r="N78" s="16" t="str">
        <f>TEXT(WEEKDAY(DATE(CalendarioAño,1,12),1),"ddd")</f>
        <v>dom</v>
      </c>
      <c r="O78" s="16" t="str">
        <f>TEXT(WEEKDAY(DATE(CalendarioAño,1,13),1),"ddd")</f>
        <v>lun</v>
      </c>
      <c r="P78" s="16" t="str">
        <f>TEXT(WEEKDAY(DATE(CalendarioAño,1,14),1),"ddd")</f>
        <v>mar</v>
      </c>
      <c r="Q78" s="16" t="str">
        <f>TEXT(WEEKDAY(DATE(CalendarioAño,1,15),1),"ddd")</f>
        <v>mié</v>
      </c>
      <c r="R78" s="16" t="str">
        <f>TEXT(WEEKDAY(DATE(CalendarioAño,1,16),1),"ddd")</f>
        <v>jue</v>
      </c>
      <c r="S78" s="16" t="str">
        <f>TEXT(WEEKDAY(DATE(CalendarioAño,1,17),1),"ddd")</f>
        <v>vie</v>
      </c>
      <c r="T78" s="16" t="str">
        <f>TEXT(WEEKDAY(DATE(CalendarioAño,1,18),1),"ddd")</f>
        <v>sáb</v>
      </c>
      <c r="U78" s="16" t="str">
        <f>TEXT(WEEKDAY(DATE(CalendarioAño,1,19),1),"ddd")</f>
        <v>dom</v>
      </c>
      <c r="V78" s="16" t="str">
        <f>TEXT(WEEKDAY(DATE(CalendarioAño,1,20),1),"ddd")</f>
        <v>lun</v>
      </c>
      <c r="W78" s="16" t="str">
        <f>TEXT(WEEKDAY(DATE(CalendarioAño,1,21),1),"ddd")</f>
        <v>mar</v>
      </c>
      <c r="X78" s="16" t="str">
        <f>TEXT(WEEKDAY(DATE(CalendarioAño,1,22),1),"ddd")</f>
        <v>mié</v>
      </c>
      <c r="Y78" s="16" t="str">
        <f>TEXT(WEEKDAY(DATE(CalendarioAño,1,23),1),"ddd")</f>
        <v>jue</v>
      </c>
      <c r="Z78" s="16" t="str">
        <f>TEXT(WEEKDAY(DATE(CalendarioAño,1,24),1),"ddd")</f>
        <v>vie</v>
      </c>
      <c r="AA78" s="16" t="str">
        <f>TEXT(WEEKDAY(DATE(CalendarioAño,1,25),1),"ddd")</f>
        <v>sáb</v>
      </c>
      <c r="AB78" s="16" t="str">
        <f>TEXT(WEEKDAY(DATE(CalendarioAño,1,26),1),"ddd")</f>
        <v>dom</v>
      </c>
      <c r="AC78" s="16" t="str">
        <f>TEXT(WEEKDAY(DATE(CalendarioAño,1,27),1),"ddd")</f>
        <v>lun</v>
      </c>
      <c r="AD78" s="16" t="str">
        <f>TEXT(WEEKDAY(DATE(CalendarioAño,1,28),1),"ddd")</f>
        <v>mar</v>
      </c>
      <c r="AE78" s="16" t="str">
        <f>TEXT(WEEKDAY(DATE(CalendarioAño,1,29),1),"ddd")</f>
        <v>mié</v>
      </c>
      <c r="AF78" s="16" t="str">
        <f>TEXT(WEEKDAY(DATE(CalendarioAño,1,30),1),"ddd")</f>
        <v>jue</v>
      </c>
      <c r="AG78" s="16" t="str">
        <f>TEXT(WEEKDAY(DATE(CalendarioAño,1,31),1),"ddd")</f>
        <v>vie</v>
      </c>
      <c r="AH78" s="32"/>
    </row>
    <row r="79" ht="30.0" customHeight="1">
      <c r="A79" s="17"/>
      <c r="B79" s="33" t="s">
        <v>14</v>
      </c>
      <c r="C79" s="19" t="s">
        <v>15</v>
      </c>
      <c r="D79" s="19" t="s">
        <v>16</v>
      </c>
      <c r="E79" s="19" t="s">
        <v>17</v>
      </c>
      <c r="F79" s="19" t="s">
        <v>18</v>
      </c>
      <c r="G79" s="19" t="s">
        <v>19</v>
      </c>
      <c r="H79" s="19" t="s">
        <v>20</v>
      </c>
      <c r="I79" s="19" t="s">
        <v>21</v>
      </c>
      <c r="J79" s="19" t="s">
        <v>22</v>
      </c>
      <c r="K79" s="19" t="s">
        <v>23</v>
      </c>
      <c r="L79" s="19" t="s">
        <v>24</v>
      </c>
      <c r="M79" s="19" t="s">
        <v>25</v>
      </c>
      <c r="N79" s="19" t="s">
        <v>26</v>
      </c>
      <c r="O79" s="19" t="s">
        <v>27</v>
      </c>
      <c r="P79" s="19" t="s">
        <v>28</v>
      </c>
      <c r="Q79" s="19" t="s">
        <v>29</v>
      </c>
      <c r="R79" s="19" t="s">
        <v>30</v>
      </c>
      <c r="S79" s="19" t="s">
        <v>31</v>
      </c>
      <c r="T79" s="19" t="s">
        <v>32</v>
      </c>
      <c r="U79" s="19" t="s">
        <v>33</v>
      </c>
      <c r="V79" s="19" t="s">
        <v>34</v>
      </c>
      <c r="W79" s="19" t="s">
        <v>35</v>
      </c>
      <c r="X79" s="19" t="s">
        <v>36</v>
      </c>
      <c r="Y79" s="19" t="s">
        <v>37</v>
      </c>
      <c r="Z79" s="19" t="s">
        <v>38</v>
      </c>
      <c r="AA79" s="19" t="s">
        <v>39</v>
      </c>
      <c r="AB79" s="19" t="s">
        <v>40</v>
      </c>
      <c r="AC79" s="19" t="s">
        <v>41</v>
      </c>
      <c r="AD79" s="19" t="s">
        <v>42</v>
      </c>
      <c r="AE79" s="19" t="s">
        <v>43</v>
      </c>
      <c r="AF79" s="19" t="s">
        <v>44</v>
      </c>
      <c r="AG79" s="19" t="s">
        <v>45</v>
      </c>
      <c r="AH79" s="19" t="s">
        <v>46</v>
      </c>
    </row>
    <row r="80" ht="30.0" customHeight="1">
      <c r="B80" s="20" t="s">
        <v>104</v>
      </c>
      <c r="C80" s="21"/>
      <c r="D80" s="21"/>
      <c r="E80" s="21"/>
      <c r="F80" s="21"/>
      <c r="G80" s="21"/>
      <c r="H80" s="24"/>
      <c r="I80" s="10" t="s">
        <v>6</v>
      </c>
      <c r="J80" s="21"/>
      <c r="K80" s="10" t="s">
        <v>6</v>
      </c>
      <c r="L80" s="22"/>
      <c r="M80" s="21"/>
      <c r="N80" s="21"/>
      <c r="O80" s="22"/>
      <c r="P80" s="21"/>
      <c r="Q80" s="21"/>
      <c r="R80" s="10" t="s">
        <v>6</v>
      </c>
      <c r="S80" s="21"/>
      <c r="T80" s="21"/>
      <c r="U80" s="21"/>
      <c r="V80" s="22"/>
      <c r="W80" s="10" t="s">
        <v>6</v>
      </c>
      <c r="X80" s="21"/>
      <c r="Y80" s="10" t="s">
        <v>6</v>
      </c>
      <c r="Z80" s="21"/>
      <c r="AA80" s="21"/>
      <c r="AB80" s="21"/>
      <c r="AC80" s="22"/>
      <c r="AD80" s="10" t="s">
        <v>6</v>
      </c>
      <c r="AE80" s="21"/>
      <c r="AF80" s="21"/>
      <c r="AG80" s="21"/>
      <c r="AH80" s="25">
        <f t="shared" ref="AH80:AH98" si="5">(COUNTA(C80:AG80))</f>
        <v>6</v>
      </c>
    </row>
    <row r="81" ht="30.0" customHeight="1">
      <c r="B81" s="20" t="s">
        <v>105</v>
      </c>
      <c r="C81" s="21"/>
      <c r="D81" s="21"/>
      <c r="E81" s="21"/>
      <c r="F81" s="21"/>
      <c r="G81" s="21"/>
      <c r="H81" s="24"/>
      <c r="I81" s="10" t="s">
        <v>6</v>
      </c>
      <c r="J81" s="21"/>
      <c r="K81" s="21"/>
      <c r="L81" s="10" t="s">
        <v>6</v>
      </c>
      <c r="M81" s="21"/>
      <c r="N81" s="21"/>
      <c r="O81" s="22"/>
      <c r="P81" s="21"/>
      <c r="Q81" s="10" t="s">
        <v>6</v>
      </c>
      <c r="R81" s="21"/>
      <c r="S81" s="10" t="s">
        <v>6</v>
      </c>
      <c r="T81" s="21"/>
      <c r="U81" s="21"/>
      <c r="V81" s="22"/>
      <c r="W81" s="10" t="s">
        <v>6</v>
      </c>
      <c r="X81" s="21"/>
      <c r="Y81" s="21"/>
      <c r="Z81" s="10" t="s">
        <v>6</v>
      </c>
      <c r="AA81" s="21"/>
      <c r="AB81" s="21"/>
      <c r="AC81" s="22"/>
      <c r="AD81" s="10" t="s">
        <v>6</v>
      </c>
      <c r="AE81" s="21"/>
      <c r="AF81" s="10" t="s">
        <v>6</v>
      </c>
      <c r="AG81" s="21"/>
      <c r="AH81" s="25">
        <f t="shared" si="5"/>
        <v>8</v>
      </c>
    </row>
    <row r="82" ht="30.0" customHeight="1">
      <c r="B82" s="20" t="s">
        <v>106</v>
      </c>
      <c r="C82" s="21"/>
      <c r="D82" s="21"/>
      <c r="E82" s="21"/>
      <c r="F82" s="21"/>
      <c r="G82" s="21"/>
      <c r="H82" s="21"/>
      <c r="I82" s="10" t="s">
        <v>6</v>
      </c>
      <c r="J82" s="21"/>
      <c r="K82" s="10" t="s">
        <v>6</v>
      </c>
      <c r="L82" s="21"/>
      <c r="M82" s="21"/>
      <c r="N82" s="21"/>
      <c r="O82" s="21"/>
      <c r="P82" s="10" t="s">
        <v>6</v>
      </c>
      <c r="Q82" s="21"/>
      <c r="R82" s="10" t="s">
        <v>6</v>
      </c>
      <c r="S82" s="21"/>
      <c r="T82" s="21"/>
      <c r="U82" s="21"/>
      <c r="V82" s="21"/>
      <c r="W82" s="10" t="s">
        <v>6</v>
      </c>
      <c r="X82" s="21"/>
      <c r="Y82" s="21"/>
      <c r="Z82" s="21"/>
      <c r="AA82" s="21"/>
      <c r="AB82" s="21"/>
      <c r="AC82" s="21"/>
      <c r="AD82" s="10" t="s">
        <v>6</v>
      </c>
      <c r="AE82" s="21"/>
      <c r="AF82" s="10" t="s">
        <v>6</v>
      </c>
      <c r="AG82" s="21"/>
      <c r="AH82" s="25">
        <f t="shared" si="5"/>
        <v>7</v>
      </c>
    </row>
    <row r="83" ht="30.0" customHeight="1">
      <c r="B83" s="20" t="s">
        <v>107</v>
      </c>
      <c r="C83" s="21"/>
      <c r="D83" s="21"/>
      <c r="E83" s="21"/>
      <c r="F83" s="21"/>
      <c r="G83" s="21"/>
      <c r="H83" s="21"/>
      <c r="I83" s="10" t="s">
        <v>6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10" t="s">
        <v>6</v>
      </c>
      <c r="AE83" s="21"/>
      <c r="AF83" s="21"/>
      <c r="AG83" s="21"/>
      <c r="AH83" s="25">
        <f t="shared" si="5"/>
        <v>2</v>
      </c>
    </row>
    <row r="84" ht="30.0" customHeight="1">
      <c r="B84" s="20" t="s">
        <v>108</v>
      </c>
      <c r="C84" s="21"/>
      <c r="D84" s="21"/>
      <c r="E84" s="21"/>
      <c r="F84" s="21"/>
      <c r="G84" s="21"/>
      <c r="H84" s="21"/>
      <c r="I84" s="10" t="s">
        <v>6</v>
      </c>
      <c r="J84" s="21"/>
      <c r="K84" s="10" t="s">
        <v>6</v>
      </c>
      <c r="L84" s="21"/>
      <c r="M84" s="21"/>
      <c r="N84" s="21"/>
      <c r="O84" s="21"/>
      <c r="P84" s="10" t="s">
        <v>6</v>
      </c>
      <c r="Q84" s="21"/>
      <c r="R84" s="10" t="s">
        <v>6</v>
      </c>
      <c r="S84" s="10" t="s">
        <v>6</v>
      </c>
      <c r="T84" s="21"/>
      <c r="U84" s="21"/>
      <c r="V84" s="10" t="s">
        <v>6</v>
      </c>
      <c r="W84" s="10" t="s">
        <v>6</v>
      </c>
      <c r="X84" s="10" t="s">
        <v>6</v>
      </c>
      <c r="Y84" s="10" t="s">
        <v>6</v>
      </c>
      <c r="Z84" s="10" t="s">
        <v>6</v>
      </c>
      <c r="AA84" s="21"/>
      <c r="AB84" s="21"/>
      <c r="AC84" s="10" t="s">
        <v>6</v>
      </c>
      <c r="AD84" s="10" t="s">
        <v>6</v>
      </c>
      <c r="AE84" s="10" t="s">
        <v>6</v>
      </c>
      <c r="AF84" s="10" t="s">
        <v>6</v>
      </c>
      <c r="AG84" s="10" t="s">
        <v>6</v>
      </c>
      <c r="AH84" s="25">
        <f t="shared" si="5"/>
        <v>15</v>
      </c>
    </row>
    <row r="85" ht="30.0" customHeight="1">
      <c r="B85" s="20" t="s">
        <v>109</v>
      </c>
      <c r="C85" s="21"/>
      <c r="D85" s="21"/>
      <c r="E85" s="21"/>
      <c r="F85" s="21"/>
      <c r="G85" s="21"/>
      <c r="H85" s="21"/>
      <c r="I85" s="10" t="s">
        <v>6</v>
      </c>
      <c r="J85" s="21"/>
      <c r="K85" s="21"/>
      <c r="L85" s="21"/>
      <c r="M85" s="21"/>
      <c r="N85" s="21"/>
      <c r="O85" s="21"/>
      <c r="P85" s="21"/>
      <c r="Q85" s="10" t="s">
        <v>6</v>
      </c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10" t="s">
        <v>6</v>
      </c>
      <c r="AD85" s="21"/>
      <c r="AE85" s="21"/>
      <c r="AF85" s="10" t="s">
        <v>6</v>
      </c>
      <c r="AG85" s="10" t="s">
        <v>6</v>
      </c>
      <c r="AH85" s="25">
        <f t="shared" si="5"/>
        <v>5</v>
      </c>
    </row>
    <row r="86" ht="30.0" customHeight="1">
      <c r="B86" s="20" t="s">
        <v>110</v>
      </c>
      <c r="C86" s="21"/>
      <c r="D86" s="21"/>
      <c r="E86" s="21"/>
      <c r="F86" s="21"/>
      <c r="G86" s="21"/>
      <c r="H86" s="21"/>
      <c r="I86" s="10" t="s">
        <v>6</v>
      </c>
      <c r="J86" s="21"/>
      <c r="K86" s="10" t="s">
        <v>6</v>
      </c>
      <c r="L86" s="21"/>
      <c r="M86" s="21"/>
      <c r="N86" s="21"/>
      <c r="O86" s="21"/>
      <c r="P86" s="10" t="s">
        <v>6</v>
      </c>
      <c r="Q86" s="21"/>
      <c r="R86" s="10" t="s">
        <v>6</v>
      </c>
      <c r="S86" s="21"/>
      <c r="T86" s="21"/>
      <c r="U86" s="21"/>
      <c r="V86" s="21"/>
      <c r="W86" s="10" t="s">
        <v>6</v>
      </c>
      <c r="X86" s="21"/>
      <c r="Y86" s="10" t="s">
        <v>6</v>
      </c>
      <c r="Z86" s="21"/>
      <c r="AA86" s="21"/>
      <c r="AB86" s="21"/>
      <c r="AC86" s="21"/>
      <c r="AD86" s="21"/>
      <c r="AE86" s="21"/>
      <c r="AF86" s="10" t="s">
        <v>6</v>
      </c>
      <c r="AG86" s="21"/>
      <c r="AH86" s="25">
        <f t="shared" si="5"/>
        <v>7</v>
      </c>
    </row>
    <row r="87" ht="30.0" customHeight="1">
      <c r="B87" s="20" t="s">
        <v>111</v>
      </c>
      <c r="C87" s="21"/>
      <c r="D87" s="21"/>
      <c r="E87" s="21"/>
      <c r="F87" s="21"/>
      <c r="G87" s="21"/>
      <c r="H87" s="21"/>
      <c r="I87" s="21"/>
      <c r="J87" s="10" t="s">
        <v>6</v>
      </c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10" t="s">
        <v>6</v>
      </c>
      <c r="AE87" s="21"/>
      <c r="AF87" s="10" t="s">
        <v>6</v>
      </c>
      <c r="AG87" s="21"/>
      <c r="AH87" s="25">
        <f t="shared" si="5"/>
        <v>3</v>
      </c>
    </row>
    <row r="88" ht="30.0" customHeight="1">
      <c r="B88" s="20" t="s">
        <v>112</v>
      </c>
      <c r="C88" s="21"/>
      <c r="D88" s="21"/>
      <c r="E88" s="21"/>
      <c r="F88" s="21"/>
      <c r="G88" s="21"/>
      <c r="H88" s="21"/>
      <c r="I88" s="40"/>
      <c r="J88" s="10" t="s">
        <v>6</v>
      </c>
      <c r="K88" s="10" t="s">
        <v>6</v>
      </c>
      <c r="L88" s="21"/>
      <c r="M88" s="21"/>
      <c r="N88" s="21"/>
      <c r="O88" s="21"/>
      <c r="P88" s="10" t="s">
        <v>6</v>
      </c>
      <c r="Q88" s="21"/>
      <c r="R88" s="21"/>
      <c r="S88" s="21"/>
      <c r="T88" s="21"/>
      <c r="U88" s="21"/>
      <c r="V88" s="21"/>
      <c r="W88" s="10" t="s">
        <v>6</v>
      </c>
      <c r="X88" s="21"/>
      <c r="Y88" s="10" t="s">
        <v>6</v>
      </c>
      <c r="Z88" s="21"/>
      <c r="AA88" s="21"/>
      <c r="AB88" s="21"/>
      <c r="AC88" s="21"/>
      <c r="AD88" s="21"/>
      <c r="AE88" s="21"/>
      <c r="AF88" s="10" t="s">
        <v>6</v>
      </c>
      <c r="AG88" s="21"/>
      <c r="AH88" s="25">
        <f t="shared" si="5"/>
        <v>6</v>
      </c>
    </row>
    <row r="89" ht="30.0" customHeight="1">
      <c r="B89" s="20" t="s">
        <v>113</v>
      </c>
      <c r="C89" s="21"/>
      <c r="D89" s="21"/>
      <c r="E89" s="21"/>
      <c r="F89" s="21"/>
      <c r="G89" s="21"/>
      <c r="H89" s="21"/>
      <c r="I89" s="21"/>
      <c r="J89" s="21"/>
      <c r="K89" s="10" t="s">
        <v>6</v>
      </c>
      <c r="L89" s="21"/>
      <c r="M89" s="21"/>
      <c r="N89" s="21"/>
      <c r="O89" s="21"/>
      <c r="P89" s="21"/>
      <c r="Q89" s="21"/>
      <c r="R89" s="21"/>
      <c r="S89" s="10" t="s">
        <v>6</v>
      </c>
      <c r="T89" s="10" t="s">
        <v>6</v>
      </c>
      <c r="U89" s="21"/>
      <c r="V89" s="21"/>
      <c r="W89" s="21"/>
      <c r="X89" s="21"/>
      <c r="Y89" s="21"/>
      <c r="Z89" s="10" t="s">
        <v>6</v>
      </c>
      <c r="AA89" s="10" t="s">
        <v>6</v>
      </c>
      <c r="AB89" s="21"/>
      <c r="AC89" s="21"/>
      <c r="AD89" s="10" t="s">
        <v>6</v>
      </c>
      <c r="AE89" s="21"/>
      <c r="AF89" s="21"/>
      <c r="AG89" s="21"/>
      <c r="AH89" s="25">
        <f t="shared" si="5"/>
        <v>6</v>
      </c>
    </row>
    <row r="90" ht="30.0" customHeight="1">
      <c r="B90" s="20" t="s">
        <v>114</v>
      </c>
      <c r="C90" s="21"/>
      <c r="D90" s="21"/>
      <c r="E90" s="21"/>
      <c r="F90" s="21"/>
      <c r="G90" s="21"/>
      <c r="H90" s="21"/>
      <c r="I90" s="21"/>
      <c r="J90" s="21"/>
      <c r="K90" s="21"/>
      <c r="L90" s="10" t="s">
        <v>6</v>
      </c>
      <c r="M90" s="21"/>
      <c r="N90" s="21"/>
      <c r="O90" s="21"/>
      <c r="P90" s="21"/>
      <c r="Q90" s="21"/>
      <c r="R90" s="10" t="s">
        <v>6</v>
      </c>
      <c r="S90" s="10" t="s">
        <v>6</v>
      </c>
      <c r="T90" s="21"/>
      <c r="U90" s="21"/>
      <c r="V90" s="21"/>
      <c r="W90" s="21"/>
      <c r="X90" s="10" t="s">
        <v>6</v>
      </c>
      <c r="Y90" s="21"/>
      <c r="Z90" s="10" t="s">
        <v>6</v>
      </c>
      <c r="AA90" s="21"/>
      <c r="AB90" s="21"/>
      <c r="AC90" s="10" t="s">
        <v>6</v>
      </c>
      <c r="AD90" s="21"/>
      <c r="AE90" s="21"/>
      <c r="AF90" s="21"/>
      <c r="AG90" s="10" t="s">
        <v>6</v>
      </c>
      <c r="AH90" s="25">
        <f t="shared" si="5"/>
        <v>7</v>
      </c>
    </row>
    <row r="91" ht="30.0" customHeight="1">
      <c r="A91" s="43"/>
      <c r="B91" s="44" t="s">
        <v>115</v>
      </c>
      <c r="C91" s="45"/>
      <c r="D91" s="45"/>
      <c r="E91" s="45"/>
      <c r="F91" s="45"/>
      <c r="G91" s="45"/>
      <c r="H91" s="45"/>
      <c r="I91" s="45"/>
      <c r="J91" s="45"/>
      <c r="K91" s="46"/>
      <c r="L91" s="10" t="s">
        <v>6</v>
      </c>
      <c r="M91" s="10" t="s">
        <v>6</v>
      </c>
      <c r="N91" s="45"/>
      <c r="O91" s="45"/>
      <c r="P91" s="45"/>
      <c r="Q91" s="45"/>
      <c r="R91" s="45"/>
      <c r="S91" s="10" t="s">
        <v>6</v>
      </c>
      <c r="T91" s="10" t="s">
        <v>6</v>
      </c>
      <c r="U91" s="45"/>
      <c r="V91" s="45"/>
      <c r="W91" s="45"/>
      <c r="X91" s="45"/>
      <c r="Y91" s="45"/>
      <c r="Z91" s="10" t="s">
        <v>6</v>
      </c>
      <c r="AA91" s="10" t="s">
        <v>6</v>
      </c>
      <c r="AB91" s="45"/>
      <c r="AC91" s="45"/>
      <c r="AD91" s="45"/>
      <c r="AE91" s="45"/>
      <c r="AF91" s="45"/>
      <c r="AG91" s="45"/>
      <c r="AH91" s="25">
        <f t="shared" si="5"/>
        <v>6</v>
      </c>
    </row>
    <row r="92" ht="30.0" customHeight="1">
      <c r="A92" s="43"/>
      <c r="B92" s="47" t="s">
        <v>116</v>
      </c>
      <c r="C92" s="45"/>
      <c r="D92" s="45"/>
      <c r="E92" s="45"/>
      <c r="F92" s="45"/>
      <c r="G92" s="45"/>
      <c r="H92" s="45"/>
      <c r="I92" s="45"/>
      <c r="J92" s="45"/>
      <c r="K92" s="46"/>
      <c r="L92" s="40"/>
      <c r="M92" s="10" t="s">
        <v>6</v>
      </c>
      <c r="N92" s="45"/>
      <c r="O92" s="45"/>
      <c r="P92" s="45"/>
      <c r="Q92" s="45"/>
      <c r="R92" s="45"/>
      <c r="S92" s="45"/>
      <c r="T92" s="10" t="s">
        <v>6</v>
      </c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5">
        <f t="shared" si="5"/>
        <v>2</v>
      </c>
    </row>
    <row r="93" ht="30.0" customHeight="1">
      <c r="A93" s="43"/>
      <c r="B93" s="47" t="s">
        <v>117</v>
      </c>
      <c r="C93" s="45"/>
      <c r="D93" s="45"/>
      <c r="E93" s="45"/>
      <c r="F93" s="45"/>
      <c r="G93" s="45"/>
      <c r="H93" s="45"/>
      <c r="I93" s="45"/>
      <c r="J93" s="45"/>
      <c r="K93" s="46"/>
      <c r="L93" s="40"/>
      <c r="M93" s="40"/>
      <c r="N93" s="45"/>
      <c r="O93" s="10" t="s">
        <v>6</v>
      </c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5">
        <f t="shared" si="5"/>
        <v>1</v>
      </c>
    </row>
    <row r="94" ht="30.0" customHeight="1">
      <c r="A94" s="43"/>
      <c r="B94" s="47" t="s">
        <v>118</v>
      </c>
      <c r="C94" s="45"/>
      <c r="D94" s="45"/>
      <c r="E94" s="45"/>
      <c r="F94" s="45"/>
      <c r="G94" s="45"/>
      <c r="H94" s="45"/>
      <c r="I94" s="45"/>
      <c r="J94" s="45"/>
      <c r="K94" s="46"/>
      <c r="L94" s="40"/>
      <c r="M94" s="40"/>
      <c r="N94" s="45"/>
      <c r="O94" s="10" t="s">
        <v>6</v>
      </c>
      <c r="P94" s="45"/>
      <c r="Q94" s="10" t="s">
        <v>6</v>
      </c>
      <c r="R94" s="45"/>
      <c r="S94" s="10" t="s">
        <v>6</v>
      </c>
      <c r="T94" s="10" t="s">
        <v>6</v>
      </c>
      <c r="U94" s="45"/>
      <c r="V94" s="10" t="s">
        <v>6</v>
      </c>
      <c r="W94" s="45"/>
      <c r="X94" s="10" t="s">
        <v>6</v>
      </c>
      <c r="Y94" s="45"/>
      <c r="Z94" s="45"/>
      <c r="AA94" s="45"/>
      <c r="AB94" s="45"/>
      <c r="AC94" s="45"/>
      <c r="AD94" s="45"/>
      <c r="AE94" s="45"/>
      <c r="AF94" s="45"/>
      <c r="AG94" s="45"/>
      <c r="AH94" s="25">
        <f t="shared" si="5"/>
        <v>6</v>
      </c>
    </row>
    <row r="95" ht="30.0" customHeight="1">
      <c r="A95" s="43"/>
      <c r="B95" s="47" t="s">
        <v>119</v>
      </c>
      <c r="C95" s="45"/>
      <c r="D95" s="45"/>
      <c r="E95" s="45"/>
      <c r="F95" s="45"/>
      <c r="G95" s="45"/>
      <c r="H95" s="45"/>
      <c r="I95" s="45"/>
      <c r="J95" s="45"/>
      <c r="K95" s="46"/>
      <c r="L95" s="40"/>
      <c r="M95" s="40"/>
      <c r="N95" s="45"/>
      <c r="O95" s="40"/>
      <c r="P95" s="10" t="s">
        <v>6</v>
      </c>
      <c r="Q95" s="45"/>
      <c r="R95" s="10" t="s">
        <v>6</v>
      </c>
      <c r="S95" s="45"/>
      <c r="T95" s="45"/>
      <c r="U95" s="45"/>
      <c r="V95" s="10" t="s">
        <v>6</v>
      </c>
      <c r="W95" s="45"/>
      <c r="X95" s="45"/>
      <c r="Y95" s="45"/>
      <c r="Z95" s="45"/>
      <c r="AA95" s="45"/>
      <c r="AB95" s="45"/>
      <c r="AC95" s="45"/>
      <c r="AD95" s="45"/>
      <c r="AE95" s="45"/>
      <c r="AF95" s="10" t="s">
        <v>6</v>
      </c>
      <c r="AG95" s="45"/>
      <c r="AH95" s="25">
        <f t="shared" si="5"/>
        <v>4</v>
      </c>
    </row>
    <row r="96" ht="30.0" customHeight="1">
      <c r="A96" s="43"/>
      <c r="B96" s="47" t="s">
        <v>120</v>
      </c>
      <c r="C96" s="45"/>
      <c r="D96" s="45"/>
      <c r="E96" s="45"/>
      <c r="F96" s="45"/>
      <c r="G96" s="45"/>
      <c r="H96" s="45"/>
      <c r="I96" s="45"/>
      <c r="J96" s="45"/>
      <c r="K96" s="46"/>
      <c r="L96" s="40"/>
      <c r="M96" s="40"/>
      <c r="N96" s="45"/>
      <c r="O96" s="40"/>
      <c r="P96" s="40"/>
      <c r="Q96" s="45"/>
      <c r="R96" s="45"/>
      <c r="S96" s="45"/>
      <c r="T96" s="10" t="s">
        <v>6</v>
      </c>
      <c r="U96" s="45"/>
      <c r="V96" s="45"/>
      <c r="W96" s="45"/>
      <c r="X96" s="45"/>
      <c r="Y96" s="45"/>
      <c r="Z96" s="45"/>
      <c r="AA96" s="10" t="s">
        <v>6</v>
      </c>
      <c r="AB96" s="45"/>
      <c r="AC96" s="45"/>
      <c r="AD96" s="45"/>
      <c r="AE96" s="45"/>
      <c r="AF96" s="45"/>
      <c r="AG96" s="45"/>
      <c r="AH96" s="25">
        <f t="shared" si="5"/>
        <v>2</v>
      </c>
    </row>
    <row r="97" ht="30.0" customHeight="1">
      <c r="A97" s="43"/>
      <c r="B97" s="47" t="s">
        <v>121</v>
      </c>
      <c r="C97" s="45"/>
      <c r="D97" s="45"/>
      <c r="E97" s="45"/>
      <c r="F97" s="45"/>
      <c r="G97" s="45"/>
      <c r="H97" s="45"/>
      <c r="I97" s="45"/>
      <c r="J97" s="45"/>
      <c r="K97" s="46"/>
      <c r="L97" s="40"/>
      <c r="M97" s="40"/>
      <c r="N97" s="45"/>
      <c r="O97" s="40"/>
      <c r="P97" s="40"/>
      <c r="Q97" s="45"/>
      <c r="R97" s="45"/>
      <c r="S97" s="45"/>
      <c r="T97" s="10" t="s">
        <v>6</v>
      </c>
      <c r="U97" s="45"/>
      <c r="V97" s="45"/>
      <c r="W97" s="45"/>
      <c r="X97" s="45"/>
      <c r="Y97" s="45"/>
      <c r="Z97" s="45"/>
      <c r="AA97" s="10" t="s">
        <v>6</v>
      </c>
      <c r="AB97" s="45"/>
      <c r="AC97" s="45"/>
      <c r="AD97" s="45"/>
      <c r="AE97" s="45"/>
      <c r="AF97" s="45"/>
      <c r="AG97" s="45"/>
      <c r="AH97" s="25">
        <f t="shared" si="5"/>
        <v>2</v>
      </c>
    </row>
    <row r="98" ht="30.0" customHeight="1">
      <c r="A98" s="43"/>
      <c r="B98" s="47" t="s">
        <v>122</v>
      </c>
      <c r="C98" s="45"/>
      <c r="D98" s="45"/>
      <c r="E98" s="45"/>
      <c r="F98" s="45"/>
      <c r="G98" s="45"/>
      <c r="H98" s="45"/>
      <c r="I98" s="45"/>
      <c r="J98" s="45"/>
      <c r="K98" s="46"/>
      <c r="L98" s="40"/>
      <c r="M98" s="40"/>
      <c r="N98" s="45"/>
      <c r="O98" s="40"/>
      <c r="P98" s="40"/>
      <c r="Q98" s="45"/>
      <c r="R98" s="45"/>
      <c r="S98" s="45"/>
      <c r="T98" s="10" t="s">
        <v>6</v>
      </c>
      <c r="U98" s="45"/>
      <c r="V98" s="45"/>
      <c r="W98" s="45"/>
      <c r="X98" s="45"/>
      <c r="Y98" s="45"/>
      <c r="Z98" s="45"/>
      <c r="AA98" s="10" t="s">
        <v>6</v>
      </c>
      <c r="AB98" s="45"/>
      <c r="AC98" s="45"/>
      <c r="AD98" s="45"/>
      <c r="AE98" s="45"/>
      <c r="AF98" s="45"/>
      <c r="AG98" s="45"/>
      <c r="AH98" s="25">
        <f t="shared" si="5"/>
        <v>2</v>
      </c>
    </row>
    <row r="99" ht="30.0" customHeight="1">
      <c r="A99" s="43"/>
      <c r="B99" s="47" t="s">
        <v>123</v>
      </c>
      <c r="C99" s="45"/>
      <c r="D99" s="45"/>
      <c r="E99" s="45"/>
      <c r="F99" s="45"/>
      <c r="G99" s="45"/>
      <c r="H99" s="45"/>
      <c r="I99" s="45"/>
      <c r="J99" s="45"/>
      <c r="K99" s="46"/>
      <c r="L99" s="40"/>
      <c r="M99" s="40"/>
      <c r="N99" s="45"/>
      <c r="O99" s="40"/>
      <c r="P99" s="40"/>
      <c r="Q99" s="45"/>
      <c r="R99" s="45"/>
      <c r="S99" s="45"/>
      <c r="T99" s="40"/>
      <c r="U99" s="45"/>
      <c r="V99" s="45"/>
      <c r="W99" s="45"/>
      <c r="X99" s="45"/>
      <c r="Y99" s="45"/>
      <c r="Z99" s="10" t="s">
        <v>6</v>
      </c>
      <c r="AA99" s="40"/>
      <c r="AB99" s="45"/>
      <c r="AC99" s="45"/>
      <c r="AD99" s="45"/>
      <c r="AE99" s="45"/>
      <c r="AF99" s="45"/>
      <c r="AG99" s="45"/>
      <c r="AH99" s="25"/>
    </row>
    <row r="100" ht="30.0" customHeight="1">
      <c r="A100" s="43"/>
      <c r="B100" s="47" t="s">
        <v>124</v>
      </c>
      <c r="C100" s="45"/>
      <c r="D100" s="45"/>
      <c r="E100" s="45"/>
      <c r="F100" s="45"/>
      <c r="G100" s="45"/>
      <c r="H100" s="45"/>
      <c r="I100" s="45"/>
      <c r="J100" s="45"/>
      <c r="K100" s="46"/>
      <c r="L100" s="40"/>
      <c r="M100" s="40"/>
      <c r="N100" s="45"/>
      <c r="O100" s="40"/>
      <c r="P100" s="40"/>
      <c r="Q100" s="45"/>
      <c r="R100" s="45"/>
      <c r="S100" s="45"/>
      <c r="T100" s="40"/>
      <c r="U100" s="45"/>
      <c r="V100" s="45"/>
      <c r="W100" s="45"/>
      <c r="X100" s="45"/>
      <c r="Y100" s="45"/>
      <c r="Z100" s="45"/>
      <c r="AA100" s="40"/>
      <c r="AB100" s="45"/>
      <c r="AC100" s="45"/>
      <c r="AD100" s="45"/>
      <c r="AE100" s="45"/>
      <c r="AF100" s="10" t="s">
        <v>6</v>
      </c>
      <c r="AG100" s="45"/>
      <c r="AH100" s="36">
        <v>1.0</v>
      </c>
    </row>
    <row r="101" ht="30.0" customHeight="1">
      <c r="B101" s="42" t="str">
        <f>Enero!MonthName&amp;" Total"</f>
        <v>Enero Total</v>
      </c>
      <c r="C101" s="27">
        <f>SUBTOTAL(103,Enero!$C$7:$C$8)</f>
        <v>0</v>
      </c>
      <c r="D101" s="27">
        <f>SUBTOTAL(103,Enero!$D$7:$D$8)</f>
        <v>0</v>
      </c>
      <c r="E101" s="27">
        <f>SUBTOTAL(103,Enero!$E$7:$E$8)</f>
        <v>0</v>
      </c>
      <c r="F101" s="27"/>
      <c r="G101" s="27"/>
      <c r="H101" s="27">
        <f>SUBTOTAL(103,Enero!$H$7:$H$8)</f>
        <v>0</v>
      </c>
      <c r="I101" s="37" t="s">
        <v>21</v>
      </c>
      <c r="J101" s="37" t="s">
        <v>16</v>
      </c>
      <c r="K101" s="37" t="s">
        <v>20</v>
      </c>
      <c r="L101" s="37" t="s">
        <v>16</v>
      </c>
      <c r="M101" s="37" t="s">
        <v>17</v>
      </c>
      <c r="N101" s="27">
        <f>SUBTOTAL(103,Enero!$N$7:$N$8)</f>
        <v>0</v>
      </c>
      <c r="O101" s="37" t="s">
        <v>16</v>
      </c>
      <c r="P101" s="37" t="s">
        <v>19</v>
      </c>
      <c r="Q101" s="37" t="s">
        <v>17</v>
      </c>
      <c r="R101" s="37" t="s">
        <v>20</v>
      </c>
      <c r="S101" s="37" t="s">
        <v>20</v>
      </c>
      <c r="T101" s="37" t="s">
        <v>21</v>
      </c>
      <c r="U101" s="27">
        <f>SUBTOTAL(103,Enero!$U$7:$U$8)</f>
        <v>0</v>
      </c>
      <c r="V101" s="37" t="s">
        <v>17</v>
      </c>
      <c r="W101" s="37" t="s">
        <v>20</v>
      </c>
      <c r="X101" s="37" t="s">
        <v>17</v>
      </c>
      <c r="Y101" s="37" t="s">
        <v>18</v>
      </c>
      <c r="Z101" s="37" t="s">
        <v>20</v>
      </c>
      <c r="AA101" s="37" t="s">
        <v>19</v>
      </c>
      <c r="AB101" s="27">
        <f>SUBTOTAL(103,Enero!$AB$7:$AB$8)</f>
        <v>0</v>
      </c>
      <c r="AC101" s="27">
        <f>SUBTOTAL(103,Enero!$AC$7:$AC$8)</f>
        <v>1</v>
      </c>
      <c r="AD101" s="27">
        <f>SUBTOTAL(103,Enero!$AD$7:$AD$8)</f>
        <v>1</v>
      </c>
      <c r="AE101" s="27">
        <f>SUBTOTAL(103,Enero!$AE$7:$AE$8)</f>
        <v>1</v>
      </c>
      <c r="AF101" s="27">
        <f>SUBTOTAL(103,Enero!$AF$7:$AF$8)</f>
        <v>0</v>
      </c>
      <c r="AG101" s="27">
        <f>SUBTOTAL(103,Enero!$AG$7:$AG$8)</f>
        <v>0</v>
      </c>
      <c r="AH101" s="27">
        <f>SUM(C101:AG101)</f>
        <v>79</v>
      </c>
    </row>
    <row r="102" ht="30.0" customHeight="1">
      <c r="AH102" s="5"/>
    </row>
    <row r="103" ht="30.0" customHeight="1">
      <c r="B103" s="32" t="s">
        <v>12</v>
      </c>
      <c r="C103" s="29" t="s">
        <v>125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8">
        <v>2025.0</v>
      </c>
    </row>
    <row r="104" ht="30.0" customHeight="1">
      <c r="B104" s="32"/>
      <c r="C104" s="16" t="str">
        <f>TEXT(WEEKDAY(DATE(CalendarioAño,1,1),1),"ddd")</f>
        <v>mié</v>
      </c>
      <c r="D104" s="16" t="str">
        <f>TEXT(WEEKDAY(DATE(CalendarioAño,1,2),1),"ddd")</f>
        <v>jue</v>
      </c>
      <c r="E104" s="16" t="str">
        <f>TEXT(WEEKDAY(DATE(CalendarioAño,1,3),1),"ddd")</f>
        <v>vie</v>
      </c>
      <c r="F104" s="16" t="str">
        <f>TEXT(WEEKDAY(DATE(CalendarioAño,1,4),1),"ddd")</f>
        <v>sáb</v>
      </c>
      <c r="G104" s="16" t="str">
        <f>TEXT(WEEKDAY(DATE(CalendarioAño,1,5),1),"ddd")</f>
        <v>dom</v>
      </c>
      <c r="H104" s="16" t="str">
        <f>TEXT(WEEKDAY(DATE(CalendarioAño,1,6),1),"ddd")</f>
        <v>lun</v>
      </c>
      <c r="I104" s="16" t="str">
        <f>TEXT(WEEKDAY(DATE(CalendarioAño,1,7),1),"ddd")</f>
        <v>mar</v>
      </c>
      <c r="J104" s="16" t="str">
        <f>TEXT(WEEKDAY(DATE(CalendarioAño,1,8),1),"ddd")</f>
        <v>mié</v>
      </c>
      <c r="K104" s="16" t="str">
        <f>TEXT(WEEKDAY(DATE(CalendarioAño,1,9),1),"ddd")</f>
        <v>jue</v>
      </c>
      <c r="L104" s="16" t="str">
        <f>TEXT(WEEKDAY(DATE(CalendarioAño,1,10),1),"ddd")</f>
        <v>vie</v>
      </c>
      <c r="M104" s="16" t="str">
        <f>TEXT(WEEKDAY(DATE(CalendarioAño,1,11),1),"ddd")</f>
        <v>sáb</v>
      </c>
      <c r="N104" s="16" t="str">
        <f>TEXT(WEEKDAY(DATE(CalendarioAño,1,12),1),"ddd")</f>
        <v>dom</v>
      </c>
      <c r="O104" s="16" t="str">
        <f>TEXT(WEEKDAY(DATE(CalendarioAño,1,13),1),"ddd")</f>
        <v>lun</v>
      </c>
      <c r="P104" s="16" t="str">
        <f>TEXT(WEEKDAY(DATE(CalendarioAño,1,14),1),"ddd")</f>
        <v>mar</v>
      </c>
      <c r="Q104" s="16" t="str">
        <f>TEXT(WEEKDAY(DATE(CalendarioAño,1,15),1),"ddd")</f>
        <v>mié</v>
      </c>
      <c r="R104" s="16" t="str">
        <f>TEXT(WEEKDAY(DATE(CalendarioAño,1,16),1),"ddd")</f>
        <v>jue</v>
      </c>
      <c r="S104" s="16" t="str">
        <f>TEXT(WEEKDAY(DATE(CalendarioAño,1,17),1),"ddd")</f>
        <v>vie</v>
      </c>
      <c r="T104" s="16" t="str">
        <f>TEXT(WEEKDAY(DATE(CalendarioAño,1,18),1),"ddd")</f>
        <v>sáb</v>
      </c>
      <c r="U104" s="16" t="str">
        <f>TEXT(WEEKDAY(DATE(CalendarioAño,1,19),1),"ddd")</f>
        <v>dom</v>
      </c>
      <c r="V104" s="16" t="str">
        <f>TEXT(WEEKDAY(DATE(CalendarioAño,1,20),1),"ddd")</f>
        <v>lun</v>
      </c>
      <c r="W104" s="16" t="str">
        <f>TEXT(WEEKDAY(DATE(CalendarioAño,1,21),1),"ddd")</f>
        <v>mar</v>
      </c>
      <c r="X104" s="16" t="str">
        <f>TEXT(WEEKDAY(DATE(CalendarioAño,1,22),1),"ddd")</f>
        <v>mié</v>
      </c>
      <c r="Y104" s="16" t="str">
        <f>TEXT(WEEKDAY(DATE(CalendarioAño,1,23),1),"ddd")</f>
        <v>jue</v>
      </c>
      <c r="Z104" s="16" t="str">
        <f>TEXT(WEEKDAY(DATE(CalendarioAño,1,24),1),"ddd")</f>
        <v>vie</v>
      </c>
      <c r="AA104" s="16" t="str">
        <f>TEXT(WEEKDAY(DATE(CalendarioAño,1,25),1),"ddd")</f>
        <v>sáb</v>
      </c>
      <c r="AB104" s="16" t="str">
        <f>TEXT(WEEKDAY(DATE(CalendarioAño,1,26),1),"ddd")</f>
        <v>dom</v>
      </c>
      <c r="AC104" s="16" t="str">
        <f>TEXT(WEEKDAY(DATE(CalendarioAño,1,27),1),"ddd")</f>
        <v>lun</v>
      </c>
      <c r="AD104" s="16" t="str">
        <f>TEXT(WEEKDAY(DATE(CalendarioAño,1,28),1),"ddd")</f>
        <v>mar</v>
      </c>
      <c r="AE104" s="16" t="str">
        <f>TEXT(WEEKDAY(DATE(CalendarioAño,1,29),1),"ddd")</f>
        <v>mié</v>
      </c>
      <c r="AF104" s="16" t="str">
        <f>TEXT(WEEKDAY(DATE(CalendarioAño,1,30),1),"ddd")</f>
        <v>jue</v>
      </c>
      <c r="AG104" s="16" t="str">
        <f>TEXT(WEEKDAY(DATE(CalendarioAño,1,31),1),"ddd")</f>
        <v>vie</v>
      </c>
      <c r="AH104" s="32"/>
    </row>
    <row r="105" ht="30.0" customHeight="1">
      <c r="A105" s="17"/>
      <c r="B105" s="33" t="s">
        <v>14</v>
      </c>
      <c r="C105" s="19" t="s">
        <v>15</v>
      </c>
      <c r="D105" s="19" t="s">
        <v>16</v>
      </c>
      <c r="E105" s="19" t="s">
        <v>17</v>
      </c>
      <c r="F105" s="19" t="s">
        <v>18</v>
      </c>
      <c r="G105" s="19" t="s">
        <v>19</v>
      </c>
      <c r="H105" s="19" t="s">
        <v>20</v>
      </c>
      <c r="I105" s="19" t="s">
        <v>21</v>
      </c>
      <c r="J105" s="19" t="s">
        <v>22</v>
      </c>
      <c r="K105" s="19" t="s">
        <v>23</v>
      </c>
      <c r="L105" s="19" t="s">
        <v>24</v>
      </c>
      <c r="M105" s="19" t="s">
        <v>25</v>
      </c>
      <c r="N105" s="19" t="s">
        <v>26</v>
      </c>
      <c r="O105" s="19" t="s">
        <v>27</v>
      </c>
      <c r="P105" s="19" t="s">
        <v>28</v>
      </c>
      <c r="Q105" s="19" t="s">
        <v>29</v>
      </c>
      <c r="R105" s="19" t="s">
        <v>30</v>
      </c>
      <c r="S105" s="19" t="s">
        <v>31</v>
      </c>
      <c r="T105" s="19" t="s">
        <v>32</v>
      </c>
      <c r="U105" s="19" t="s">
        <v>33</v>
      </c>
      <c r="V105" s="19" t="s">
        <v>34</v>
      </c>
      <c r="W105" s="19" t="s">
        <v>35</v>
      </c>
      <c r="X105" s="19" t="s">
        <v>36</v>
      </c>
      <c r="Y105" s="19" t="s">
        <v>37</v>
      </c>
      <c r="Z105" s="19" t="s">
        <v>38</v>
      </c>
      <c r="AA105" s="19" t="s">
        <v>39</v>
      </c>
      <c r="AB105" s="19" t="s">
        <v>40</v>
      </c>
      <c r="AC105" s="19" t="s">
        <v>41</v>
      </c>
      <c r="AD105" s="19" t="s">
        <v>42</v>
      </c>
      <c r="AE105" s="19" t="s">
        <v>43</v>
      </c>
      <c r="AF105" s="19" t="s">
        <v>44</v>
      </c>
      <c r="AG105" s="19" t="s">
        <v>45</v>
      </c>
      <c r="AH105" s="19" t="s">
        <v>46</v>
      </c>
    </row>
    <row r="106" ht="30.0" customHeight="1">
      <c r="B106" s="39" t="s">
        <v>126</v>
      </c>
      <c r="C106" s="21"/>
      <c r="D106" s="21"/>
      <c r="E106" s="21"/>
      <c r="F106" s="21"/>
      <c r="G106" s="21"/>
      <c r="H106" s="24"/>
      <c r="I106" s="10" t="s">
        <v>6</v>
      </c>
      <c r="J106" s="10" t="s">
        <v>6</v>
      </c>
      <c r="K106" s="10" t="s">
        <v>6</v>
      </c>
      <c r="L106" s="10" t="s">
        <v>6</v>
      </c>
      <c r="M106" s="21"/>
      <c r="N106" s="21"/>
      <c r="O106" s="10" t="s">
        <v>6</v>
      </c>
      <c r="P106" s="10" t="s">
        <v>6</v>
      </c>
      <c r="Q106" s="21"/>
      <c r="R106" s="10" t="s">
        <v>6</v>
      </c>
      <c r="S106" s="21"/>
      <c r="T106" s="21"/>
      <c r="U106" s="21"/>
      <c r="V106" s="22"/>
      <c r="W106" s="10" t="s">
        <v>6</v>
      </c>
      <c r="X106" s="21"/>
      <c r="Y106" s="10" t="s">
        <v>6</v>
      </c>
      <c r="Z106" s="21"/>
      <c r="AA106" s="21"/>
      <c r="AB106" s="21"/>
      <c r="AC106" s="22"/>
      <c r="AD106" s="10" t="s">
        <v>6</v>
      </c>
      <c r="AE106" s="21"/>
      <c r="AF106" s="10" t="s">
        <v>6</v>
      </c>
      <c r="AG106" s="21"/>
      <c r="AH106" s="25">
        <f t="shared" ref="AH106:AH115" si="6">(COUNTA(C106:AG106))</f>
        <v>11</v>
      </c>
    </row>
    <row r="107" ht="30.0" customHeight="1">
      <c r="B107" s="20" t="s">
        <v>127</v>
      </c>
      <c r="C107" s="21"/>
      <c r="D107" s="21"/>
      <c r="E107" s="21"/>
      <c r="F107" s="21"/>
      <c r="G107" s="21"/>
      <c r="H107" s="24"/>
      <c r="I107" s="10" t="s">
        <v>6</v>
      </c>
      <c r="J107" s="21"/>
      <c r="K107" s="21"/>
      <c r="L107" s="22"/>
      <c r="M107" s="21"/>
      <c r="N107" s="21"/>
      <c r="O107" s="10" t="s">
        <v>6</v>
      </c>
      <c r="P107" s="10" t="s">
        <v>6</v>
      </c>
      <c r="Q107" s="21"/>
      <c r="R107" s="21"/>
      <c r="S107" s="21"/>
      <c r="T107" s="21"/>
      <c r="U107" s="21"/>
      <c r="V107" s="22"/>
      <c r="W107" s="10" t="s">
        <v>6</v>
      </c>
      <c r="X107" s="10" t="s">
        <v>6</v>
      </c>
      <c r="Y107" s="10" t="s">
        <v>6</v>
      </c>
      <c r="Z107" s="21"/>
      <c r="AA107" s="10" t="s">
        <v>6</v>
      </c>
      <c r="AB107" s="21"/>
      <c r="AC107" s="10" t="s">
        <v>6</v>
      </c>
      <c r="AD107" s="10" t="s">
        <v>6</v>
      </c>
      <c r="AE107" s="21"/>
      <c r="AF107" s="21"/>
      <c r="AG107" s="21"/>
      <c r="AH107" s="25">
        <f t="shared" si="6"/>
        <v>9</v>
      </c>
    </row>
    <row r="108" ht="30.0" customHeight="1">
      <c r="B108" s="20" t="s">
        <v>128</v>
      </c>
      <c r="C108" s="21"/>
      <c r="D108" s="21"/>
      <c r="E108" s="21"/>
      <c r="F108" s="21"/>
      <c r="G108" s="21"/>
      <c r="H108" s="21"/>
      <c r="I108" s="10" t="s">
        <v>6</v>
      </c>
      <c r="J108" s="21"/>
      <c r="K108" s="10" t="s">
        <v>6</v>
      </c>
      <c r="L108" s="10" t="s">
        <v>6</v>
      </c>
      <c r="M108" s="21"/>
      <c r="N108" s="21"/>
      <c r="O108" s="21"/>
      <c r="P108" s="10" t="s">
        <v>6</v>
      </c>
      <c r="Q108" s="21"/>
      <c r="R108" s="10" t="s">
        <v>6</v>
      </c>
      <c r="S108" s="10" t="s">
        <v>6</v>
      </c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10" t="s">
        <v>6</v>
      </c>
      <c r="AG108" s="10" t="s">
        <v>6</v>
      </c>
      <c r="AH108" s="25">
        <f t="shared" si="6"/>
        <v>8</v>
      </c>
    </row>
    <row r="109" ht="30.0" customHeight="1">
      <c r="B109" s="20" t="s">
        <v>129</v>
      </c>
      <c r="C109" s="21"/>
      <c r="D109" s="21"/>
      <c r="E109" s="21"/>
      <c r="F109" s="21"/>
      <c r="G109" s="21"/>
      <c r="H109" s="21"/>
      <c r="I109" s="10" t="s">
        <v>6</v>
      </c>
      <c r="J109" s="21"/>
      <c r="K109" s="10" t="s">
        <v>6</v>
      </c>
      <c r="L109" s="21"/>
      <c r="M109" s="21"/>
      <c r="N109" s="21"/>
      <c r="O109" s="21"/>
      <c r="P109" s="10" t="s">
        <v>6</v>
      </c>
      <c r="Q109" s="21"/>
      <c r="R109" s="10" t="s">
        <v>6</v>
      </c>
      <c r="S109" s="21"/>
      <c r="T109" s="21"/>
      <c r="U109" s="21"/>
      <c r="V109" s="21"/>
      <c r="W109" s="10" t="s">
        <v>6</v>
      </c>
      <c r="X109" s="21"/>
      <c r="Y109" s="10" t="s">
        <v>6</v>
      </c>
      <c r="Z109" s="21"/>
      <c r="AA109" s="21"/>
      <c r="AB109" s="21"/>
      <c r="AC109" s="21"/>
      <c r="AD109" s="10" t="s">
        <v>6</v>
      </c>
      <c r="AE109" s="21"/>
      <c r="AF109" s="21"/>
      <c r="AG109" s="10" t="s">
        <v>6</v>
      </c>
      <c r="AH109" s="25">
        <f t="shared" si="6"/>
        <v>8</v>
      </c>
    </row>
    <row r="110" ht="30.0" customHeight="1">
      <c r="B110" s="20" t="s">
        <v>130</v>
      </c>
      <c r="C110" s="21"/>
      <c r="D110" s="21"/>
      <c r="E110" s="21"/>
      <c r="F110" s="21"/>
      <c r="G110" s="21"/>
      <c r="H110" s="21"/>
      <c r="I110" s="10" t="s">
        <v>6</v>
      </c>
      <c r="J110" s="21"/>
      <c r="K110" s="10" t="s">
        <v>6</v>
      </c>
      <c r="L110" s="21"/>
      <c r="M110" s="21"/>
      <c r="N110" s="21"/>
      <c r="O110" s="21"/>
      <c r="P110" s="10" t="s">
        <v>6</v>
      </c>
      <c r="Q110" s="21"/>
      <c r="R110" s="10" t="s">
        <v>6</v>
      </c>
      <c r="S110" s="21"/>
      <c r="T110" s="21"/>
      <c r="U110" s="21"/>
      <c r="V110" s="21"/>
      <c r="W110" s="10" t="s">
        <v>6</v>
      </c>
      <c r="X110" s="10" t="s">
        <v>6</v>
      </c>
      <c r="Y110" s="10" t="s">
        <v>6</v>
      </c>
      <c r="Z110" s="21"/>
      <c r="AA110" s="21"/>
      <c r="AB110" s="21"/>
      <c r="AC110" s="21"/>
      <c r="AD110" s="21"/>
      <c r="AE110" s="21"/>
      <c r="AF110" s="10" t="s">
        <v>6</v>
      </c>
      <c r="AG110" s="21"/>
      <c r="AH110" s="25">
        <f t="shared" si="6"/>
        <v>8</v>
      </c>
    </row>
    <row r="111" ht="30.0" customHeight="1">
      <c r="B111" s="39" t="s">
        <v>131</v>
      </c>
      <c r="C111" s="21"/>
      <c r="D111" s="21"/>
      <c r="E111" s="21"/>
      <c r="F111" s="21"/>
      <c r="G111" s="21"/>
      <c r="H111" s="21"/>
      <c r="I111" s="10" t="s">
        <v>6</v>
      </c>
      <c r="J111" s="21"/>
      <c r="K111" s="10" t="s">
        <v>6</v>
      </c>
      <c r="L111" s="21"/>
      <c r="M111" s="21"/>
      <c r="N111" s="21"/>
      <c r="O111" s="21"/>
      <c r="P111" s="10" t="s">
        <v>6</v>
      </c>
      <c r="Q111" s="21"/>
      <c r="R111" s="21"/>
      <c r="S111" s="21"/>
      <c r="T111" s="21"/>
      <c r="U111" s="21"/>
      <c r="V111" s="21"/>
      <c r="W111" s="10" t="s">
        <v>6</v>
      </c>
      <c r="X111" s="21"/>
      <c r="Y111" s="10" t="s">
        <v>6</v>
      </c>
      <c r="Z111" s="21"/>
      <c r="AA111" s="21"/>
      <c r="AB111" s="21"/>
      <c r="AC111" s="21"/>
      <c r="AD111" s="21"/>
      <c r="AE111" s="21"/>
      <c r="AF111" s="10" t="s">
        <v>6</v>
      </c>
      <c r="AG111" s="21"/>
      <c r="AH111" s="25">
        <f t="shared" si="6"/>
        <v>6</v>
      </c>
    </row>
    <row r="112" ht="30.0" customHeight="1">
      <c r="B112" s="20" t="s">
        <v>132</v>
      </c>
      <c r="C112" s="21"/>
      <c r="D112" s="21"/>
      <c r="E112" s="21"/>
      <c r="F112" s="21"/>
      <c r="G112" s="21"/>
      <c r="H112" s="21"/>
      <c r="I112" s="40"/>
      <c r="J112" s="10" t="s">
        <v>6</v>
      </c>
      <c r="K112" s="21"/>
      <c r="L112" s="10" t="s">
        <v>6</v>
      </c>
      <c r="M112" s="21"/>
      <c r="N112" s="21"/>
      <c r="O112" s="10" t="s">
        <v>6</v>
      </c>
      <c r="P112" s="21"/>
      <c r="Q112" s="10" t="s">
        <v>6</v>
      </c>
      <c r="R112" s="21"/>
      <c r="S112" s="10" t="s">
        <v>6</v>
      </c>
      <c r="T112" s="21"/>
      <c r="U112" s="21"/>
      <c r="V112" s="10" t="s">
        <v>6</v>
      </c>
      <c r="W112" s="21"/>
      <c r="X112" s="10" t="s">
        <v>6</v>
      </c>
      <c r="Y112" s="21"/>
      <c r="Z112" s="10" t="s">
        <v>6</v>
      </c>
      <c r="AA112" s="21"/>
      <c r="AB112" s="21"/>
      <c r="AC112" s="21"/>
      <c r="AD112" s="21"/>
      <c r="AE112" s="21"/>
      <c r="AF112" s="21"/>
      <c r="AG112" s="21"/>
      <c r="AH112" s="25">
        <f t="shared" si="6"/>
        <v>8</v>
      </c>
    </row>
    <row r="113" ht="30.0" customHeight="1">
      <c r="B113" s="20" t="s">
        <v>133</v>
      </c>
      <c r="C113" s="21"/>
      <c r="D113" s="21"/>
      <c r="E113" s="21"/>
      <c r="F113" s="21"/>
      <c r="G113" s="21"/>
      <c r="H113" s="21"/>
      <c r="I113" s="40"/>
      <c r="J113" s="10" t="s">
        <v>6</v>
      </c>
      <c r="K113" s="10" t="s">
        <v>6</v>
      </c>
      <c r="L113" s="10" t="s">
        <v>6</v>
      </c>
      <c r="M113" s="21"/>
      <c r="N113" s="21"/>
      <c r="O113" s="10" t="s">
        <v>6</v>
      </c>
      <c r="P113" s="21"/>
      <c r="Q113" s="10" t="s">
        <v>6</v>
      </c>
      <c r="R113" s="10" t="s">
        <v>6</v>
      </c>
      <c r="S113" s="10" t="s">
        <v>6</v>
      </c>
      <c r="T113" s="21"/>
      <c r="U113" s="21"/>
      <c r="V113" s="21"/>
      <c r="W113" s="21"/>
      <c r="X113" s="10" t="s">
        <v>6</v>
      </c>
      <c r="Y113" s="21"/>
      <c r="Z113" s="10" t="s">
        <v>6</v>
      </c>
      <c r="AA113" s="21"/>
      <c r="AB113" s="21"/>
      <c r="AC113" s="10" t="s">
        <v>6</v>
      </c>
      <c r="AD113" s="21"/>
      <c r="AE113" s="21"/>
      <c r="AF113" s="10" t="s">
        <v>6</v>
      </c>
      <c r="AG113" s="10" t="s">
        <v>6</v>
      </c>
      <c r="AH113" s="25">
        <f t="shared" si="6"/>
        <v>12</v>
      </c>
    </row>
    <row r="114" ht="30.0" customHeight="1">
      <c r="B114" s="20" t="s">
        <v>134</v>
      </c>
      <c r="C114" s="21"/>
      <c r="D114" s="21"/>
      <c r="E114" s="21"/>
      <c r="F114" s="21"/>
      <c r="G114" s="21"/>
      <c r="H114" s="21"/>
      <c r="I114" s="40"/>
      <c r="J114" s="40"/>
      <c r="K114" s="40"/>
      <c r="L114" s="10" t="s">
        <v>6</v>
      </c>
      <c r="M114" s="10" t="s">
        <v>6</v>
      </c>
      <c r="N114" s="21"/>
      <c r="O114" s="10" t="s">
        <v>6</v>
      </c>
      <c r="P114" s="21"/>
      <c r="Q114" s="21"/>
      <c r="R114" s="21"/>
      <c r="S114" s="21"/>
      <c r="T114" s="10" t="s">
        <v>6</v>
      </c>
      <c r="U114" s="21"/>
      <c r="V114" s="10" t="s">
        <v>6</v>
      </c>
      <c r="W114" s="21"/>
      <c r="X114" s="21"/>
      <c r="Y114" s="21"/>
      <c r="Z114" s="21"/>
      <c r="AA114" s="10" t="s">
        <v>6</v>
      </c>
      <c r="AB114" s="21"/>
      <c r="AC114" s="10" t="s">
        <v>6</v>
      </c>
      <c r="AD114" s="21"/>
      <c r="AE114" s="21"/>
      <c r="AF114" s="21"/>
      <c r="AG114" s="21"/>
      <c r="AH114" s="25">
        <f t="shared" si="6"/>
        <v>7</v>
      </c>
    </row>
    <row r="115" ht="30.0" customHeight="1">
      <c r="B115" s="20" t="s">
        <v>135</v>
      </c>
      <c r="C115" s="21"/>
      <c r="D115" s="21"/>
      <c r="E115" s="21"/>
      <c r="F115" s="21"/>
      <c r="G115" s="21"/>
      <c r="H115" s="21"/>
      <c r="I115" s="40"/>
      <c r="J115" s="40"/>
      <c r="K115" s="40"/>
      <c r="L115" s="40"/>
      <c r="M115" s="40"/>
      <c r="N115" s="21"/>
      <c r="O115" s="10" t="s">
        <v>6</v>
      </c>
      <c r="P115" s="21"/>
      <c r="Q115" s="10" t="s">
        <v>6</v>
      </c>
      <c r="R115" s="21"/>
      <c r="S115" s="21"/>
      <c r="T115" s="21"/>
      <c r="U115" s="21"/>
      <c r="V115" s="21"/>
      <c r="W115" s="21"/>
      <c r="X115" s="10" t="s">
        <v>6</v>
      </c>
      <c r="Y115" s="21"/>
      <c r="Z115" s="21"/>
      <c r="AA115" s="21"/>
      <c r="AB115" s="21"/>
      <c r="AC115" s="21"/>
      <c r="AD115" s="21"/>
      <c r="AE115" s="21"/>
      <c r="AF115" s="21"/>
      <c r="AG115" s="21"/>
      <c r="AH115" s="25">
        <f t="shared" si="6"/>
        <v>3</v>
      </c>
    </row>
    <row r="116" ht="30.0" customHeight="1">
      <c r="B116" s="42" t="str">
        <f>Enero!MonthName&amp;" Total"</f>
        <v>Enero Total</v>
      </c>
      <c r="C116" s="27">
        <f>SUBTOTAL(103,Enero!$C$7:$C$8)</f>
        <v>0</v>
      </c>
      <c r="D116" s="27">
        <f>SUBTOTAL(103,Enero!$D$7:$D$8)</f>
        <v>0</v>
      </c>
      <c r="E116" s="27">
        <f>SUBTOTAL(103,Enero!$E$7:$E$8)</f>
        <v>0</v>
      </c>
      <c r="F116" s="27"/>
      <c r="G116" s="27"/>
      <c r="H116" s="27">
        <f>SUBTOTAL(103,Enero!$H$7:$H$8)</f>
        <v>0</v>
      </c>
      <c r="I116" s="37" t="s">
        <v>20</v>
      </c>
      <c r="J116" s="37" t="s">
        <v>17</v>
      </c>
      <c r="K116" s="37" t="s">
        <v>20</v>
      </c>
      <c r="L116" s="37" t="s">
        <v>19</v>
      </c>
      <c r="M116" s="37" t="s">
        <v>15</v>
      </c>
      <c r="N116" s="27">
        <f>SUBTOTAL(103,Enero!$N$7:$N$8)</f>
        <v>0</v>
      </c>
      <c r="O116" s="37" t="s">
        <v>20</v>
      </c>
      <c r="P116" s="37" t="s">
        <v>20</v>
      </c>
      <c r="Q116" s="37" t="s">
        <v>17</v>
      </c>
      <c r="R116" s="37" t="s">
        <v>19</v>
      </c>
      <c r="S116" s="37" t="s">
        <v>17</v>
      </c>
      <c r="T116" s="37" t="s">
        <v>15</v>
      </c>
      <c r="U116" s="27">
        <f>SUBTOTAL(103,Enero!$U$7:$U$8)</f>
        <v>0</v>
      </c>
      <c r="V116" s="37" t="s">
        <v>17</v>
      </c>
      <c r="W116" s="37" t="s">
        <v>19</v>
      </c>
      <c r="X116" s="37" t="s">
        <v>18</v>
      </c>
      <c r="Y116" s="27">
        <f>SUBTOTAL(103,Enero!$Y$7:$Y$8)</f>
        <v>0</v>
      </c>
      <c r="Z116" s="37" t="s">
        <v>16</v>
      </c>
      <c r="AA116" s="37" t="s">
        <v>16</v>
      </c>
      <c r="AB116" s="27">
        <f>SUBTOTAL(103,Enero!$AB$7:$AB$8)</f>
        <v>0</v>
      </c>
      <c r="AC116" s="27">
        <f>SUBTOTAL(103,Enero!$AC$7:$AC$8)</f>
        <v>1</v>
      </c>
      <c r="AD116" s="27">
        <f>SUBTOTAL(103,Enero!$AD$7:$AD$8)</f>
        <v>1</v>
      </c>
      <c r="AE116" s="27">
        <f>SUBTOTAL(103,Enero!$AE$7:$AE$8)</f>
        <v>1</v>
      </c>
      <c r="AF116" s="27">
        <f>SUBTOTAL(103,Enero!$AF$7:$AF$8)</f>
        <v>0</v>
      </c>
      <c r="AG116" s="27">
        <f>SUBTOTAL(103,Enero!$AG$7:$AG$8)</f>
        <v>0</v>
      </c>
      <c r="AH116" s="27">
        <f>SUM(C116:AG116)</f>
        <v>64</v>
      </c>
    </row>
    <row r="117" ht="30.0" customHeight="1">
      <c r="AH117" s="5"/>
    </row>
    <row r="118" ht="30.0" customHeight="1">
      <c r="B118" s="32" t="s">
        <v>12</v>
      </c>
      <c r="C118" s="29" t="s">
        <v>136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8">
        <v>2025.0</v>
      </c>
    </row>
    <row r="119" ht="30.0" customHeight="1">
      <c r="B119" s="32"/>
      <c r="C119" s="16" t="str">
        <f>TEXT(WEEKDAY(DATE(CalendarioAño,1,1),1),"ddd")</f>
        <v>mié</v>
      </c>
      <c r="D119" s="16" t="str">
        <f>TEXT(WEEKDAY(DATE(CalendarioAño,1,2),1),"ddd")</f>
        <v>jue</v>
      </c>
      <c r="E119" s="16" t="str">
        <f>TEXT(WEEKDAY(DATE(CalendarioAño,1,3),1),"ddd")</f>
        <v>vie</v>
      </c>
      <c r="F119" s="16" t="str">
        <f>TEXT(WEEKDAY(DATE(CalendarioAño,1,4),1),"ddd")</f>
        <v>sáb</v>
      </c>
      <c r="G119" s="16" t="str">
        <f>TEXT(WEEKDAY(DATE(CalendarioAño,1,5),1),"ddd")</f>
        <v>dom</v>
      </c>
      <c r="H119" s="16" t="str">
        <f>TEXT(WEEKDAY(DATE(CalendarioAño,1,6),1),"ddd")</f>
        <v>lun</v>
      </c>
      <c r="I119" s="16" t="str">
        <f>TEXT(WEEKDAY(DATE(CalendarioAño,1,7),1),"ddd")</f>
        <v>mar</v>
      </c>
      <c r="J119" s="16" t="str">
        <f>TEXT(WEEKDAY(DATE(CalendarioAño,1,8),1),"ddd")</f>
        <v>mié</v>
      </c>
      <c r="K119" s="16" t="str">
        <f>TEXT(WEEKDAY(DATE(CalendarioAño,1,9),1),"ddd")</f>
        <v>jue</v>
      </c>
      <c r="L119" s="16" t="str">
        <f>TEXT(WEEKDAY(DATE(CalendarioAño,1,10),1),"ddd")</f>
        <v>vie</v>
      </c>
      <c r="M119" s="16" t="str">
        <f>TEXT(WEEKDAY(DATE(CalendarioAño,1,11),1),"ddd")</f>
        <v>sáb</v>
      </c>
      <c r="N119" s="16" t="str">
        <f>TEXT(WEEKDAY(DATE(CalendarioAño,1,12),1),"ddd")</f>
        <v>dom</v>
      </c>
      <c r="O119" s="16" t="str">
        <f>TEXT(WEEKDAY(DATE(CalendarioAño,1,13),1),"ddd")</f>
        <v>lun</v>
      </c>
      <c r="P119" s="16" t="str">
        <f>TEXT(WEEKDAY(DATE(CalendarioAño,1,14),1),"ddd")</f>
        <v>mar</v>
      </c>
      <c r="Q119" s="16" t="str">
        <f>TEXT(WEEKDAY(DATE(CalendarioAño,1,15),1),"ddd")</f>
        <v>mié</v>
      </c>
      <c r="R119" s="16" t="str">
        <f>TEXT(WEEKDAY(DATE(CalendarioAño,1,16),1),"ddd")</f>
        <v>jue</v>
      </c>
      <c r="S119" s="16" t="str">
        <f>TEXT(WEEKDAY(DATE(CalendarioAño,1,17),1),"ddd")</f>
        <v>vie</v>
      </c>
      <c r="T119" s="16" t="str">
        <f>TEXT(WEEKDAY(DATE(CalendarioAño,1,18),1),"ddd")</f>
        <v>sáb</v>
      </c>
      <c r="U119" s="16" t="str">
        <f>TEXT(WEEKDAY(DATE(CalendarioAño,1,19),1),"ddd")</f>
        <v>dom</v>
      </c>
      <c r="V119" s="16" t="str">
        <f>TEXT(WEEKDAY(DATE(CalendarioAño,1,20),1),"ddd")</f>
        <v>lun</v>
      </c>
      <c r="W119" s="16" t="str">
        <f>TEXT(WEEKDAY(DATE(CalendarioAño,1,21),1),"ddd")</f>
        <v>mar</v>
      </c>
      <c r="X119" s="16" t="str">
        <f>TEXT(WEEKDAY(DATE(CalendarioAño,1,22),1),"ddd")</f>
        <v>mié</v>
      </c>
      <c r="Y119" s="16" t="str">
        <f>TEXT(WEEKDAY(DATE(CalendarioAño,1,23),1),"ddd")</f>
        <v>jue</v>
      </c>
      <c r="Z119" s="16" t="str">
        <f>TEXT(WEEKDAY(DATE(CalendarioAño,1,24),1),"ddd")</f>
        <v>vie</v>
      </c>
      <c r="AA119" s="16" t="str">
        <f>TEXT(WEEKDAY(DATE(CalendarioAño,1,25),1),"ddd")</f>
        <v>sáb</v>
      </c>
      <c r="AB119" s="16" t="str">
        <f>TEXT(WEEKDAY(DATE(CalendarioAño,1,26),1),"ddd")</f>
        <v>dom</v>
      </c>
      <c r="AC119" s="16" t="str">
        <f>TEXT(WEEKDAY(DATE(CalendarioAño,1,27),1),"ddd")</f>
        <v>lun</v>
      </c>
      <c r="AD119" s="16" t="str">
        <f>TEXT(WEEKDAY(DATE(CalendarioAño,1,28),1),"ddd")</f>
        <v>mar</v>
      </c>
      <c r="AE119" s="16" t="str">
        <f>TEXT(WEEKDAY(DATE(CalendarioAño,1,29),1),"ddd")</f>
        <v>mié</v>
      </c>
      <c r="AF119" s="16" t="str">
        <f>TEXT(WEEKDAY(DATE(CalendarioAño,1,30),1),"ddd")</f>
        <v>jue</v>
      </c>
      <c r="AG119" s="16" t="str">
        <f>TEXT(WEEKDAY(DATE(CalendarioAño,1,31),1),"ddd")</f>
        <v>vie</v>
      </c>
      <c r="AH119" s="32"/>
    </row>
    <row r="120" ht="30.0" customHeight="1">
      <c r="A120" s="17"/>
      <c r="B120" s="33" t="s">
        <v>14</v>
      </c>
      <c r="C120" s="19" t="s">
        <v>15</v>
      </c>
      <c r="D120" s="19" t="s">
        <v>16</v>
      </c>
      <c r="E120" s="19" t="s">
        <v>17</v>
      </c>
      <c r="F120" s="19" t="s">
        <v>18</v>
      </c>
      <c r="G120" s="19" t="s">
        <v>19</v>
      </c>
      <c r="H120" s="19" t="s">
        <v>20</v>
      </c>
      <c r="I120" s="19" t="s">
        <v>21</v>
      </c>
      <c r="J120" s="19" t="s">
        <v>22</v>
      </c>
      <c r="K120" s="19" t="s">
        <v>23</v>
      </c>
      <c r="L120" s="19" t="s">
        <v>24</v>
      </c>
      <c r="M120" s="19" t="s">
        <v>25</v>
      </c>
      <c r="N120" s="19" t="s">
        <v>26</v>
      </c>
      <c r="O120" s="19" t="s">
        <v>27</v>
      </c>
      <c r="P120" s="19" t="s">
        <v>28</v>
      </c>
      <c r="Q120" s="19" t="s">
        <v>29</v>
      </c>
      <c r="R120" s="19" t="s">
        <v>30</v>
      </c>
      <c r="S120" s="19" t="s">
        <v>31</v>
      </c>
      <c r="T120" s="19" t="s">
        <v>32</v>
      </c>
      <c r="U120" s="19" t="s">
        <v>33</v>
      </c>
      <c r="V120" s="19" t="s">
        <v>34</v>
      </c>
      <c r="W120" s="19" t="s">
        <v>35</v>
      </c>
      <c r="X120" s="19" t="s">
        <v>36</v>
      </c>
      <c r="Y120" s="19" t="s">
        <v>37</v>
      </c>
      <c r="Z120" s="19" t="s">
        <v>38</v>
      </c>
      <c r="AA120" s="19" t="s">
        <v>39</v>
      </c>
      <c r="AB120" s="19" t="s">
        <v>40</v>
      </c>
      <c r="AC120" s="19" t="s">
        <v>41</v>
      </c>
      <c r="AD120" s="19" t="s">
        <v>42</v>
      </c>
      <c r="AE120" s="19" t="s">
        <v>43</v>
      </c>
      <c r="AF120" s="19" t="s">
        <v>44</v>
      </c>
      <c r="AG120" s="19" t="s">
        <v>45</v>
      </c>
      <c r="AH120" s="19" t="s">
        <v>46</v>
      </c>
    </row>
    <row r="121" ht="30.0" customHeight="1">
      <c r="B121" s="20" t="s">
        <v>137</v>
      </c>
      <c r="C121" s="21"/>
      <c r="D121" s="21"/>
      <c r="E121" s="21"/>
      <c r="F121" s="21"/>
      <c r="G121" s="21"/>
      <c r="H121" s="24"/>
      <c r="I121" s="10" t="s">
        <v>6</v>
      </c>
      <c r="J121" s="21"/>
      <c r="K121" s="10" t="s">
        <v>6</v>
      </c>
      <c r="L121" s="22"/>
      <c r="M121" s="10" t="s">
        <v>6</v>
      </c>
      <c r="N121" s="21"/>
      <c r="O121" s="22"/>
      <c r="P121" s="10" t="s">
        <v>6</v>
      </c>
      <c r="Q121" s="21"/>
      <c r="R121" s="10" t="s">
        <v>6</v>
      </c>
      <c r="S121" s="21"/>
      <c r="T121" s="10" t="s">
        <v>6</v>
      </c>
      <c r="U121" s="21"/>
      <c r="V121" s="22"/>
      <c r="W121" s="10" t="s">
        <v>6</v>
      </c>
      <c r="X121" s="21"/>
      <c r="Y121" s="10" t="s">
        <v>6</v>
      </c>
      <c r="Z121" s="21"/>
      <c r="AA121" s="21"/>
      <c r="AB121" s="21"/>
      <c r="AC121" s="22"/>
      <c r="AD121" s="48" t="s">
        <v>6</v>
      </c>
      <c r="AE121" s="21"/>
      <c r="AF121" s="10" t="s">
        <v>6</v>
      </c>
      <c r="AG121" s="21"/>
      <c r="AH121" s="25">
        <f t="shared" ref="AH121:AH125" si="7">(COUNTA(C121:AG121))</f>
        <v>10</v>
      </c>
    </row>
    <row r="122" ht="30.0" customHeight="1">
      <c r="B122" s="20" t="s">
        <v>138</v>
      </c>
      <c r="C122" s="21"/>
      <c r="D122" s="21"/>
      <c r="E122" s="21"/>
      <c r="F122" s="21"/>
      <c r="G122" s="21"/>
      <c r="H122" s="24"/>
      <c r="I122" s="10" t="s">
        <v>6</v>
      </c>
      <c r="J122" s="21"/>
      <c r="K122" s="21"/>
      <c r="L122" s="22"/>
      <c r="M122" s="21"/>
      <c r="N122" s="21"/>
      <c r="O122" s="10" t="s">
        <v>6</v>
      </c>
      <c r="P122" s="21"/>
      <c r="Q122" s="10" t="s">
        <v>6</v>
      </c>
      <c r="R122" s="21"/>
      <c r="S122" s="10" t="s">
        <v>6</v>
      </c>
      <c r="T122" s="21"/>
      <c r="U122" s="21"/>
      <c r="V122" s="22"/>
      <c r="W122" s="10" t="s">
        <v>6</v>
      </c>
      <c r="X122" s="21"/>
      <c r="Y122" s="10" t="s">
        <v>6</v>
      </c>
      <c r="Z122" s="21"/>
      <c r="AA122" s="21"/>
      <c r="AB122" s="21"/>
      <c r="AC122" s="22"/>
      <c r="AD122" s="10" t="s">
        <v>6</v>
      </c>
      <c r="AE122" s="21"/>
      <c r="AF122" s="21"/>
      <c r="AG122" s="21"/>
      <c r="AH122" s="25">
        <f t="shared" si="7"/>
        <v>7</v>
      </c>
    </row>
    <row r="123" ht="30.0" customHeight="1">
      <c r="B123" s="39" t="s">
        <v>139</v>
      </c>
      <c r="C123" s="21"/>
      <c r="D123" s="21"/>
      <c r="E123" s="21"/>
      <c r="F123" s="21"/>
      <c r="G123" s="21"/>
      <c r="H123" s="21"/>
      <c r="I123" s="10" t="s">
        <v>6</v>
      </c>
      <c r="J123" s="21"/>
      <c r="K123" s="10" t="s">
        <v>6</v>
      </c>
      <c r="L123" s="21"/>
      <c r="M123" s="21"/>
      <c r="N123" s="21"/>
      <c r="O123" s="21"/>
      <c r="P123" s="10" t="s">
        <v>6</v>
      </c>
      <c r="Q123" s="21"/>
      <c r="R123" s="10" t="s">
        <v>6</v>
      </c>
      <c r="S123" s="21"/>
      <c r="T123" s="21"/>
      <c r="U123" s="21"/>
      <c r="V123" s="21"/>
      <c r="W123" s="10" t="s">
        <v>6</v>
      </c>
      <c r="X123" s="21"/>
      <c r="Y123" s="10" t="s">
        <v>6</v>
      </c>
      <c r="Z123" s="21"/>
      <c r="AA123" s="21"/>
      <c r="AB123" s="21"/>
      <c r="AC123" s="21"/>
      <c r="AD123" s="10" t="s">
        <v>6</v>
      </c>
      <c r="AE123" s="21"/>
      <c r="AF123" s="10" t="s">
        <v>6</v>
      </c>
      <c r="AG123" s="21"/>
      <c r="AH123" s="25">
        <f t="shared" si="7"/>
        <v>8</v>
      </c>
    </row>
    <row r="124" ht="30.0" customHeight="1">
      <c r="B124" s="39" t="s">
        <v>140</v>
      </c>
      <c r="C124" s="21"/>
      <c r="D124" s="21"/>
      <c r="E124" s="21"/>
      <c r="F124" s="21"/>
      <c r="G124" s="21"/>
      <c r="H124" s="21"/>
      <c r="I124" s="10" t="s">
        <v>6</v>
      </c>
      <c r="J124" s="21"/>
      <c r="K124" s="10" t="s">
        <v>6</v>
      </c>
      <c r="L124" s="21"/>
      <c r="M124" s="21"/>
      <c r="N124" s="21"/>
      <c r="O124" s="21"/>
      <c r="P124" s="10" t="s">
        <v>6</v>
      </c>
      <c r="Q124" s="21"/>
      <c r="R124" s="10" t="s">
        <v>6</v>
      </c>
      <c r="S124" s="21"/>
      <c r="T124" s="21"/>
      <c r="U124" s="21"/>
      <c r="V124" s="21"/>
      <c r="W124" s="10" t="s">
        <v>6</v>
      </c>
      <c r="X124" s="21"/>
      <c r="Y124" s="10" t="s">
        <v>6</v>
      </c>
      <c r="Z124" s="21"/>
      <c r="AA124" s="21"/>
      <c r="AB124" s="21"/>
      <c r="AC124" s="21"/>
      <c r="AD124" s="10" t="s">
        <v>6</v>
      </c>
      <c r="AE124" s="21"/>
      <c r="AF124" s="10" t="s">
        <v>6</v>
      </c>
      <c r="AG124" s="21"/>
      <c r="AH124" s="25">
        <f t="shared" si="7"/>
        <v>8</v>
      </c>
    </row>
    <row r="125" ht="30.0" customHeight="1">
      <c r="B125" s="20" t="s">
        <v>141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10" t="s">
        <v>6</v>
      </c>
      <c r="N125" s="21"/>
      <c r="O125" s="21"/>
      <c r="P125" s="21"/>
      <c r="Q125" s="21"/>
      <c r="R125" s="21"/>
      <c r="S125" s="21"/>
      <c r="T125" s="10" t="s">
        <v>6</v>
      </c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5">
        <f t="shared" si="7"/>
        <v>2</v>
      </c>
    </row>
    <row r="126" ht="30.0" customHeight="1">
      <c r="B126" s="42" t="str">
        <f>Enero!MonthName&amp;" Total"</f>
        <v>Enero Total</v>
      </c>
      <c r="C126" s="27">
        <f>SUBTOTAL(103,Enero!$C$7:$C$8)</f>
        <v>0</v>
      </c>
      <c r="D126" s="27">
        <f>SUBTOTAL(103,Enero!$D$7:$D$8)</f>
        <v>0</v>
      </c>
      <c r="E126" s="27">
        <f>SUBTOTAL(103,Enero!$E$7:$E$8)</f>
        <v>0</v>
      </c>
      <c r="F126" s="27"/>
      <c r="G126" s="27"/>
      <c r="H126" s="27">
        <f>SUBTOTAL(103,Enero!$H$7:$H$8)</f>
        <v>0</v>
      </c>
      <c r="I126" s="37" t="s">
        <v>18</v>
      </c>
      <c r="J126" s="27">
        <f>SUBTOTAL(103,Enero!$J$7:$J$8)</f>
        <v>0</v>
      </c>
      <c r="K126" s="37" t="s">
        <v>17</v>
      </c>
      <c r="L126" s="27">
        <f>SUBTOTAL(103,Enero!$L$7:$L$8)</f>
        <v>0</v>
      </c>
      <c r="M126" s="37" t="s">
        <v>16</v>
      </c>
      <c r="N126" s="27">
        <f>SUBTOTAL(103,Enero!$N$7:$N$8)</f>
        <v>0</v>
      </c>
      <c r="O126" s="37" t="s">
        <v>15</v>
      </c>
      <c r="P126" s="37" t="s">
        <v>17</v>
      </c>
      <c r="Q126" s="37" t="s">
        <v>15</v>
      </c>
      <c r="R126" s="37" t="s">
        <v>17</v>
      </c>
      <c r="S126" s="37" t="s">
        <v>15</v>
      </c>
      <c r="T126" s="37" t="s">
        <v>16</v>
      </c>
      <c r="U126" s="27">
        <f>SUBTOTAL(103,Enero!$U$7:$U$8)</f>
        <v>0</v>
      </c>
      <c r="V126" s="27"/>
      <c r="W126" s="37" t="s">
        <v>18</v>
      </c>
      <c r="X126" s="27">
        <f>SUBTOTAL(103,Enero!$X$7:$X$8)</f>
        <v>0</v>
      </c>
      <c r="Y126" s="27">
        <f>SUBTOTAL(103,Enero!$Y$7:$Y$8)</f>
        <v>0</v>
      </c>
      <c r="Z126" s="27">
        <f>SUBTOTAL(103,Enero!$Z$7:$Z$8)</f>
        <v>0</v>
      </c>
      <c r="AA126" s="27">
        <f>SUBTOTAL(103,Enero!$AA$7:$AA$8)</f>
        <v>0</v>
      </c>
      <c r="AB126" s="27">
        <f>SUBTOTAL(103,Enero!$AB$7:$AB$8)</f>
        <v>0</v>
      </c>
      <c r="AC126" s="27">
        <f>SUBTOTAL(103,Enero!$AC$7:$AC$8)</f>
        <v>1</v>
      </c>
      <c r="AD126" s="27">
        <f>SUBTOTAL(103,Enero!$AD$7:$AD$8)</f>
        <v>1</v>
      </c>
      <c r="AE126" s="27">
        <f>SUBTOTAL(103,Enero!$AE$7:$AE$8)</f>
        <v>1</v>
      </c>
      <c r="AF126" s="27">
        <f>SUBTOTAL(103,Enero!$AF$7:$AF$8)</f>
        <v>0</v>
      </c>
      <c r="AG126" s="27">
        <f>SUBTOTAL(103,Enero!$AG$7:$AG$8)</f>
        <v>0</v>
      </c>
      <c r="AH126" s="27">
        <f>SUM(C126:AG126)</f>
        <v>27</v>
      </c>
    </row>
    <row r="127" ht="30.0" customHeight="1">
      <c r="AH127" s="5"/>
    </row>
    <row r="128" ht="30.0" customHeight="1">
      <c r="A128" s="43"/>
      <c r="B128" s="49" t="s">
        <v>12</v>
      </c>
      <c r="C128" s="50" t="s">
        <v>142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49">
        <v>2025.0</v>
      </c>
    </row>
    <row r="129" ht="30.0" customHeight="1">
      <c r="A129" s="43"/>
      <c r="B129" s="51"/>
      <c r="C129" s="52" t="str">
        <f>TEXT(WEEKDAY(DATE(CalendarioAño,1,1),1),"ddd")</f>
        <v>mié</v>
      </c>
      <c r="D129" s="52" t="str">
        <f>TEXT(WEEKDAY(DATE(CalendarioAño,1,2),1),"ddd")</f>
        <v>jue</v>
      </c>
      <c r="E129" s="52" t="str">
        <f>TEXT(WEEKDAY(DATE(CalendarioAño,1,3),1),"ddd")</f>
        <v>vie</v>
      </c>
      <c r="F129" s="52" t="str">
        <f>TEXT(WEEKDAY(DATE(CalendarioAño,1,4),1),"ddd")</f>
        <v>sáb</v>
      </c>
      <c r="G129" s="52" t="str">
        <f>TEXT(WEEKDAY(DATE(CalendarioAño,1,5),1),"ddd")</f>
        <v>dom</v>
      </c>
      <c r="H129" s="52" t="str">
        <f>TEXT(WEEKDAY(DATE(CalendarioAño,1,6),1),"ddd")</f>
        <v>lun</v>
      </c>
      <c r="I129" s="52" t="str">
        <f>TEXT(WEEKDAY(DATE(CalendarioAño,1,7),1),"ddd")</f>
        <v>mar</v>
      </c>
      <c r="J129" s="52" t="str">
        <f>TEXT(WEEKDAY(DATE(CalendarioAño,1,8),1),"ddd")</f>
        <v>mié</v>
      </c>
      <c r="K129" s="52" t="str">
        <f>TEXT(WEEKDAY(DATE(CalendarioAño,1,9),1),"ddd")</f>
        <v>jue</v>
      </c>
      <c r="L129" s="52" t="str">
        <f>TEXT(WEEKDAY(DATE(CalendarioAño,1,10),1),"ddd")</f>
        <v>vie</v>
      </c>
      <c r="M129" s="52" t="str">
        <f>TEXT(WEEKDAY(DATE(CalendarioAño,1,11),1),"ddd")</f>
        <v>sáb</v>
      </c>
      <c r="N129" s="52" t="str">
        <f>TEXT(WEEKDAY(DATE(CalendarioAño,1,12),1),"ddd")</f>
        <v>dom</v>
      </c>
      <c r="O129" s="52" t="str">
        <f>TEXT(WEEKDAY(DATE(CalendarioAño,1,13),1),"ddd")</f>
        <v>lun</v>
      </c>
      <c r="P129" s="52" t="str">
        <f>TEXT(WEEKDAY(DATE(CalendarioAño,1,14),1),"ddd")</f>
        <v>mar</v>
      </c>
      <c r="Q129" s="52" t="str">
        <f>TEXT(WEEKDAY(DATE(CalendarioAño,1,15),1),"ddd")</f>
        <v>mié</v>
      </c>
      <c r="R129" s="52" t="str">
        <f>TEXT(WEEKDAY(DATE(CalendarioAño,1,16),1),"ddd")</f>
        <v>jue</v>
      </c>
      <c r="S129" s="52" t="str">
        <f>TEXT(WEEKDAY(DATE(CalendarioAño,1,17),1),"ddd")</f>
        <v>vie</v>
      </c>
      <c r="T129" s="52" t="str">
        <f>TEXT(WEEKDAY(DATE(CalendarioAño,1,18),1),"ddd")</f>
        <v>sáb</v>
      </c>
      <c r="U129" s="52" t="str">
        <f>TEXT(WEEKDAY(DATE(CalendarioAño,1,19),1),"ddd")</f>
        <v>dom</v>
      </c>
      <c r="V129" s="52" t="str">
        <f>TEXT(WEEKDAY(DATE(CalendarioAño,1,20),1),"ddd")</f>
        <v>lun</v>
      </c>
      <c r="W129" s="52" t="str">
        <f>TEXT(WEEKDAY(DATE(CalendarioAño,1,21),1),"ddd")</f>
        <v>mar</v>
      </c>
      <c r="X129" s="52" t="str">
        <f>TEXT(WEEKDAY(DATE(CalendarioAño,1,22),1),"ddd")</f>
        <v>mié</v>
      </c>
      <c r="Y129" s="52" t="str">
        <f>TEXT(WEEKDAY(DATE(CalendarioAño,1,23),1),"ddd")</f>
        <v>jue</v>
      </c>
      <c r="Z129" s="52" t="str">
        <f>TEXT(WEEKDAY(DATE(CalendarioAño,1,24),1),"ddd")</f>
        <v>vie</v>
      </c>
      <c r="AA129" s="52" t="str">
        <f>TEXT(WEEKDAY(DATE(CalendarioAño,1,25),1),"ddd")</f>
        <v>sáb</v>
      </c>
      <c r="AB129" s="52" t="str">
        <f>TEXT(WEEKDAY(DATE(CalendarioAño,1,26),1),"ddd")</f>
        <v>dom</v>
      </c>
      <c r="AC129" s="52" t="str">
        <f>TEXT(WEEKDAY(DATE(CalendarioAño,1,27),1),"ddd")</f>
        <v>lun</v>
      </c>
      <c r="AD129" s="52" t="str">
        <f>TEXT(WEEKDAY(DATE(CalendarioAño,1,28),1),"ddd")</f>
        <v>mar</v>
      </c>
      <c r="AE129" s="52" t="str">
        <f>TEXT(WEEKDAY(DATE(CalendarioAño,1,29),1),"ddd")</f>
        <v>mié</v>
      </c>
      <c r="AF129" s="52" t="str">
        <f>TEXT(WEEKDAY(DATE(CalendarioAño,1,30),1),"ddd")</f>
        <v>jue</v>
      </c>
      <c r="AG129" s="52" t="str">
        <f>TEXT(WEEKDAY(DATE(CalendarioAño,1,31),1),"ddd")</f>
        <v>vie</v>
      </c>
      <c r="AH129" s="53"/>
    </row>
    <row r="130" ht="30.0" customHeight="1">
      <c r="A130" s="54"/>
      <c r="B130" s="55" t="s">
        <v>14</v>
      </c>
      <c r="C130" s="56" t="s">
        <v>15</v>
      </c>
      <c r="D130" s="56" t="s">
        <v>16</v>
      </c>
      <c r="E130" s="56" t="s">
        <v>17</v>
      </c>
      <c r="F130" s="56" t="s">
        <v>18</v>
      </c>
      <c r="G130" s="56" t="s">
        <v>19</v>
      </c>
      <c r="H130" s="56" t="s">
        <v>20</v>
      </c>
      <c r="I130" s="56" t="s">
        <v>21</v>
      </c>
      <c r="J130" s="56" t="s">
        <v>22</v>
      </c>
      <c r="K130" s="56" t="s">
        <v>23</v>
      </c>
      <c r="L130" s="56" t="s">
        <v>24</v>
      </c>
      <c r="M130" s="56" t="s">
        <v>25</v>
      </c>
      <c r="N130" s="56" t="s">
        <v>26</v>
      </c>
      <c r="O130" s="56" t="s">
        <v>27</v>
      </c>
      <c r="P130" s="56" t="s">
        <v>28</v>
      </c>
      <c r="Q130" s="56" t="s">
        <v>29</v>
      </c>
      <c r="R130" s="56" t="s">
        <v>30</v>
      </c>
      <c r="S130" s="56" t="s">
        <v>31</v>
      </c>
      <c r="T130" s="56" t="s">
        <v>32</v>
      </c>
      <c r="U130" s="56" t="s">
        <v>33</v>
      </c>
      <c r="V130" s="56" t="s">
        <v>34</v>
      </c>
      <c r="W130" s="56" t="s">
        <v>35</v>
      </c>
      <c r="X130" s="56" t="s">
        <v>36</v>
      </c>
      <c r="Y130" s="56" t="s">
        <v>37</v>
      </c>
      <c r="Z130" s="56" t="s">
        <v>38</v>
      </c>
      <c r="AA130" s="56" t="s">
        <v>39</v>
      </c>
      <c r="AB130" s="56" t="s">
        <v>40</v>
      </c>
      <c r="AC130" s="56" t="s">
        <v>41</v>
      </c>
      <c r="AD130" s="56" t="s">
        <v>42</v>
      </c>
      <c r="AE130" s="56" t="s">
        <v>43</v>
      </c>
      <c r="AF130" s="56" t="s">
        <v>44</v>
      </c>
      <c r="AG130" s="56" t="s">
        <v>45</v>
      </c>
      <c r="AH130" s="56" t="s">
        <v>46</v>
      </c>
    </row>
    <row r="131" ht="30.0" customHeight="1">
      <c r="A131" s="43"/>
      <c r="B131" s="57" t="s">
        <v>143</v>
      </c>
      <c r="C131" s="58"/>
      <c r="D131" s="58"/>
      <c r="E131" s="58"/>
      <c r="F131" s="58"/>
      <c r="G131" s="58"/>
      <c r="H131" s="58"/>
      <c r="I131" s="58"/>
      <c r="J131" s="10" t="s">
        <v>6</v>
      </c>
      <c r="K131" s="58"/>
      <c r="L131" s="10" t="s">
        <v>6</v>
      </c>
      <c r="M131" s="58"/>
      <c r="N131" s="58"/>
      <c r="O131" s="10" t="s">
        <v>6</v>
      </c>
      <c r="P131" s="58"/>
      <c r="Q131" s="10" t="s">
        <v>6</v>
      </c>
      <c r="R131" s="58"/>
      <c r="S131" s="10" t="s">
        <v>6</v>
      </c>
      <c r="T131" s="58"/>
      <c r="U131" s="58"/>
      <c r="V131" s="58"/>
      <c r="W131" s="58"/>
      <c r="X131" s="10" t="s">
        <v>6</v>
      </c>
      <c r="Y131" s="58"/>
      <c r="Z131" s="10" t="s">
        <v>6</v>
      </c>
      <c r="AA131" s="58"/>
      <c r="AB131" s="58"/>
      <c r="AC131" s="58"/>
      <c r="AD131" s="58"/>
      <c r="AE131" s="10" t="s">
        <v>6</v>
      </c>
      <c r="AF131" s="58"/>
      <c r="AG131" s="10" t="s">
        <v>6</v>
      </c>
      <c r="AH131" s="59">
        <f t="shared" ref="AH131:AH135" si="8">(COUNTA(C131:AG131))</f>
        <v>9</v>
      </c>
    </row>
    <row r="132" ht="30.0" customHeight="1">
      <c r="A132" s="43"/>
      <c r="B132" s="60" t="s">
        <v>144</v>
      </c>
      <c r="C132" s="61"/>
      <c r="D132" s="61"/>
      <c r="E132" s="61"/>
      <c r="F132" s="61"/>
      <c r="G132" s="61"/>
      <c r="H132" s="61"/>
      <c r="I132" s="61"/>
      <c r="J132" s="10" t="s">
        <v>6</v>
      </c>
      <c r="K132" s="61"/>
      <c r="L132" s="61"/>
      <c r="M132" s="10" t="s">
        <v>6</v>
      </c>
      <c r="N132" s="61"/>
      <c r="O132" s="61"/>
      <c r="P132" s="61"/>
      <c r="Q132" s="10" t="s">
        <v>6</v>
      </c>
      <c r="R132" s="61"/>
      <c r="S132" s="61"/>
      <c r="T132" s="10" t="s">
        <v>6</v>
      </c>
      <c r="U132" s="61"/>
      <c r="V132" s="61"/>
      <c r="W132" s="61"/>
      <c r="X132" s="10" t="s">
        <v>6</v>
      </c>
      <c r="Y132" s="61"/>
      <c r="Z132" s="61"/>
      <c r="AA132" s="10" t="s">
        <v>6</v>
      </c>
      <c r="AB132" s="61"/>
      <c r="AC132" s="61"/>
      <c r="AD132" s="61"/>
      <c r="AE132" s="61"/>
      <c r="AF132" s="61"/>
      <c r="AG132" s="61"/>
      <c r="AH132" s="59">
        <f t="shared" si="8"/>
        <v>6</v>
      </c>
    </row>
    <row r="133" ht="30.0" customHeight="1">
      <c r="A133" s="43"/>
      <c r="B133" s="57" t="s">
        <v>145</v>
      </c>
      <c r="C133" s="58"/>
      <c r="D133" s="58"/>
      <c r="E133" s="58"/>
      <c r="F133" s="58"/>
      <c r="G133" s="58"/>
      <c r="H133" s="58"/>
      <c r="I133" s="58"/>
      <c r="J133" s="10" t="s">
        <v>6</v>
      </c>
      <c r="K133" s="58"/>
      <c r="L133" s="58"/>
      <c r="M133" s="58"/>
      <c r="N133" s="58"/>
      <c r="O133" s="10" t="s">
        <v>6</v>
      </c>
      <c r="P133" s="58"/>
      <c r="Q133" s="10" t="s">
        <v>6</v>
      </c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9">
        <f t="shared" si="8"/>
        <v>3</v>
      </c>
    </row>
    <row r="134" ht="30.0" customHeight="1">
      <c r="A134" s="43"/>
      <c r="B134" s="60" t="s">
        <v>146</v>
      </c>
      <c r="C134" s="61"/>
      <c r="D134" s="61"/>
      <c r="E134" s="61"/>
      <c r="F134" s="61"/>
      <c r="G134" s="61"/>
      <c r="H134" s="61"/>
      <c r="I134" s="61"/>
      <c r="J134" s="40"/>
      <c r="K134" s="61"/>
      <c r="L134" s="10" t="s">
        <v>6</v>
      </c>
      <c r="M134" s="61"/>
      <c r="N134" s="61"/>
      <c r="O134" s="10" t="s">
        <v>6</v>
      </c>
      <c r="P134" s="61"/>
      <c r="Q134" s="10" t="s">
        <v>6</v>
      </c>
      <c r="R134" s="61"/>
      <c r="S134" s="10" t="s">
        <v>6</v>
      </c>
      <c r="T134" s="10" t="s">
        <v>6</v>
      </c>
      <c r="U134" s="61"/>
      <c r="V134" s="10" t="s">
        <v>6</v>
      </c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59">
        <f t="shared" si="8"/>
        <v>6</v>
      </c>
    </row>
    <row r="135" ht="30.0" customHeight="1">
      <c r="A135" s="43"/>
      <c r="B135" s="57" t="s">
        <v>147</v>
      </c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10" t="s">
        <v>6</v>
      </c>
      <c r="R135" s="58"/>
      <c r="S135" s="58"/>
      <c r="T135" s="58"/>
      <c r="U135" s="58"/>
      <c r="V135" s="58"/>
      <c r="W135" s="58"/>
      <c r="X135" s="10" t="s">
        <v>6</v>
      </c>
      <c r="Y135" s="58"/>
      <c r="Z135" s="10" t="s">
        <v>6</v>
      </c>
      <c r="AA135" s="58"/>
      <c r="AB135" s="58"/>
      <c r="AC135" s="58"/>
      <c r="AD135" s="58"/>
      <c r="AE135" s="58"/>
      <c r="AF135" s="58"/>
      <c r="AG135" s="58"/>
      <c r="AH135" s="59">
        <f t="shared" si="8"/>
        <v>3</v>
      </c>
    </row>
    <row r="136" ht="30.0" customHeight="1">
      <c r="A136" s="43"/>
      <c r="B136" s="62" t="str">
        <f>Enero!MonthName&amp;" Total"</f>
        <v>Enero Total</v>
      </c>
      <c r="C136" s="63">
        <f>SUBTOTAL(103,Enero!$C$7:$C$8)</f>
        <v>0</v>
      </c>
      <c r="D136" s="63">
        <f>SUBTOTAL(103,Enero!$D$7:$D$8)</f>
        <v>0</v>
      </c>
      <c r="E136" s="63">
        <f>SUBTOTAL(103,Enero!$E$7:$E$8)</f>
        <v>0</v>
      </c>
      <c r="F136" s="63"/>
      <c r="G136" s="63"/>
      <c r="H136" s="63">
        <f>SUBTOTAL(103,Enero!$H$7:$H$8)</f>
        <v>0</v>
      </c>
      <c r="I136" s="63">
        <f>SUBTOTAL(103,Enero!$I$7:$I$8)</f>
        <v>0</v>
      </c>
      <c r="J136" s="64" t="s">
        <v>17</v>
      </c>
      <c r="K136" s="63">
        <f>SUBTOTAL(103,Enero!$K$7:$K$8)</f>
        <v>0</v>
      </c>
      <c r="L136" s="64" t="s">
        <v>16</v>
      </c>
      <c r="M136" s="64" t="s">
        <v>15</v>
      </c>
      <c r="N136" s="63">
        <f>SUBTOTAL(103,Enero!$N$7:$N$8)</f>
        <v>0</v>
      </c>
      <c r="O136" s="64" t="s">
        <v>17</v>
      </c>
      <c r="P136" s="63">
        <f>SUBTOTAL(103,Enero!$P$7:$P$8)</f>
        <v>0</v>
      </c>
      <c r="Q136" s="64" t="s">
        <v>19</v>
      </c>
      <c r="R136" s="63">
        <f>SUBTOTAL(103,Enero!$R$7:$R$8)</f>
        <v>0</v>
      </c>
      <c r="S136" s="64" t="s">
        <v>16</v>
      </c>
      <c r="T136" s="64" t="s">
        <v>16</v>
      </c>
      <c r="U136" s="63">
        <f>SUBTOTAL(103,Enero!$U$7:$U$8)</f>
        <v>0</v>
      </c>
      <c r="V136" s="64" t="s">
        <v>15</v>
      </c>
      <c r="W136" s="63">
        <f>SUBTOTAL(103,Enero!$W$7:$W$8)</f>
        <v>0</v>
      </c>
      <c r="X136" s="64" t="s">
        <v>17</v>
      </c>
      <c r="Y136" s="63">
        <f>SUBTOTAL(103,Enero!$Y$7:$Y$8)</f>
        <v>0</v>
      </c>
      <c r="Z136" s="64" t="s">
        <v>16</v>
      </c>
      <c r="AA136" s="63">
        <f>SUBTOTAL(103,Enero!$AA$7:$AA$8)</f>
        <v>0</v>
      </c>
      <c r="AB136" s="63">
        <f>SUBTOTAL(103,Enero!$AB$7:$AB$8)</f>
        <v>0</v>
      </c>
      <c r="AC136" s="63">
        <f>SUBTOTAL(103,Enero!$AC$7:$AC$8)</f>
        <v>1</v>
      </c>
      <c r="AD136" s="63">
        <f>SUBTOTAL(103,Enero!$AD$7:$AD$8)</f>
        <v>1</v>
      </c>
      <c r="AE136" s="63">
        <f>SUBTOTAL(103,Enero!$AE$7:$AE$8)</f>
        <v>1</v>
      </c>
      <c r="AF136" s="63">
        <f>SUBTOTAL(103,Enero!$AF$7:$AF$8)</f>
        <v>0</v>
      </c>
      <c r="AG136" s="63">
        <f>SUBTOTAL(103,Enero!$AG$7:$AG$8)</f>
        <v>0</v>
      </c>
      <c r="AH136" s="65"/>
    </row>
    <row r="137" ht="30.0" customHeight="1">
      <c r="AH137" s="5"/>
    </row>
    <row r="138" ht="30.0" customHeight="1">
      <c r="A138" s="43"/>
      <c r="B138" s="49" t="s">
        <v>12</v>
      </c>
      <c r="C138" s="50" t="s">
        <v>148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49">
        <v>2025.0</v>
      </c>
    </row>
    <row r="139" ht="30.0" customHeight="1">
      <c r="A139" s="43"/>
      <c r="B139" s="51"/>
      <c r="C139" s="52" t="str">
        <f>TEXT(WEEKDAY(DATE(CalendarioAño,1,1),1),"ddd")</f>
        <v>mié</v>
      </c>
      <c r="D139" s="52" t="str">
        <f>TEXT(WEEKDAY(DATE(CalendarioAño,1,2),1),"ddd")</f>
        <v>jue</v>
      </c>
      <c r="E139" s="52" t="str">
        <f>TEXT(WEEKDAY(DATE(CalendarioAño,1,3),1),"ddd")</f>
        <v>vie</v>
      </c>
      <c r="F139" s="52" t="str">
        <f>TEXT(WEEKDAY(DATE(CalendarioAño,1,4),1),"ddd")</f>
        <v>sáb</v>
      </c>
      <c r="G139" s="52" t="str">
        <f>TEXT(WEEKDAY(DATE(CalendarioAño,1,5),1),"ddd")</f>
        <v>dom</v>
      </c>
      <c r="H139" s="52" t="str">
        <f>TEXT(WEEKDAY(DATE(CalendarioAño,1,6),1),"ddd")</f>
        <v>lun</v>
      </c>
      <c r="I139" s="52" t="str">
        <f>TEXT(WEEKDAY(DATE(CalendarioAño,1,7),1),"ddd")</f>
        <v>mar</v>
      </c>
      <c r="J139" s="52" t="str">
        <f>TEXT(WEEKDAY(DATE(CalendarioAño,1,8),1),"ddd")</f>
        <v>mié</v>
      </c>
      <c r="K139" s="52" t="str">
        <f>TEXT(WEEKDAY(DATE(CalendarioAño,1,9),1),"ddd")</f>
        <v>jue</v>
      </c>
      <c r="L139" s="52" t="str">
        <f>TEXT(WEEKDAY(DATE(CalendarioAño,1,10),1),"ddd")</f>
        <v>vie</v>
      </c>
      <c r="M139" s="52" t="str">
        <f>TEXT(WEEKDAY(DATE(CalendarioAño,1,11),1),"ddd")</f>
        <v>sáb</v>
      </c>
      <c r="N139" s="52" t="str">
        <f>TEXT(WEEKDAY(DATE(CalendarioAño,1,12),1),"ddd")</f>
        <v>dom</v>
      </c>
      <c r="O139" s="52" t="str">
        <f>TEXT(WEEKDAY(DATE(CalendarioAño,1,13),1),"ddd")</f>
        <v>lun</v>
      </c>
      <c r="P139" s="52" t="str">
        <f>TEXT(WEEKDAY(DATE(CalendarioAño,1,14),1),"ddd")</f>
        <v>mar</v>
      </c>
      <c r="Q139" s="52" t="str">
        <f>TEXT(WEEKDAY(DATE(CalendarioAño,1,15),1),"ddd")</f>
        <v>mié</v>
      </c>
      <c r="R139" s="52" t="str">
        <f>TEXT(WEEKDAY(DATE(CalendarioAño,1,16),1),"ddd")</f>
        <v>jue</v>
      </c>
      <c r="S139" s="52" t="str">
        <f>TEXT(WEEKDAY(DATE(CalendarioAño,1,17),1),"ddd")</f>
        <v>vie</v>
      </c>
      <c r="T139" s="52" t="str">
        <f>TEXT(WEEKDAY(DATE(CalendarioAño,1,18),1),"ddd")</f>
        <v>sáb</v>
      </c>
      <c r="U139" s="52" t="str">
        <f>TEXT(WEEKDAY(DATE(CalendarioAño,1,19),1),"ddd")</f>
        <v>dom</v>
      </c>
      <c r="V139" s="52" t="str">
        <f>TEXT(WEEKDAY(DATE(CalendarioAño,1,20),1),"ddd")</f>
        <v>lun</v>
      </c>
      <c r="W139" s="52" t="str">
        <f>TEXT(WEEKDAY(DATE(CalendarioAño,1,21),1),"ddd")</f>
        <v>mar</v>
      </c>
      <c r="X139" s="52" t="str">
        <f>TEXT(WEEKDAY(DATE(CalendarioAño,1,22),1),"ddd")</f>
        <v>mié</v>
      </c>
      <c r="Y139" s="52" t="str">
        <f>TEXT(WEEKDAY(DATE(CalendarioAño,1,23),1),"ddd")</f>
        <v>jue</v>
      </c>
      <c r="Z139" s="52" t="str">
        <f>TEXT(WEEKDAY(DATE(CalendarioAño,1,24),1),"ddd")</f>
        <v>vie</v>
      </c>
      <c r="AA139" s="52" t="str">
        <f>TEXT(WEEKDAY(DATE(CalendarioAño,1,25),1),"ddd")</f>
        <v>sáb</v>
      </c>
      <c r="AB139" s="52" t="str">
        <f>TEXT(WEEKDAY(DATE(CalendarioAño,1,26),1),"ddd")</f>
        <v>dom</v>
      </c>
      <c r="AC139" s="52" t="str">
        <f>TEXT(WEEKDAY(DATE(CalendarioAño,1,27),1),"ddd")</f>
        <v>lun</v>
      </c>
      <c r="AD139" s="52" t="str">
        <f>TEXT(WEEKDAY(DATE(CalendarioAño,1,28),1),"ddd")</f>
        <v>mar</v>
      </c>
      <c r="AE139" s="52" t="str">
        <f>TEXT(WEEKDAY(DATE(CalendarioAño,1,29),1),"ddd")</f>
        <v>mié</v>
      </c>
      <c r="AF139" s="52" t="str">
        <f>TEXT(WEEKDAY(DATE(CalendarioAño,1,30),1),"ddd")</f>
        <v>jue</v>
      </c>
      <c r="AG139" s="52" t="str">
        <f>TEXT(WEEKDAY(DATE(CalendarioAño,1,31),1),"ddd")</f>
        <v>vie</v>
      </c>
      <c r="AH139" s="53"/>
    </row>
    <row r="140" ht="30.0" customHeight="1">
      <c r="A140" s="54"/>
      <c r="B140" s="55" t="s">
        <v>14</v>
      </c>
      <c r="C140" s="56" t="s">
        <v>15</v>
      </c>
      <c r="D140" s="56" t="s">
        <v>16</v>
      </c>
      <c r="E140" s="56" t="s">
        <v>17</v>
      </c>
      <c r="F140" s="56" t="s">
        <v>18</v>
      </c>
      <c r="G140" s="56" t="s">
        <v>19</v>
      </c>
      <c r="H140" s="56" t="s">
        <v>20</v>
      </c>
      <c r="I140" s="56" t="s">
        <v>21</v>
      </c>
      <c r="J140" s="56" t="s">
        <v>22</v>
      </c>
      <c r="K140" s="56" t="s">
        <v>23</v>
      </c>
      <c r="L140" s="56" t="s">
        <v>24</v>
      </c>
      <c r="M140" s="56" t="s">
        <v>25</v>
      </c>
      <c r="N140" s="56" t="s">
        <v>26</v>
      </c>
      <c r="O140" s="56" t="s">
        <v>27</v>
      </c>
      <c r="P140" s="56" t="s">
        <v>28</v>
      </c>
      <c r="Q140" s="56" t="s">
        <v>29</v>
      </c>
      <c r="R140" s="56" t="s">
        <v>30</v>
      </c>
      <c r="S140" s="56" t="s">
        <v>31</v>
      </c>
      <c r="T140" s="56" t="s">
        <v>32</v>
      </c>
      <c r="U140" s="56" t="s">
        <v>33</v>
      </c>
      <c r="V140" s="56" t="s">
        <v>34</v>
      </c>
      <c r="W140" s="56" t="s">
        <v>35</v>
      </c>
      <c r="X140" s="56" t="s">
        <v>36</v>
      </c>
      <c r="Y140" s="56" t="s">
        <v>37</v>
      </c>
      <c r="Z140" s="56" t="s">
        <v>38</v>
      </c>
      <c r="AA140" s="56" t="s">
        <v>39</v>
      </c>
      <c r="AB140" s="56" t="s">
        <v>40</v>
      </c>
      <c r="AC140" s="56" t="s">
        <v>41</v>
      </c>
      <c r="AD140" s="56" t="s">
        <v>42</v>
      </c>
      <c r="AE140" s="56" t="s">
        <v>43</v>
      </c>
      <c r="AF140" s="56" t="s">
        <v>44</v>
      </c>
      <c r="AG140" s="56" t="s">
        <v>45</v>
      </c>
      <c r="AH140" s="56" t="s">
        <v>46</v>
      </c>
    </row>
    <row r="141" ht="30.0" customHeight="1">
      <c r="A141" s="43"/>
      <c r="B141" s="57" t="s">
        <v>149</v>
      </c>
      <c r="C141" s="58"/>
      <c r="D141" s="58"/>
      <c r="E141" s="58"/>
      <c r="F141" s="58"/>
      <c r="G141" s="58"/>
      <c r="H141" s="58"/>
      <c r="I141" s="58"/>
      <c r="J141" s="58"/>
      <c r="K141" s="10" t="s">
        <v>6</v>
      </c>
      <c r="L141" s="58"/>
      <c r="M141" s="10" t="s">
        <v>6</v>
      </c>
      <c r="N141" s="58"/>
      <c r="O141" s="58"/>
      <c r="P141" s="10" t="s">
        <v>6</v>
      </c>
      <c r="Q141" s="58"/>
      <c r="R141" s="10" t="s">
        <v>6</v>
      </c>
      <c r="S141" s="58"/>
      <c r="T141" s="10" t="s">
        <v>6</v>
      </c>
      <c r="U141" s="58"/>
      <c r="V141" s="58"/>
      <c r="W141" s="10" t="s">
        <v>6</v>
      </c>
      <c r="X141" s="58"/>
      <c r="Y141" s="10" t="s">
        <v>6</v>
      </c>
      <c r="Z141" s="58"/>
      <c r="AA141" s="58"/>
      <c r="AB141" s="58"/>
      <c r="AC141" s="58"/>
      <c r="AD141" s="10" t="s">
        <v>6</v>
      </c>
      <c r="AE141" s="58"/>
      <c r="AF141" s="58"/>
      <c r="AG141" s="58"/>
      <c r="AH141" s="59">
        <f t="shared" ref="AH141:AH143" si="9">(COUNTA(C141:AG141))</f>
        <v>8</v>
      </c>
    </row>
    <row r="142" ht="30.0" customHeight="1">
      <c r="A142" s="43"/>
      <c r="B142" s="60" t="s">
        <v>150</v>
      </c>
      <c r="C142" s="61"/>
      <c r="D142" s="61"/>
      <c r="E142" s="61"/>
      <c r="F142" s="61"/>
      <c r="G142" s="61"/>
      <c r="H142" s="61"/>
      <c r="I142" s="61"/>
      <c r="J142" s="61"/>
      <c r="K142" s="10" t="s">
        <v>6</v>
      </c>
      <c r="L142" s="61"/>
      <c r="M142" s="61"/>
      <c r="N142" s="61"/>
      <c r="O142" s="61"/>
      <c r="P142" s="10" t="s">
        <v>6</v>
      </c>
      <c r="Q142" s="61"/>
      <c r="R142" s="10" t="s">
        <v>6</v>
      </c>
      <c r="S142" s="61"/>
      <c r="T142" s="10" t="s">
        <v>6</v>
      </c>
      <c r="U142" s="61"/>
      <c r="V142" s="61"/>
      <c r="W142" s="10" t="s">
        <v>6</v>
      </c>
      <c r="X142" s="61"/>
      <c r="Y142" s="10" t="s">
        <v>6</v>
      </c>
      <c r="Z142" s="61"/>
      <c r="AA142" s="61"/>
      <c r="AB142" s="61"/>
      <c r="AC142" s="61"/>
      <c r="AD142" s="10" t="s">
        <v>6</v>
      </c>
      <c r="AE142" s="61"/>
      <c r="AF142" s="10" t="s">
        <v>6</v>
      </c>
      <c r="AG142" s="61"/>
      <c r="AH142" s="59">
        <f t="shared" si="9"/>
        <v>8</v>
      </c>
    </row>
    <row r="143" ht="30.0" customHeight="1">
      <c r="A143" s="43"/>
      <c r="B143" s="57" t="s">
        <v>151</v>
      </c>
      <c r="C143" s="58"/>
      <c r="D143" s="58"/>
      <c r="E143" s="58"/>
      <c r="F143" s="58"/>
      <c r="G143" s="58"/>
      <c r="H143" s="58"/>
      <c r="I143" s="58"/>
      <c r="J143" s="58"/>
      <c r="K143" s="10" t="s">
        <v>6</v>
      </c>
      <c r="L143" s="58"/>
      <c r="M143" s="10" t="s">
        <v>6</v>
      </c>
      <c r="N143" s="58"/>
      <c r="O143" s="58"/>
      <c r="P143" s="10" t="s">
        <v>6</v>
      </c>
      <c r="Q143" s="58"/>
      <c r="R143" s="10" t="s">
        <v>6</v>
      </c>
      <c r="S143" s="58"/>
      <c r="T143" s="10" t="s">
        <v>6</v>
      </c>
      <c r="U143" s="58"/>
      <c r="V143" s="58"/>
      <c r="W143" s="10" t="s">
        <v>6</v>
      </c>
      <c r="X143" s="58"/>
      <c r="Y143" s="58"/>
      <c r="Z143" s="58"/>
      <c r="AA143" s="10" t="s">
        <v>6</v>
      </c>
      <c r="AB143" s="58"/>
      <c r="AC143" s="58"/>
      <c r="AD143" s="58"/>
      <c r="AE143" s="58"/>
      <c r="AF143" s="58"/>
      <c r="AG143" s="58"/>
      <c r="AH143" s="59">
        <f t="shared" si="9"/>
        <v>7</v>
      </c>
    </row>
    <row r="144" ht="30.0" customHeight="1">
      <c r="A144" s="43"/>
      <c r="B144" s="57" t="s">
        <v>152</v>
      </c>
      <c r="C144" s="58"/>
      <c r="D144" s="58"/>
      <c r="E144" s="58"/>
      <c r="F144" s="58"/>
      <c r="G144" s="58"/>
      <c r="H144" s="58"/>
      <c r="I144" s="58"/>
      <c r="J144" s="58"/>
      <c r="K144" s="40"/>
      <c r="L144" s="66"/>
      <c r="M144" s="40"/>
      <c r="N144" s="66"/>
      <c r="O144" s="66"/>
      <c r="P144" s="40"/>
      <c r="Q144" s="66"/>
      <c r="R144" s="40"/>
      <c r="S144" s="66"/>
      <c r="T144" s="40"/>
      <c r="U144" s="66"/>
      <c r="V144" s="66"/>
      <c r="W144" s="40"/>
      <c r="X144" s="66"/>
      <c r="Y144" s="66"/>
      <c r="Z144" s="66"/>
      <c r="AA144" s="40"/>
      <c r="AB144" s="66"/>
      <c r="AC144" s="58"/>
      <c r="AD144" s="58"/>
      <c r="AE144" s="10" t="s">
        <v>6</v>
      </c>
      <c r="AF144" s="10" t="s">
        <v>6</v>
      </c>
      <c r="AG144" s="58"/>
      <c r="AH144" s="59"/>
    </row>
    <row r="145" ht="30.0" customHeight="1">
      <c r="A145" s="43"/>
      <c r="B145" s="61"/>
      <c r="C145" s="61"/>
      <c r="D145" s="61"/>
      <c r="E145" s="61"/>
      <c r="F145" s="61"/>
      <c r="G145" s="61"/>
      <c r="H145" s="61"/>
      <c r="I145" s="61"/>
      <c r="J145" s="61"/>
      <c r="K145" s="60">
        <v>3.0</v>
      </c>
      <c r="L145" s="61"/>
      <c r="M145" s="60">
        <v>2.0</v>
      </c>
      <c r="N145" s="61"/>
      <c r="O145" s="61"/>
      <c r="P145" s="60">
        <v>3.0</v>
      </c>
      <c r="Q145" s="61"/>
      <c r="R145" s="60">
        <v>3.0</v>
      </c>
      <c r="S145" s="61"/>
      <c r="T145" s="60">
        <v>3.0</v>
      </c>
      <c r="U145" s="61"/>
      <c r="V145" s="61"/>
      <c r="W145" s="60">
        <v>3.0</v>
      </c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59">
        <f>(COUNTA(C145:AG145))</f>
        <v>6</v>
      </c>
    </row>
    <row r="146" ht="30.0" customHeight="1">
      <c r="A146" s="43"/>
      <c r="B146" s="62" t="str">
        <f>Enero!MonthName&amp;" Total"</f>
        <v>Enero Total</v>
      </c>
      <c r="C146" s="63">
        <f>SUBTOTAL(103,Enero!$C$7:$C$8)</f>
        <v>0</v>
      </c>
      <c r="D146" s="63">
        <f>SUBTOTAL(103,Enero!$D$7:$D$8)</f>
        <v>0</v>
      </c>
      <c r="E146" s="63">
        <f>SUBTOTAL(103,Enero!$E$7:$E$8)</f>
        <v>0</v>
      </c>
      <c r="F146" s="63"/>
      <c r="G146" s="63"/>
      <c r="H146" s="63">
        <f>SUBTOTAL(103,Enero!$H$7:$H$8)</f>
        <v>0</v>
      </c>
      <c r="I146" s="63">
        <f>SUBTOTAL(103,Enero!$I$7:$I$8)</f>
        <v>0</v>
      </c>
      <c r="J146" s="63">
        <f>SUBTOTAL(103,Enero!$J$7:$J$8)</f>
        <v>0</v>
      </c>
      <c r="K146" s="63">
        <f>SUBTOTAL(103,Enero!$K$7:$K$8)</f>
        <v>0</v>
      </c>
      <c r="L146" s="63">
        <f>SUBTOTAL(103,Enero!$L$7:$L$8)</f>
        <v>0</v>
      </c>
      <c r="M146" s="63"/>
      <c r="N146" s="63">
        <f>SUBTOTAL(103,Enero!$N$7:$N$8)</f>
        <v>0</v>
      </c>
      <c r="O146" s="63">
        <f>SUBTOTAL(103,Enero!$O$7:$O$8)</f>
        <v>0</v>
      </c>
      <c r="P146" s="63">
        <f>SUBTOTAL(103,Enero!$P$7:$P$8)</f>
        <v>0</v>
      </c>
      <c r="Q146" s="63">
        <f>SUBTOTAL(103,Enero!$Q$7:$Q$8)</f>
        <v>0</v>
      </c>
      <c r="R146" s="63">
        <f>SUBTOTAL(103,Enero!$R$7:$R$8)</f>
        <v>0</v>
      </c>
      <c r="S146" s="63">
        <f>SUBTOTAL(103,Enero!$S$7:$S$8)</f>
        <v>0</v>
      </c>
      <c r="T146" s="63">
        <f>SUBTOTAL(103,Enero!$T$7:$T$8)</f>
        <v>0</v>
      </c>
      <c r="U146" s="63">
        <f>SUBTOTAL(103,Enero!$U$7:$U$8)</f>
        <v>0</v>
      </c>
      <c r="V146" s="63"/>
      <c r="W146" s="63">
        <f>SUBTOTAL(103,Enero!$W$7:$W$8)</f>
        <v>0</v>
      </c>
      <c r="X146" s="63">
        <f>SUBTOTAL(103,Enero!$X$7:$X$8)</f>
        <v>0</v>
      </c>
      <c r="Y146" s="63">
        <f>SUBTOTAL(103,Enero!$Y$7:$Y$8)</f>
        <v>0</v>
      </c>
      <c r="Z146" s="63">
        <f>SUBTOTAL(103,Enero!$Z$7:$Z$8)</f>
        <v>0</v>
      </c>
      <c r="AA146" s="63">
        <f>SUBTOTAL(103,Enero!$AA$7:$AA$8)</f>
        <v>0</v>
      </c>
      <c r="AB146" s="63">
        <f>SUBTOTAL(103,Enero!$AB$7:$AB$8)</f>
        <v>0</v>
      </c>
      <c r="AC146" s="63">
        <f>SUBTOTAL(103,Enero!$AC$7:$AC$8)</f>
        <v>1</v>
      </c>
      <c r="AD146" s="63">
        <f>SUBTOTAL(103,Enero!$AD$7:$AD$8)</f>
        <v>1</v>
      </c>
      <c r="AE146" s="63">
        <f>SUBTOTAL(103,Enero!$AE$7:$AE$8)</f>
        <v>1</v>
      </c>
      <c r="AF146" s="63">
        <f>SUBTOTAL(103,Enero!$AF$7:$AF$8)</f>
        <v>0</v>
      </c>
      <c r="AG146" s="63">
        <f>SUBTOTAL(103,Enero!$AG$7:$AG$8)</f>
        <v>0</v>
      </c>
      <c r="AH146" s="65"/>
    </row>
    <row r="147" ht="30.0" customHeight="1">
      <c r="AH147" s="5"/>
    </row>
    <row r="148" ht="30.0" customHeight="1">
      <c r="A148" s="43"/>
      <c r="B148" s="49" t="s">
        <v>12</v>
      </c>
      <c r="C148" s="50" t="s">
        <v>153</v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49">
        <v>2025.0</v>
      </c>
    </row>
    <row r="149" ht="30.0" customHeight="1">
      <c r="A149" s="43"/>
      <c r="B149" s="51"/>
      <c r="C149" s="52" t="str">
        <f>TEXT(WEEKDAY(DATE(CalendarioAño,1,1),1),"ddd")</f>
        <v>mié</v>
      </c>
      <c r="D149" s="52" t="str">
        <f>TEXT(WEEKDAY(DATE(CalendarioAño,1,2),1),"ddd")</f>
        <v>jue</v>
      </c>
      <c r="E149" s="52" t="str">
        <f>TEXT(WEEKDAY(DATE(CalendarioAño,1,3),1),"ddd")</f>
        <v>vie</v>
      </c>
      <c r="F149" s="52" t="str">
        <f>TEXT(WEEKDAY(DATE(CalendarioAño,1,4),1),"ddd")</f>
        <v>sáb</v>
      </c>
      <c r="G149" s="52" t="str">
        <f>TEXT(WEEKDAY(DATE(CalendarioAño,1,5),1),"ddd")</f>
        <v>dom</v>
      </c>
      <c r="H149" s="52" t="str">
        <f>TEXT(WEEKDAY(DATE(CalendarioAño,1,6),1),"ddd")</f>
        <v>lun</v>
      </c>
      <c r="I149" s="52" t="str">
        <f>TEXT(WEEKDAY(DATE(CalendarioAño,1,7),1),"ddd")</f>
        <v>mar</v>
      </c>
      <c r="J149" s="52" t="str">
        <f>TEXT(WEEKDAY(DATE(CalendarioAño,1,8),1),"ddd")</f>
        <v>mié</v>
      </c>
      <c r="K149" s="52" t="str">
        <f>TEXT(WEEKDAY(DATE(CalendarioAño,1,9),1),"ddd")</f>
        <v>jue</v>
      </c>
      <c r="L149" s="52" t="str">
        <f>TEXT(WEEKDAY(DATE(CalendarioAño,1,10),1),"ddd")</f>
        <v>vie</v>
      </c>
      <c r="M149" s="52" t="str">
        <f>TEXT(WEEKDAY(DATE(CalendarioAño,1,11),1),"ddd")</f>
        <v>sáb</v>
      </c>
      <c r="N149" s="52" t="str">
        <f>TEXT(WEEKDAY(DATE(CalendarioAño,1,12),1),"ddd")</f>
        <v>dom</v>
      </c>
      <c r="O149" s="52" t="str">
        <f>TEXT(WEEKDAY(DATE(CalendarioAño,1,13),1),"ddd")</f>
        <v>lun</v>
      </c>
      <c r="P149" s="52" t="str">
        <f>TEXT(WEEKDAY(DATE(CalendarioAño,1,14),1),"ddd")</f>
        <v>mar</v>
      </c>
      <c r="Q149" s="52" t="str">
        <f>TEXT(WEEKDAY(DATE(CalendarioAño,1,15),1),"ddd")</f>
        <v>mié</v>
      </c>
      <c r="R149" s="52" t="str">
        <f>TEXT(WEEKDAY(DATE(CalendarioAño,1,16),1),"ddd")</f>
        <v>jue</v>
      </c>
      <c r="S149" s="52" t="str">
        <f>TEXT(WEEKDAY(DATE(CalendarioAño,1,17),1),"ddd")</f>
        <v>vie</v>
      </c>
      <c r="T149" s="52" t="str">
        <f>TEXT(WEEKDAY(DATE(CalendarioAño,1,18),1),"ddd")</f>
        <v>sáb</v>
      </c>
      <c r="U149" s="52" t="str">
        <f>TEXT(WEEKDAY(DATE(CalendarioAño,1,19),1),"ddd")</f>
        <v>dom</v>
      </c>
      <c r="V149" s="52" t="str">
        <f>TEXT(WEEKDAY(DATE(CalendarioAño,1,20),1),"ddd")</f>
        <v>lun</v>
      </c>
      <c r="W149" s="52" t="str">
        <f>TEXT(WEEKDAY(DATE(CalendarioAño,1,21),1),"ddd")</f>
        <v>mar</v>
      </c>
      <c r="X149" s="52" t="str">
        <f>TEXT(WEEKDAY(DATE(CalendarioAño,1,22),1),"ddd")</f>
        <v>mié</v>
      </c>
      <c r="Y149" s="52" t="str">
        <f>TEXT(WEEKDAY(DATE(CalendarioAño,1,23),1),"ddd")</f>
        <v>jue</v>
      </c>
      <c r="Z149" s="52" t="str">
        <f>TEXT(WEEKDAY(DATE(CalendarioAño,1,24),1),"ddd")</f>
        <v>vie</v>
      </c>
      <c r="AA149" s="52" t="str">
        <f>TEXT(WEEKDAY(DATE(CalendarioAño,1,25),1),"ddd")</f>
        <v>sáb</v>
      </c>
      <c r="AB149" s="52" t="str">
        <f>TEXT(WEEKDAY(DATE(CalendarioAño,1,26),1),"ddd")</f>
        <v>dom</v>
      </c>
      <c r="AC149" s="52" t="str">
        <f>TEXT(WEEKDAY(DATE(CalendarioAño,1,27),1),"ddd")</f>
        <v>lun</v>
      </c>
      <c r="AD149" s="52" t="str">
        <f>TEXT(WEEKDAY(DATE(CalendarioAño,1,28),1),"ddd")</f>
        <v>mar</v>
      </c>
      <c r="AE149" s="52" t="str">
        <f>TEXT(WEEKDAY(DATE(CalendarioAño,1,29),1),"ddd")</f>
        <v>mié</v>
      </c>
      <c r="AF149" s="52" t="str">
        <f>TEXT(WEEKDAY(DATE(CalendarioAño,1,30),1),"ddd")</f>
        <v>jue</v>
      </c>
      <c r="AG149" s="52" t="str">
        <f>TEXT(WEEKDAY(DATE(CalendarioAño,1,31),1),"ddd")</f>
        <v>vie</v>
      </c>
      <c r="AH149" s="53"/>
    </row>
    <row r="150" ht="30.0" customHeight="1">
      <c r="A150" s="67"/>
      <c r="B150" s="68" t="s">
        <v>14</v>
      </c>
      <c r="C150" s="69" t="s">
        <v>15</v>
      </c>
      <c r="D150" s="69" t="s">
        <v>16</v>
      </c>
      <c r="E150" s="69" t="s">
        <v>17</v>
      </c>
      <c r="F150" s="69" t="s">
        <v>18</v>
      </c>
      <c r="G150" s="69" t="s">
        <v>19</v>
      </c>
      <c r="H150" s="69" t="s">
        <v>20</v>
      </c>
      <c r="I150" s="69" t="s">
        <v>21</v>
      </c>
      <c r="J150" s="69" t="s">
        <v>22</v>
      </c>
      <c r="K150" s="69" t="s">
        <v>23</v>
      </c>
      <c r="L150" s="69" t="s">
        <v>24</v>
      </c>
      <c r="M150" s="69" t="s">
        <v>25</v>
      </c>
      <c r="N150" s="69" t="s">
        <v>26</v>
      </c>
      <c r="O150" s="69" t="s">
        <v>27</v>
      </c>
      <c r="P150" s="69" t="s">
        <v>28</v>
      </c>
      <c r="Q150" s="69" t="s">
        <v>29</v>
      </c>
      <c r="R150" s="69" t="s">
        <v>30</v>
      </c>
      <c r="S150" s="69" t="s">
        <v>31</v>
      </c>
      <c r="T150" s="69" t="s">
        <v>32</v>
      </c>
      <c r="U150" s="69" t="s">
        <v>33</v>
      </c>
      <c r="V150" s="69" t="s">
        <v>34</v>
      </c>
      <c r="W150" s="69" t="s">
        <v>35</v>
      </c>
      <c r="X150" s="69" t="s">
        <v>36</v>
      </c>
      <c r="Y150" s="69" t="s">
        <v>37</v>
      </c>
      <c r="Z150" s="69" t="s">
        <v>38</v>
      </c>
      <c r="AA150" s="69" t="s">
        <v>39</v>
      </c>
      <c r="AB150" s="69" t="s">
        <v>40</v>
      </c>
      <c r="AC150" s="69" t="s">
        <v>41</v>
      </c>
      <c r="AD150" s="69" t="s">
        <v>42</v>
      </c>
      <c r="AE150" s="69" t="s">
        <v>43</v>
      </c>
      <c r="AF150" s="69" t="s">
        <v>44</v>
      </c>
      <c r="AG150" s="69" t="s">
        <v>45</v>
      </c>
      <c r="AH150" s="69" t="s">
        <v>46</v>
      </c>
    </row>
    <row r="151" ht="30.0" customHeight="1">
      <c r="A151" s="43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9"/>
    </row>
    <row r="152" ht="30.0" customHeight="1">
      <c r="A152" s="43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70"/>
    </row>
    <row r="153" ht="30.0" customHeight="1">
      <c r="A153" s="43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9"/>
    </row>
    <row r="154" ht="30.0" customHeight="1">
      <c r="A154" s="43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70"/>
    </row>
    <row r="155" ht="30.0" customHeight="1">
      <c r="A155" s="43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9"/>
    </row>
    <row r="156" ht="30.0" customHeight="1">
      <c r="A156" s="43"/>
      <c r="B156" s="62" t="str">
        <f>Enero!MonthName&amp;" Total"</f>
        <v>Enero Total</v>
      </c>
      <c r="C156" s="63">
        <f>SUBTOTAL(103,Enero!$C$7:$C$8)</f>
        <v>0</v>
      </c>
      <c r="D156" s="63">
        <f>SUBTOTAL(103,Enero!$D$7:$D$8)</f>
        <v>0</v>
      </c>
      <c r="E156" s="63">
        <f>SUBTOTAL(103,Enero!$E$7:$E$8)</f>
        <v>0</v>
      </c>
      <c r="F156" s="63"/>
      <c r="G156" s="63"/>
      <c r="H156" s="63">
        <f>SUBTOTAL(103,Enero!$H$7:$H$8)</f>
        <v>0</v>
      </c>
      <c r="I156" s="63">
        <f>SUBTOTAL(103,Enero!$I$7:$I$8)</f>
        <v>0</v>
      </c>
      <c r="J156" s="63">
        <f>SUBTOTAL(103,Enero!$J$7:$J$8)</f>
        <v>0</v>
      </c>
      <c r="K156" s="63">
        <f>SUBTOTAL(103,Enero!$K$7:$K$8)</f>
        <v>0</v>
      </c>
      <c r="L156" s="63">
        <f>SUBTOTAL(103,Enero!$L$7:$L$8)</f>
        <v>0</v>
      </c>
      <c r="M156" s="63"/>
      <c r="N156" s="63">
        <f>SUBTOTAL(103,Enero!$N$7:$N$8)</f>
        <v>0</v>
      </c>
      <c r="O156" s="63">
        <f>SUBTOTAL(103,Enero!$O$7:$O$8)</f>
        <v>0</v>
      </c>
      <c r="P156" s="63">
        <f>SUBTOTAL(103,Enero!$P$7:$P$8)</f>
        <v>0</v>
      </c>
      <c r="Q156" s="63">
        <f>SUBTOTAL(103,Enero!$Q$7:$Q$8)</f>
        <v>0</v>
      </c>
      <c r="R156" s="63">
        <f>SUBTOTAL(103,Enero!$R$7:$R$8)</f>
        <v>0</v>
      </c>
      <c r="S156" s="63">
        <f>SUBTOTAL(103,Enero!$S$7:$S$8)</f>
        <v>0</v>
      </c>
      <c r="T156" s="63">
        <f>SUBTOTAL(103,Enero!$T$7:$T$8)</f>
        <v>0</v>
      </c>
      <c r="U156" s="63">
        <f>SUBTOTAL(103,Enero!$U$7:$U$8)</f>
        <v>0</v>
      </c>
      <c r="V156" s="63"/>
      <c r="W156" s="63">
        <f>SUBTOTAL(103,Enero!$W$7:$W$8)</f>
        <v>0</v>
      </c>
      <c r="X156" s="63">
        <f>SUBTOTAL(103,Enero!$X$7:$X$8)</f>
        <v>0</v>
      </c>
      <c r="Y156" s="63">
        <f>SUBTOTAL(103,Enero!$Y$7:$Y$8)</f>
        <v>0</v>
      </c>
      <c r="Z156" s="63">
        <f>SUBTOTAL(103,Enero!$Z$7:$Z$8)</f>
        <v>0</v>
      </c>
      <c r="AA156" s="63">
        <f>SUBTOTAL(103,Enero!$AA$7:$AA$8)</f>
        <v>0</v>
      </c>
      <c r="AB156" s="63">
        <f>SUBTOTAL(103,Enero!$AB$7:$AB$8)</f>
        <v>0</v>
      </c>
      <c r="AC156" s="63">
        <f>SUBTOTAL(103,Enero!$AC$7:$AC$8)</f>
        <v>1</v>
      </c>
      <c r="AD156" s="63">
        <f>SUBTOTAL(103,Enero!$AD$7:$AD$8)</f>
        <v>1</v>
      </c>
      <c r="AE156" s="63">
        <f>SUBTOTAL(103,Enero!$AE$7:$AE$8)</f>
        <v>1</v>
      </c>
      <c r="AF156" s="63">
        <f>SUBTOTAL(103,Enero!$AF$7:$AF$8)</f>
        <v>0</v>
      </c>
      <c r="AG156" s="63">
        <f>SUBTOTAL(103,Enero!$AG$7:$AG$8)</f>
        <v>0</v>
      </c>
      <c r="AH156" s="65">
        <f>SUM(C156:AG156)</f>
        <v>3</v>
      </c>
    </row>
    <row r="157" ht="30.0" customHeight="1">
      <c r="AH157" s="5"/>
    </row>
    <row r="158" ht="30.0" customHeight="1">
      <c r="AH158" s="5"/>
    </row>
    <row r="159" ht="30.0" customHeight="1">
      <c r="AH159" s="5"/>
    </row>
    <row r="160" ht="30.0" customHeight="1">
      <c r="AH160" s="5"/>
    </row>
    <row r="161" ht="30.0" customHeight="1">
      <c r="AH161" s="5"/>
    </row>
    <row r="162" ht="30.0" customHeight="1">
      <c r="AH162" s="5"/>
    </row>
    <row r="163" ht="30.0" customHeight="1">
      <c r="AH163" s="5"/>
    </row>
    <row r="164" ht="30.0" customHeight="1">
      <c r="AH164" s="5"/>
    </row>
    <row r="165" ht="30.0" customHeight="1">
      <c r="AH165" s="5"/>
    </row>
    <row r="166" ht="30.0" customHeight="1">
      <c r="AH166" s="5"/>
    </row>
    <row r="167" ht="30.0" customHeight="1">
      <c r="AH167" s="5"/>
    </row>
    <row r="168" ht="30.0" customHeight="1">
      <c r="AH168" s="5"/>
    </row>
    <row r="169" ht="30.0" customHeight="1">
      <c r="AH169" s="5"/>
    </row>
    <row r="170" ht="30.0" customHeight="1">
      <c r="AH170" s="5"/>
    </row>
    <row r="171" ht="30.0" customHeight="1">
      <c r="AH171" s="5"/>
    </row>
    <row r="172" ht="30.0" customHeight="1">
      <c r="AH172" s="5"/>
    </row>
    <row r="173" ht="30.0" customHeight="1">
      <c r="AH173" s="5"/>
    </row>
    <row r="174" ht="30.0" customHeight="1">
      <c r="AH174" s="5"/>
    </row>
    <row r="175" ht="30.0" customHeight="1">
      <c r="AH175" s="5"/>
    </row>
    <row r="176" ht="30.0" customHeight="1">
      <c r="AH176" s="5"/>
    </row>
    <row r="177" ht="30.0" customHeight="1">
      <c r="AH177" s="5"/>
    </row>
    <row r="178" ht="30.0" customHeight="1">
      <c r="AH178" s="5"/>
    </row>
    <row r="179" ht="30.0" customHeight="1">
      <c r="AH179" s="5"/>
    </row>
    <row r="180" ht="30.0" customHeight="1">
      <c r="AH180" s="5"/>
    </row>
    <row r="181" ht="30.0" customHeight="1">
      <c r="AH181" s="5"/>
    </row>
    <row r="182" ht="30.0" customHeight="1">
      <c r="AH182" s="5"/>
    </row>
    <row r="183" ht="30.0" customHeight="1">
      <c r="AH183" s="5"/>
    </row>
    <row r="184" ht="30.0" customHeight="1">
      <c r="AH184" s="5"/>
    </row>
    <row r="185" ht="30.0" customHeight="1">
      <c r="AH185" s="5"/>
    </row>
    <row r="186" ht="30.0" customHeight="1">
      <c r="AH186" s="5"/>
    </row>
    <row r="187" ht="30.0" customHeight="1">
      <c r="AH187" s="5"/>
    </row>
    <row r="188" ht="30.0" customHeight="1">
      <c r="AH188" s="5"/>
    </row>
    <row r="189" ht="30.0" customHeight="1">
      <c r="AH189" s="5"/>
    </row>
    <row r="190" ht="30.0" customHeight="1">
      <c r="AH190" s="5"/>
    </row>
    <row r="191" ht="30.0" customHeight="1">
      <c r="AH191" s="5"/>
    </row>
    <row r="192" ht="30.0" customHeight="1">
      <c r="AH192" s="5"/>
    </row>
    <row r="193" ht="30.0" customHeight="1">
      <c r="AH193" s="5"/>
    </row>
    <row r="194" ht="30.0" customHeight="1">
      <c r="AH194" s="5"/>
    </row>
    <row r="195" ht="30.0" customHeight="1">
      <c r="AH195" s="5"/>
    </row>
    <row r="196" ht="30.0" customHeight="1">
      <c r="AH196" s="5"/>
    </row>
    <row r="197" ht="30.0" customHeight="1">
      <c r="AH197" s="5"/>
    </row>
    <row r="198" ht="30.0" customHeight="1">
      <c r="AH198" s="5"/>
    </row>
    <row r="199" ht="30.0" customHeight="1">
      <c r="AH199" s="5"/>
    </row>
    <row r="200" ht="30.0" customHeight="1">
      <c r="AH200" s="5"/>
    </row>
    <row r="201" ht="30.0" customHeight="1">
      <c r="AH201" s="5"/>
    </row>
    <row r="202" ht="30.0" customHeight="1">
      <c r="AH202" s="5"/>
    </row>
    <row r="203" ht="30.0" customHeight="1">
      <c r="AH203" s="5"/>
    </row>
    <row r="204" ht="30.0" customHeight="1">
      <c r="AH204" s="5"/>
    </row>
    <row r="205" ht="30.0" customHeight="1">
      <c r="AH205" s="5"/>
    </row>
    <row r="206" ht="30.0" customHeight="1">
      <c r="AH206" s="5"/>
    </row>
    <row r="207" ht="30.0" customHeight="1">
      <c r="AH207" s="5"/>
    </row>
    <row r="208" ht="30.0" customHeight="1">
      <c r="AH208" s="5"/>
    </row>
    <row r="209" ht="30.0" customHeight="1">
      <c r="AH209" s="5"/>
    </row>
    <row r="210" ht="30.0" customHeight="1">
      <c r="AH210" s="5"/>
    </row>
    <row r="211" ht="30.0" customHeight="1">
      <c r="AH211" s="5"/>
    </row>
    <row r="212" ht="30.0" customHeight="1">
      <c r="AH212" s="5"/>
    </row>
    <row r="213" ht="30.0" customHeight="1">
      <c r="AH213" s="5"/>
    </row>
    <row r="214" ht="30.0" customHeight="1">
      <c r="AH214" s="5"/>
    </row>
    <row r="215" ht="30.0" customHeight="1">
      <c r="AH215" s="5"/>
    </row>
    <row r="216" ht="30.0" customHeight="1">
      <c r="AH216" s="5"/>
    </row>
    <row r="217" ht="30.0" customHeight="1">
      <c r="AH217" s="5"/>
    </row>
    <row r="218" ht="30.0" customHeight="1">
      <c r="AH218" s="5"/>
    </row>
    <row r="219" ht="30.0" customHeight="1">
      <c r="AH219" s="5"/>
    </row>
    <row r="220" ht="30.0" customHeight="1">
      <c r="AH220" s="5"/>
    </row>
    <row r="221" ht="30.0" customHeight="1">
      <c r="AH221" s="5"/>
    </row>
    <row r="222" ht="30.0" customHeight="1">
      <c r="AH222" s="5"/>
    </row>
    <row r="223" ht="30.0" customHeight="1">
      <c r="AH223" s="5"/>
    </row>
    <row r="224" ht="30.0" customHeight="1">
      <c r="AH224" s="5"/>
    </row>
    <row r="225" ht="30.0" customHeight="1">
      <c r="AH225" s="5"/>
    </row>
    <row r="226" ht="30.0" customHeight="1">
      <c r="AH226" s="5"/>
    </row>
    <row r="227" ht="30.0" customHeight="1">
      <c r="AH227" s="5"/>
    </row>
    <row r="228" ht="30.0" customHeight="1">
      <c r="AH228" s="5"/>
    </row>
    <row r="229" ht="30.0" customHeight="1">
      <c r="AH229" s="5"/>
    </row>
    <row r="230" ht="30.0" customHeight="1">
      <c r="AH230" s="5"/>
    </row>
    <row r="231" ht="30.0" customHeight="1">
      <c r="AH231" s="5"/>
    </row>
    <row r="232" ht="30.0" customHeight="1">
      <c r="AH232" s="5"/>
    </row>
    <row r="233" ht="30.0" customHeight="1">
      <c r="AH233" s="5"/>
    </row>
    <row r="234" ht="30.0" customHeight="1">
      <c r="AH234" s="5"/>
    </row>
    <row r="235" ht="30.0" customHeight="1">
      <c r="AH235" s="5"/>
    </row>
    <row r="236" ht="30.0" customHeight="1">
      <c r="AH236" s="5"/>
    </row>
    <row r="237" ht="30.0" customHeight="1">
      <c r="AH237" s="5"/>
    </row>
    <row r="238" ht="30.0" customHeight="1">
      <c r="AH238" s="5"/>
    </row>
    <row r="239" ht="30.0" customHeight="1">
      <c r="AH239" s="5"/>
    </row>
    <row r="240" ht="30.0" customHeight="1">
      <c r="AH240" s="5"/>
    </row>
    <row r="241" ht="30.0" customHeight="1">
      <c r="AH241" s="5"/>
    </row>
    <row r="242" ht="30.0" customHeight="1">
      <c r="AH242" s="5"/>
    </row>
    <row r="243" ht="30.0" customHeight="1">
      <c r="AH243" s="5"/>
    </row>
    <row r="244" ht="30.0" customHeight="1">
      <c r="AH244" s="5"/>
    </row>
    <row r="245" ht="30.0" customHeight="1">
      <c r="AH245" s="5"/>
    </row>
    <row r="246" ht="30.0" customHeight="1">
      <c r="AH246" s="5"/>
    </row>
    <row r="247" ht="30.0" customHeight="1">
      <c r="AH247" s="5"/>
    </row>
    <row r="248" ht="30.0" customHeight="1">
      <c r="AH248" s="5"/>
    </row>
    <row r="249" ht="30.0" customHeight="1">
      <c r="AH249" s="5"/>
    </row>
    <row r="250" ht="30.0" customHeight="1">
      <c r="AH250" s="5"/>
    </row>
    <row r="251" ht="30.0" customHeight="1">
      <c r="AH251" s="5"/>
    </row>
    <row r="252" ht="30.0" customHeight="1">
      <c r="AH252" s="5"/>
    </row>
    <row r="253" ht="30.0" customHeight="1">
      <c r="AH253" s="5"/>
    </row>
    <row r="254" ht="30.0" customHeight="1">
      <c r="AH254" s="5"/>
    </row>
    <row r="255" ht="30.0" customHeight="1">
      <c r="AH255" s="5"/>
    </row>
    <row r="256" ht="30.0" customHeight="1">
      <c r="AH256" s="5"/>
    </row>
    <row r="257" ht="30.0" customHeight="1">
      <c r="AH257" s="5"/>
    </row>
    <row r="258" ht="30.0" customHeight="1">
      <c r="AH258" s="5"/>
    </row>
    <row r="259" ht="30.0" customHeight="1">
      <c r="AH259" s="5"/>
    </row>
    <row r="260" ht="30.0" customHeight="1">
      <c r="AH260" s="5"/>
    </row>
    <row r="261" ht="30.0" customHeight="1">
      <c r="AH261" s="5"/>
    </row>
    <row r="262" ht="30.0" customHeight="1">
      <c r="AH262" s="5"/>
    </row>
    <row r="263" ht="30.0" customHeight="1">
      <c r="AH263" s="5"/>
    </row>
    <row r="264" ht="30.0" customHeight="1">
      <c r="AH264" s="5"/>
    </row>
    <row r="265" ht="30.0" customHeight="1">
      <c r="AH265" s="5"/>
    </row>
    <row r="266" ht="30.0" customHeight="1">
      <c r="AH266" s="5"/>
    </row>
    <row r="267" ht="30.0" customHeight="1">
      <c r="AH267" s="5"/>
    </row>
    <row r="268" ht="30.0" customHeight="1">
      <c r="AH268" s="5"/>
    </row>
    <row r="269" ht="30.0" customHeight="1">
      <c r="AH269" s="5"/>
    </row>
    <row r="270" ht="30.0" customHeight="1">
      <c r="AH270" s="5"/>
    </row>
    <row r="271" ht="30.0" customHeight="1">
      <c r="AH271" s="5"/>
    </row>
    <row r="272" ht="30.0" customHeight="1">
      <c r="AH272" s="5"/>
    </row>
    <row r="273" ht="30.0" customHeight="1">
      <c r="AH273" s="5"/>
    </row>
    <row r="274" ht="30.0" customHeight="1">
      <c r="AH274" s="5"/>
    </row>
    <row r="275" ht="30.0" customHeight="1">
      <c r="AH275" s="5"/>
    </row>
    <row r="276" ht="30.0" customHeight="1">
      <c r="AH276" s="5"/>
    </row>
    <row r="277" ht="30.0" customHeight="1">
      <c r="AH277" s="5"/>
    </row>
    <row r="278" ht="30.0" customHeight="1">
      <c r="AH278" s="5"/>
    </row>
    <row r="279" ht="30.0" customHeight="1">
      <c r="AH279" s="5"/>
    </row>
    <row r="280" ht="30.0" customHeight="1">
      <c r="AH280" s="5"/>
    </row>
    <row r="281" ht="30.0" customHeight="1">
      <c r="AH281" s="5"/>
    </row>
    <row r="282" ht="30.0" customHeight="1">
      <c r="AH282" s="5"/>
    </row>
    <row r="283" ht="30.0" customHeight="1">
      <c r="AH283" s="5"/>
    </row>
    <row r="284" ht="30.0" customHeight="1">
      <c r="AH284" s="5"/>
    </row>
    <row r="285" ht="30.0" customHeight="1">
      <c r="AH285" s="5"/>
    </row>
    <row r="286" ht="30.0" customHeight="1">
      <c r="AH286" s="5"/>
    </row>
    <row r="287" ht="30.0" customHeight="1">
      <c r="AH287" s="5"/>
    </row>
    <row r="288" ht="30.0" customHeight="1">
      <c r="AH288" s="5"/>
    </row>
    <row r="289" ht="30.0" customHeight="1">
      <c r="AH289" s="5"/>
    </row>
    <row r="290" ht="30.0" customHeight="1">
      <c r="AH290" s="5"/>
    </row>
    <row r="291" ht="30.0" customHeight="1">
      <c r="AH291" s="5"/>
    </row>
    <row r="292" ht="30.0" customHeight="1">
      <c r="AH292" s="5"/>
    </row>
    <row r="293" ht="30.0" customHeight="1">
      <c r="AH293" s="5"/>
    </row>
    <row r="294" ht="30.0" customHeight="1">
      <c r="AH294" s="5"/>
    </row>
    <row r="295" ht="30.0" customHeight="1">
      <c r="AH295" s="5"/>
    </row>
    <row r="296" ht="30.0" customHeight="1">
      <c r="AH296" s="5"/>
    </row>
    <row r="297" ht="30.0" customHeight="1">
      <c r="AH297" s="5"/>
    </row>
    <row r="298" ht="30.0" customHeight="1">
      <c r="AH298" s="5"/>
    </row>
    <row r="299" ht="30.0" customHeight="1">
      <c r="AH299" s="5"/>
    </row>
    <row r="300" ht="30.0" customHeight="1">
      <c r="AH300" s="5"/>
    </row>
    <row r="301" ht="30.0" customHeight="1">
      <c r="AH301" s="5"/>
    </row>
    <row r="302" ht="30.0" customHeight="1">
      <c r="AH302" s="5"/>
    </row>
    <row r="303" ht="30.0" customHeight="1">
      <c r="AH303" s="5"/>
    </row>
    <row r="304" ht="30.0" customHeight="1">
      <c r="AH304" s="5"/>
    </row>
    <row r="305" ht="30.0" customHeight="1">
      <c r="AH305" s="5"/>
    </row>
    <row r="306" ht="30.0" customHeight="1">
      <c r="AH306" s="5"/>
    </row>
    <row r="307" ht="30.0" customHeight="1">
      <c r="AH307" s="5"/>
    </row>
    <row r="308" ht="30.0" customHeight="1">
      <c r="AH308" s="5"/>
    </row>
    <row r="309" ht="30.0" customHeight="1">
      <c r="AH309" s="5"/>
    </row>
    <row r="310" ht="30.0" customHeight="1">
      <c r="AH310" s="5"/>
    </row>
    <row r="311" ht="30.0" customHeight="1">
      <c r="AH311" s="5"/>
    </row>
    <row r="312" ht="30.0" customHeight="1">
      <c r="AH312" s="5"/>
    </row>
    <row r="313" ht="30.0" customHeight="1">
      <c r="AH313" s="5"/>
    </row>
    <row r="314" ht="30.0" customHeight="1">
      <c r="AH314" s="5"/>
    </row>
    <row r="315" ht="30.0" customHeight="1">
      <c r="AH315" s="5"/>
    </row>
    <row r="316" ht="30.0" customHeight="1">
      <c r="AH316" s="5"/>
    </row>
    <row r="317" ht="30.0" customHeight="1">
      <c r="AH317" s="5"/>
    </row>
    <row r="318" ht="30.0" customHeight="1">
      <c r="AH318" s="5"/>
    </row>
    <row r="319" ht="30.0" customHeight="1">
      <c r="AH319" s="5"/>
    </row>
    <row r="320" ht="30.0" customHeight="1">
      <c r="AH320" s="5"/>
    </row>
    <row r="321" ht="30.0" customHeight="1">
      <c r="AH321" s="5"/>
    </row>
    <row r="322" ht="30.0" customHeight="1">
      <c r="AH322" s="5"/>
    </row>
    <row r="323" ht="30.0" customHeight="1">
      <c r="AH323" s="5"/>
    </row>
    <row r="324" ht="30.0" customHeight="1">
      <c r="AH324" s="5"/>
    </row>
    <row r="325" ht="30.0" customHeight="1">
      <c r="AH325" s="5"/>
    </row>
    <row r="326" ht="30.0" customHeight="1">
      <c r="AH326" s="5"/>
    </row>
    <row r="327" ht="30.0" customHeight="1">
      <c r="AH327" s="5"/>
    </row>
    <row r="328" ht="30.0" customHeight="1">
      <c r="AH328" s="5"/>
    </row>
    <row r="329" ht="30.0" customHeight="1">
      <c r="AH329" s="5"/>
    </row>
    <row r="330" ht="30.0" customHeight="1">
      <c r="AH330" s="5"/>
    </row>
    <row r="331" ht="30.0" customHeight="1">
      <c r="AH331" s="5"/>
    </row>
    <row r="332" ht="30.0" customHeight="1">
      <c r="AH332" s="5"/>
    </row>
    <row r="333" ht="30.0" customHeight="1">
      <c r="AH333" s="5"/>
    </row>
    <row r="334" ht="30.0" customHeight="1">
      <c r="AH334" s="5"/>
    </row>
    <row r="335" ht="30.0" customHeight="1">
      <c r="AH335" s="5"/>
    </row>
    <row r="336" ht="30.0" customHeight="1">
      <c r="AH336" s="5"/>
    </row>
    <row r="337" ht="30.0" customHeight="1">
      <c r="AH337" s="5"/>
    </row>
    <row r="338" ht="30.0" customHeight="1">
      <c r="AH338" s="5"/>
    </row>
    <row r="339" ht="30.0" customHeight="1">
      <c r="AH339" s="5"/>
    </row>
    <row r="340" ht="30.0" customHeight="1">
      <c r="AH340" s="5"/>
    </row>
    <row r="341" ht="30.0" customHeight="1">
      <c r="AH341" s="5"/>
    </row>
    <row r="342" ht="30.0" customHeight="1">
      <c r="AH342" s="5"/>
    </row>
    <row r="343" ht="30.0" customHeight="1">
      <c r="AH343" s="5"/>
    </row>
    <row r="344" ht="30.0" customHeight="1">
      <c r="AH344" s="5"/>
    </row>
    <row r="345" ht="30.0" customHeight="1">
      <c r="AH345" s="5"/>
    </row>
    <row r="346" ht="30.0" customHeight="1">
      <c r="AH346" s="5"/>
    </row>
    <row r="347" ht="30.0" customHeight="1">
      <c r="AH347" s="5"/>
    </row>
    <row r="348" ht="30.0" customHeight="1">
      <c r="AH348" s="5"/>
    </row>
    <row r="349" ht="30.0" customHeight="1">
      <c r="AH349" s="5"/>
    </row>
    <row r="350" ht="30.0" customHeight="1">
      <c r="AH350" s="5"/>
    </row>
    <row r="351" ht="30.0" customHeight="1">
      <c r="AH351" s="5"/>
    </row>
    <row r="352" ht="30.0" customHeight="1">
      <c r="AH352" s="5"/>
    </row>
    <row r="353" ht="30.0" customHeight="1">
      <c r="AH353" s="5"/>
    </row>
    <row r="354" ht="30.0" customHeight="1">
      <c r="AH354" s="5"/>
    </row>
    <row r="355" ht="30.0" customHeight="1">
      <c r="AH355" s="5"/>
    </row>
    <row r="356" ht="30.0" customHeight="1">
      <c r="AH356" s="5"/>
    </row>
    <row r="357" ht="30.0" customHeight="1">
      <c r="AH357" s="5"/>
    </row>
    <row r="358" ht="30.0" customHeight="1">
      <c r="AH358" s="5"/>
    </row>
    <row r="359" ht="30.0" customHeight="1">
      <c r="AH359" s="5"/>
    </row>
    <row r="360" ht="30.0" customHeight="1">
      <c r="AH360" s="5"/>
    </row>
    <row r="361" ht="30.0" customHeight="1">
      <c r="AH361" s="5"/>
    </row>
    <row r="362" ht="30.0" customHeight="1">
      <c r="AH362" s="5"/>
    </row>
    <row r="363" ht="30.0" customHeight="1">
      <c r="AH363" s="5"/>
    </row>
    <row r="364" ht="30.0" customHeight="1">
      <c r="AH364" s="5"/>
    </row>
    <row r="365" ht="30.0" customHeight="1">
      <c r="AH365" s="5"/>
    </row>
    <row r="366" ht="30.0" customHeight="1">
      <c r="AH366" s="5"/>
    </row>
    <row r="367" ht="30.0" customHeight="1">
      <c r="AH367" s="5"/>
    </row>
    <row r="368" ht="30.0" customHeight="1">
      <c r="AH368" s="5"/>
    </row>
    <row r="369" ht="30.0" customHeight="1">
      <c r="AH369" s="5"/>
    </row>
    <row r="370" ht="30.0" customHeight="1">
      <c r="AH370" s="5"/>
    </row>
    <row r="371" ht="30.0" customHeight="1">
      <c r="AH371" s="5"/>
    </row>
    <row r="372" ht="30.0" customHeight="1">
      <c r="AH372" s="5"/>
    </row>
    <row r="373" ht="30.0" customHeight="1">
      <c r="AH373" s="5"/>
    </row>
    <row r="374" ht="30.0" customHeight="1">
      <c r="AH374" s="5"/>
    </row>
    <row r="375" ht="30.0" customHeight="1">
      <c r="AH375" s="5"/>
    </row>
    <row r="376" ht="30.0" customHeight="1">
      <c r="AH376" s="5"/>
    </row>
    <row r="377" ht="30.0" customHeight="1">
      <c r="AH377" s="5"/>
    </row>
    <row r="378" ht="30.0" customHeight="1">
      <c r="AH378" s="5"/>
    </row>
    <row r="379" ht="30.0" customHeight="1">
      <c r="AH379" s="5"/>
    </row>
    <row r="380" ht="30.0" customHeight="1">
      <c r="AH380" s="5"/>
    </row>
    <row r="381" ht="30.0" customHeight="1">
      <c r="AH381" s="5"/>
    </row>
    <row r="382" ht="30.0" customHeight="1">
      <c r="AH382" s="5"/>
    </row>
    <row r="383" ht="30.0" customHeight="1">
      <c r="AH383" s="5"/>
    </row>
    <row r="384" ht="30.0" customHeight="1">
      <c r="AH384" s="5"/>
    </row>
    <row r="385" ht="30.0" customHeight="1">
      <c r="AH385" s="5"/>
    </row>
    <row r="386" ht="30.0" customHeight="1">
      <c r="AH386" s="5"/>
    </row>
    <row r="387" ht="30.0" customHeight="1">
      <c r="AH387" s="5"/>
    </row>
    <row r="388" ht="30.0" customHeight="1">
      <c r="AH388" s="5"/>
    </row>
    <row r="389" ht="30.0" customHeight="1">
      <c r="AH389" s="5"/>
    </row>
    <row r="390" ht="30.0" customHeight="1">
      <c r="AH390" s="5"/>
    </row>
    <row r="391" ht="30.0" customHeight="1">
      <c r="AH391" s="5"/>
    </row>
    <row r="392" ht="30.0" customHeight="1">
      <c r="AH392" s="5"/>
    </row>
    <row r="393" ht="30.0" customHeight="1">
      <c r="AH393" s="5"/>
    </row>
    <row r="394" ht="30.0" customHeight="1">
      <c r="AH394" s="5"/>
    </row>
    <row r="395" ht="30.0" customHeight="1">
      <c r="AH395" s="5"/>
    </row>
    <row r="396" ht="30.0" customHeight="1">
      <c r="AH396" s="5"/>
    </row>
    <row r="397" ht="30.0" customHeight="1">
      <c r="AH397" s="5"/>
    </row>
    <row r="398" ht="30.0" customHeight="1">
      <c r="AH398" s="5"/>
    </row>
    <row r="399" ht="30.0" customHeight="1">
      <c r="AH399" s="5"/>
    </row>
    <row r="400" ht="30.0" customHeight="1">
      <c r="AH400" s="5"/>
    </row>
    <row r="401" ht="30.0" customHeight="1">
      <c r="AH401" s="5"/>
    </row>
    <row r="402" ht="30.0" customHeight="1">
      <c r="AH402" s="5"/>
    </row>
    <row r="403" ht="30.0" customHeight="1">
      <c r="AH403" s="5"/>
    </row>
    <row r="404" ht="30.0" customHeight="1">
      <c r="AH404" s="5"/>
    </row>
    <row r="405" ht="30.0" customHeight="1">
      <c r="AH405" s="5"/>
    </row>
    <row r="406" ht="30.0" customHeight="1">
      <c r="AH406" s="5"/>
    </row>
    <row r="407" ht="30.0" customHeight="1">
      <c r="AH407" s="5"/>
    </row>
    <row r="408" ht="30.0" customHeight="1">
      <c r="AH408" s="5"/>
    </row>
    <row r="409" ht="30.0" customHeight="1">
      <c r="AH409" s="5"/>
    </row>
    <row r="410" ht="30.0" customHeight="1">
      <c r="AH410" s="5"/>
    </row>
    <row r="411" ht="30.0" customHeight="1">
      <c r="AH411" s="5"/>
    </row>
    <row r="412" ht="30.0" customHeight="1">
      <c r="AH412" s="5"/>
    </row>
    <row r="413" ht="30.0" customHeight="1">
      <c r="AH413" s="5"/>
    </row>
    <row r="414" ht="30.0" customHeight="1">
      <c r="AH414" s="5"/>
    </row>
    <row r="415" ht="30.0" customHeight="1">
      <c r="AH415" s="5"/>
    </row>
    <row r="416" ht="30.0" customHeight="1">
      <c r="AH416" s="5"/>
    </row>
    <row r="417" ht="30.0" customHeight="1">
      <c r="AH417" s="5"/>
    </row>
    <row r="418" ht="30.0" customHeight="1">
      <c r="AH418" s="5"/>
    </row>
    <row r="419" ht="30.0" customHeight="1">
      <c r="AH419" s="5"/>
    </row>
    <row r="420" ht="30.0" customHeight="1">
      <c r="AH420" s="5"/>
    </row>
    <row r="421" ht="30.0" customHeight="1">
      <c r="AH421" s="5"/>
    </row>
    <row r="422" ht="30.0" customHeight="1">
      <c r="AH422" s="5"/>
    </row>
    <row r="423" ht="30.0" customHeight="1">
      <c r="AH423" s="5"/>
    </row>
    <row r="424" ht="30.0" customHeight="1">
      <c r="AH424" s="5"/>
    </row>
    <row r="425" ht="30.0" customHeight="1">
      <c r="AH425" s="5"/>
    </row>
    <row r="426" ht="30.0" customHeight="1">
      <c r="AH426" s="5"/>
    </row>
    <row r="427" ht="30.0" customHeight="1">
      <c r="AH427" s="5"/>
    </row>
    <row r="428" ht="30.0" customHeight="1">
      <c r="AH428" s="5"/>
    </row>
    <row r="429" ht="30.0" customHeight="1">
      <c r="AH429" s="5"/>
    </row>
    <row r="430" ht="30.0" customHeight="1">
      <c r="AH430" s="5"/>
    </row>
    <row r="431" ht="30.0" customHeight="1">
      <c r="AH431" s="5"/>
    </row>
    <row r="432" ht="30.0" customHeight="1">
      <c r="AH432" s="5"/>
    </row>
    <row r="433" ht="30.0" customHeight="1">
      <c r="AH433" s="5"/>
    </row>
    <row r="434" ht="30.0" customHeight="1">
      <c r="AH434" s="5"/>
    </row>
    <row r="435" ht="30.0" customHeight="1">
      <c r="AH435" s="5"/>
    </row>
    <row r="436" ht="30.0" customHeight="1">
      <c r="AH436" s="5"/>
    </row>
    <row r="437" ht="30.0" customHeight="1">
      <c r="AH437" s="5"/>
    </row>
    <row r="438" ht="30.0" customHeight="1">
      <c r="AH438" s="5"/>
    </row>
    <row r="439" ht="30.0" customHeight="1">
      <c r="AH439" s="5"/>
    </row>
    <row r="440" ht="30.0" customHeight="1">
      <c r="AH440" s="5"/>
    </row>
    <row r="441" ht="30.0" customHeight="1">
      <c r="AH441" s="5"/>
    </row>
    <row r="442" ht="30.0" customHeight="1">
      <c r="AH442" s="5"/>
    </row>
    <row r="443" ht="30.0" customHeight="1">
      <c r="AH443" s="5"/>
    </row>
    <row r="444" ht="30.0" customHeight="1">
      <c r="AH444" s="5"/>
    </row>
    <row r="445" ht="30.0" customHeight="1">
      <c r="AH445" s="5"/>
    </row>
    <row r="446" ht="30.0" customHeight="1">
      <c r="AH446" s="5"/>
    </row>
    <row r="447" ht="30.0" customHeight="1">
      <c r="AH447" s="5"/>
    </row>
    <row r="448" ht="30.0" customHeight="1">
      <c r="AH448" s="5"/>
    </row>
    <row r="449" ht="30.0" customHeight="1">
      <c r="AH449" s="5"/>
    </row>
    <row r="450" ht="30.0" customHeight="1">
      <c r="AH450" s="5"/>
    </row>
    <row r="451" ht="30.0" customHeight="1">
      <c r="AH451" s="5"/>
    </row>
    <row r="452" ht="30.0" customHeight="1">
      <c r="AH452" s="5"/>
    </row>
    <row r="453" ht="30.0" customHeight="1">
      <c r="AH453" s="5"/>
    </row>
    <row r="454" ht="30.0" customHeight="1">
      <c r="AH454" s="5"/>
    </row>
    <row r="455" ht="30.0" customHeight="1">
      <c r="AH455" s="5"/>
    </row>
    <row r="456" ht="30.0" customHeight="1">
      <c r="AH456" s="5"/>
    </row>
    <row r="457" ht="30.0" customHeight="1">
      <c r="AH457" s="5"/>
    </row>
    <row r="458" ht="30.0" customHeight="1">
      <c r="AH458" s="5"/>
    </row>
    <row r="459" ht="30.0" customHeight="1">
      <c r="AH459" s="5"/>
    </row>
    <row r="460" ht="30.0" customHeight="1">
      <c r="AH460" s="5"/>
    </row>
    <row r="461" ht="30.0" customHeight="1">
      <c r="AH461" s="5"/>
    </row>
    <row r="462" ht="30.0" customHeight="1">
      <c r="AH462" s="5"/>
    </row>
    <row r="463" ht="30.0" customHeight="1">
      <c r="AH463" s="5"/>
    </row>
    <row r="464" ht="30.0" customHeight="1">
      <c r="AH464" s="5"/>
    </row>
    <row r="465" ht="30.0" customHeight="1">
      <c r="AH465" s="5"/>
    </row>
    <row r="466" ht="30.0" customHeight="1">
      <c r="AH466" s="5"/>
    </row>
    <row r="467" ht="30.0" customHeight="1">
      <c r="AH467" s="5"/>
    </row>
    <row r="468" ht="30.0" customHeight="1">
      <c r="AH468" s="5"/>
    </row>
    <row r="469" ht="30.0" customHeight="1">
      <c r="AH469" s="5"/>
    </row>
    <row r="470" ht="30.0" customHeight="1">
      <c r="AH470" s="5"/>
    </row>
    <row r="471" ht="30.0" customHeight="1">
      <c r="AH471" s="5"/>
    </row>
    <row r="472" ht="30.0" customHeight="1">
      <c r="AH472" s="5"/>
    </row>
    <row r="473" ht="30.0" customHeight="1">
      <c r="AH473" s="5"/>
    </row>
    <row r="474" ht="30.0" customHeight="1">
      <c r="AH474" s="5"/>
    </row>
    <row r="475" ht="30.0" customHeight="1">
      <c r="AH475" s="5"/>
    </row>
    <row r="476" ht="30.0" customHeight="1">
      <c r="AH476" s="5"/>
    </row>
    <row r="477" ht="30.0" customHeight="1">
      <c r="AH477" s="5"/>
    </row>
    <row r="478" ht="30.0" customHeight="1">
      <c r="AH478" s="5"/>
    </row>
    <row r="479" ht="30.0" customHeight="1">
      <c r="AH479" s="5"/>
    </row>
    <row r="480" ht="30.0" customHeight="1">
      <c r="AH480" s="5"/>
    </row>
    <row r="481" ht="30.0" customHeight="1">
      <c r="AH481" s="5"/>
    </row>
    <row r="482" ht="30.0" customHeight="1">
      <c r="AH482" s="5"/>
    </row>
    <row r="483" ht="30.0" customHeight="1">
      <c r="AH483" s="5"/>
    </row>
    <row r="484" ht="30.0" customHeight="1">
      <c r="AH484" s="5"/>
    </row>
    <row r="485" ht="30.0" customHeight="1">
      <c r="AH485" s="5"/>
    </row>
    <row r="486" ht="30.0" customHeight="1">
      <c r="AH486" s="5"/>
    </row>
    <row r="487" ht="30.0" customHeight="1">
      <c r="AH487" s="5"/>
    </row>
    <row r="488" ht="30.0" customHeight="1">
      <c r="AH488" s="5"/>
    </row>
    <row r="489" ht="30.0" customHeight="1">
      <c r="AH489" s="5"/>
    </row>
    <row r="490" ht="30.0" customHeight="1">
      <c r="AH490" s="5"/>
    </row>
    <row r="491" ht="30.0" customHeight="1">
      <c r="AH491" s="5"/>
    </row>
    <row r="492" ht="30.0" customHeight="1">
      <c r="AH492" s="5"/>
    </row>
    <row r="493" ht="30.0" customHeight="1">
      <c r="AH493" s="5"/>
    </row>
    <row r="494" ht="30.0" customHeight="1">
      <c r="AH494" s="5"/>
    </row>
    <row r="495" ht="30.0" customHeight="1">
      <c r="AH495" s="5"/>
    </row>
    <row r="496" ht="30.0" customHeight="1">
      <c r="AH496" s="5"/>
    </row>
    <row r="497" ht="30.0" customHeight="1">
      <c r="AH497" s="5"/>
    </row>
    <row r="498" ht="30.0" customHeight="1">
      <c r="AH498" s="5"/>
    </row>
    <row r="499" ht="30.0" customHeight="1">
      <c r="AH499" s="5"/>
    </row>
    <row r="500" ht="30.0" customHeight="1">
      <c r="AH500" s="5"/>
    </row>
    <row r="501" ht="30.0" customHeight="1">
      <c r="AH501" s="5"/>
    </row>
    <row r="502" ht="30.0" customHeight="1">
      <c r="AH502" s="5"/>
    </row>
    <row r="503" ht="30.0" customHeight="1">
      <c r="AH503" s="5"/>
    </row>
    <row r="504" ht="30.0" customHeight="1">
      <c r="AH504" s="5"/>
    </row>
    <row r="505" ht="30.0" customHeight="1">
      <c r="AH505" s="5"/>
    </row>
    <row r="506" ht="30.0" customHeight="1">
      <c r="AH506" s="5"/>
    </row>
    <row r="507" ht="30.0" customHeight="1">
      <c r="AH507" s="5"/>
    </row>
    <row r="508" ht="30.0" customHeight="1">
      <c r="AH508" s="5"/>
    </row>
    <row r="509" ht="30.0" customHeight="1">
      <c r="AH509" s="5"/>
    </row>
    <row r="510" ht="30.0" customHeight="1">
      <c r="AH510" s="5"/>
    </row>
    <row r="511" ht="30.0" customHeight="1">
      <c r="AH511" s="5"/>
    </row>
    <row r="512" ht="30.0" customHeight="1">
      <c r="AH512" s="5"/>
    </row>
    <row r="513" ht="30.0" customHeight="1">
      <c r="AH513" s="5"/>
    </row>
    <row r="514" ht="30.0" customHeight="1">
      <c r="AH514" s="5"/>
    </row>
    <row r="515" ht="30.0" customHeight="1">
      <c r="AH515" s="5"/>
    </row>
    <row r="516" ht="30.0" customHeight="1">
      <c r="AH516" s="5"/>
    </row>
    <row r="517" ht="30.0" customHeight="1">
      <c r="AH517" s="5"/>
    </row>
    <row r="518" ht="30.0" customHeight="1">
      <c r="AH518" s="5"/>
    </row>
    <row r="519" ht="30.0" customHeight="1">
      <c r="AH519" s="5"/>
    </row>
    <row r="520" ht="30.0" customHeight="1">
      <c r="AH520" s="5"/>
    </row>
    <row r="521" ht="30.0" customHeight="1">
      <c r="AH521" s="5"/>
    </row>
    <row r="522" ht="30.0" customHeight="1">
      <c r="AH522" s="5"/>
    </row>
    <row r="523" ht="30.0" customHeight="1">
      <c r="AH523" s="5"/>
    </row>
    <row r="524" ht="30.0" customHeight="1">
      <c r="AH524" s="5"/>
    </row>
    <row r="525" ht="30.0" customHeight="1">
      <c r="AH525" s="5"/>
    </row>
    <row r="526" ht="30.0" customHeight="1">
      <c r="AH526" s="5"/>
    </row>
    <row r="527" ht="30.0" customHeight="1">
      <c r="AH527" s="5"/>
    </row>
    <row r="528" ht="30.0" customHeight="1">
      <c r="AH528" s="5"/>
    </row>
    <row r="529" ht="30.0" customHeight="1">
      <c r="AH529" s="5"/>
    </row>
    <row r="530" ht="30.0" customHeight="1">
      <c r="AH530" s="5"/>
    </row>
    <row r="531" ht="30.0" customHeight="1">
      <c r="AH531" s="5"/>
    </row>
    <row r="532" ht="30.0" customHeight="1">
      <c r="AH532" s="5"/>
    </row>
    <row r="533" ht="30.0" customHeight="1">
      <c r="AH533" s="5"/>
    </row>
    <row r="534" ht="30.0" customHeight="1">
      <c r="AH534" s="5"/>
    </row>
    <row r="535" ht="30.0" customHeight="1">
      <c r="AH535" s="5"/>
    </row>
    <row r="536" ht="30.0" customHeight="1">
      <c r="AH536" s="5"/>
    </row>
    <row r="537" ht="30.0" customHeight="1">
      <c r="AH537" s="5"/>
    </row>
    <row r="538" ht="30.0" customHeight="1">
      <c r="AH538" s="5"/>
    </row>
    <row r="539" ht="30.0" customHeight="1">
      <c r="AH539" s="5"/>
    </row>
    <row r="540" ht="30.0" customHeight="1">
      <c r="AH540" s="5"/>
    </row>
    <row r="541" ht="30.0" customHeight="1">
      <c r="AH541" s="5"/>
    </row>
    <row r="542" ht="30.0" customHeight="1">
      <c r="AH542" s="5"/>
    </row>
    <row r="543" ht="30.0" customHeight="1">
      <c r="AH543" s="5"/>
    </row>
    <row r="544" ht="30.0" customHeight="1">
      <c r="AH544" s="5"/>
    </row>
    <row r="545" ht="30.0" customHeight="1">
      <c r="AH545" s="5"/>
    </row>
    <row r="546" ht="30.0" customHeight="1">
      <c r="AH546" s="5"/>
    </row>
    <row r="547" ht="30.0" customHeight="1">
      <c r="AH547" s="5"/>
    </row>
    <row r="548" ht="30.0" customHeight="1">
      <c r="AH548" s="5"/>
    </row>
    <row r="549" ht="30.0" customHeight="1">
      <c r="AH549" s="5"/>
    </row>
    <row r="550" ht="30.0" customHeight="1">
      <c r="AH550" s="5"/>
    </row>
    <row r="551" ht="30.0" customHeight="1">
      <c r="AH551" s="5"/>
    </row>
    <row r="552" ht="30.0" customHeight="1">
      <c r="AH552" s="5"/>
    </row>
    <row r="553" ht="30.0" customHeight="1">
      <c r="AH553" s="5"/>
    </row>
    <row r="554" ht="30.0" customHeight="1">
      <c r="AH554" s="5"/>
    </row>
    <row r="555" ht="30.0" customHeight="1">
      <c r="AH555" s="5"/>
    </row>
    <row r="556" ht="30.0" customHeight="1">
      <c r="AH556" s="5"/>
    </row>
    <row r="557" ht="30.0" customHeight="1">
      <c r="AH557" s="5"/>
    </row>
    <row r="558" ht="30.0" customHeight="1">
      <c r="AH558" s="5"/>
    </row>
    <row r="559" ht="30.0" customHeight="1">
      <c r="AH559" s="5"/>
    </row>
    <row r="560" ht="30.0" customHeight="1">
      <c r="AH560" s="5"/>
    </row>
    <row r="561" ht="30.0" customHeight="1">
      <c r="AH561" s="5"/>
    </row>
    <row r="562" ht="30.0" customHeight="1">
      <c r="AH562" s="5"/>
    </row>
    <row r="563" ht="30.0" customHeight="1">
      <c r="AH563" s="5"/>
    </row>
    <row r="564" ht="30.0" customHeight="1">
      <c r="AH564" s="5"/>
    </row>
    <row r="565" ht="30.0" customHeight="1">
      <c r="AH565" s="5"/>
    </row>
    <row r="566" ht="30.0" customHeight="1">
      <c r="AH566" s="5"/>
    </row>
    <row r="567" ht="30.0" customHeight="1">
      <c r="AH567" s="5"/>
    </row>
    <row r="568" ht="30.0" customHeight="1">
      <c r="AH568" s="5"/>
    </row>
    <row r="569" ht="30.0" customHeight="1">
      <c r="AH569" s="5"/>
    </row>
    <row r="570" ht="30.0" customHeight="1">
      <c r="AH570" s="5"/>
    </row>
    <row r="571" ht="30.0" customHeight="1">
      <c r="AH571" s="5"/>
    </row>
    <row r="572" ht="30.0" customHeight="1">
      <c r="AH572" s="5"/>
    </row>
    <row r="573" ht="30.0" customHeight="1">
      <c r="AH573" s="5"/>
    </row>
    <row r="574" ht="30.0" customHeight="1">
      <c r="AH574" s="5"/>
    </row>
    <row r="575" ht="30.0" customHeight="1">
      <c r="AH575" s="5"/>
    </row>
    <row r="576" ht="30.0" customHeight="1">
      <c r="AH576" s="5"/>
    </row>
    <row r="577" ht="30.0" customHeight="1">
      <c r="AH577" s="5"/>
    </row>
    <row r="578" ht="30.0" customHeight="1">
      <c r="AH578" s="5"/>
    </row>
    <row r="579" ht="30.0" customHeight="1">
      <c r="AH579" s="5"/>
    </row>
    <row r="580" ht="30.0" customHeight="1">
      <c r="AH580" s="5"/>
    </row>
    <row r="581" ht="30.0" customHeight="1">
      <c r="AH581" s="5"/>
    </row>
    <row r="582" ht="30.0" customHeight="1">
      <c r="AH582" s="5"/>
    </row>
    <row r="583" ht="30.0" customHeight="1">
      <c r="AH583" s="5"/>
    </row>
    <row r="584" ht="30.0" customHeight="1">
      <c r="AH584" s="5"/>
    </row>
    <row r="585" ht="30.0" customHeight="1">
      <c r="AH585" s="5"/>
    </row>
    <row r="586" ht="30.0" customHeight="1">
      <c r="AH586" s="5"/>
    </row>
    <row r="587" ht="30.0" customHeight="1">
      <c r="AH587" s="5"/>
    </row>
    <row r="588" ht="30.0" customHeight="1">
      <c r="AH588" s="5"/>
    </row>
    <row r="589" ht="30.0" customHeight="1">
      <c r="AH589" s="5"/>
    </row>
    <row r="590" ht="30.0" customHeight="1">
      <c r="AH590" s="5"/>
    </row>
    <row r="591" ht="30.0" customHeight="1">
      <c r="AH591" s="5"/>
    </row>
    <row r="592" ht="30.0" customHeight="1">
      <c r="AH592" s="5"/>
    </row>
    <row r="593" ht="30.0" customHeight="1">
      <c r="AH593" s="5"/>
    </row>
    <row r="594" ht="30.0" customHeight="1">
      <c r="AH594" s="5"/>
    </row>
    <row r="595" ht="30.0" customHeight="1">
      <c r="AH595" s="5"/>
    </row>
    <row r="596" ht="30.0" customHeight="1">
      <c r="AH596" s="5"/>
    </row>
    <row r="597" ht="30.0" customHeight="1">
      <c r="AH597" s="5"/>
    </row>
    <row r="598" ht="30.0" customHeight="1">
      <c r="AH598" s="5"/>
    </row>
    <row r="599" ht="30.0" customHeight="1">
      <c r="AH599" s="5"/>
    </row>
    <row r="600" ht="30.0" customHeight="1">
      <c r="AH600" s="5"/>
    </row>
    <row r="601" ht="30.0" customHeight="1">
      <c r="AH601" s="5"/>
    </row>
    <row r="602" ht="30.0" customHeight="1">
      <c r="AH602" s="5"/>
    </row>
    <row r="603" ht="30.0" customHeight="1">
      <c r="AH603" s="5"/>
    </row>
    <row r="604" ht="30.0" customHeight="1">
      <c r="AH604" s="5"/>
    </row>
    <row r="605" ht="30.0" customHeight="1">
      <c r="AH605" s="5"/>
    </row>
    <row r="606" ht="30.0" customHeight="1">
      <c r="AH606" s="5"/>
    </row>
    <row r="607" ht="30.0" customHeight="1">
      <c r="AH607" s="5"/>
    </row>
    <row r="608" ht="30.0" customHeight="1">
      <c r="AH608" s="5"/>
    </row>
    <row r="609" ht="30.0" customHeight="1">
      <c r="AH609" s="5"/>
    </row>
    <row r="610" ht="30.0" customHeight="1">
      <c r="AH610" s="5"/>
    </row>
    <row r="611" ht="30.0" customHeight="1">
      <c r="AH611" s="5"/>
    </row>
    <row r="612" ht="30.0" customHeight="1">
      <c r="AH612" s="5"/>
    </row>
    <row r="613" ht="30.0" customHeight="1">
      <c r="AH613" s="5"/>
    </row>
    <row r="614" ht="30.0" customHeight="1">
      <c r="AH614" s="5"/>
    </row>
    <row r="615" ht="30.0" customHeight="1">
      <c r="AH615" s="5"/>
    </row>
    <row r="616" ht="30.0" customHeight="1">
      <c r="AH616" s="5"/>
    </row>
    <row r="617" ht="30.0" customHeight="1">
      <c r="AH617" s="5"/>
    </row>
    <row r="618" ht="30.0" customHeight="1">
      <c r="AH618" s="5"/>
    </row>
    <row r="619" ht="30.0" customHeight="1">
      <c r="AH619" s="5"/>
    </row>
    <row r="620" ht="30.0" customHeight="1">
      <c r="AH620" s="5"/>
    </row>
    <row r="621" ht="30.0" customHeight="1">
      <c r="AH621" s="5"/>
    </row>
    <row r="622" ht="30.0" customHeight="1">
      <c r="AH622" s="5"/>
    </row>
    <row r="623" ht="30.0" customHeight="1">
      <c r="AH623" s="5"/>
    </row>
    <row r="624" ht="30.0" customHeight="1">
      <c r="AH624" s="5"/>
    </row>
    <row r="625" ht="30.0" customHeight="1">
      <c r="AH625" s="5"/>
    </row>
    <row r="626" ht="30.0" customHeight="1">
      <c r="AH626" s="5"/>
    </row>
    <row r="627" ht="30.0" customHeight="1">
      <c r="AH627" s="5"/>
    </row>
    <row r="628" ht="30.0" customHeight="1">
      <c r="AH628" s="5"/>
    </row>
    <row r="629" ht="30.0" customHeight="1">
      <c r="AH629" s="5"/>
    </row>
    <row r="630" ht="30.0" customHeight="1">
      <c r="AH630" s="5"/>
    </row>
    <row r="631" ht="30.0" customHeight="1">
      <c r="AH631" s="5"/>
    </row>
    <row r="632" ht="30.0" customHeight="1">
      <c r="AH632" s="5"/>
    </row>
    <row r="633" ht="30.0" customHeight="1">
      <c r="AH633" s="5"/>
    </row>
    <row r="634" ht="30.0" customHeight="1">
      <c r="AH634" s="5"/>
    </row>
    <row r="635" ht="30.0" customHeight="1">
      <c r="AH635" s="5"/>
    </row>
    <row r="636" ht="30.0" customHeight="1">
      <c r="AH636" s="5"/>
    </row>
    <row r="637" ht="30.0" customHeight="1">
      <c r="AH637" s="5"/>
    </row>
    <row r="638" ht="30.0" customHeight="1">
      <c r="AH638" s="5"/>
    </row>
    <row r="639" ht="30.0" customHeight="1">
      <c r="AH639" s="5"/>
    </row>
    <row r="640" ht="30.0" customHeight="1">
      <c r="AH640" s="5"/>
    </row>
    <row r="641" ht="30.0" customHeight="1">
      <c r="AH641" s="5"/>
    </row>
    <row r="642" ht="30.0" customHeight="1">
      <c r="AH642" s="5"/>
    </row>
    <row r="643" ht="30.0" customHeight="1">
      <c r="AH643" s="5"/>
    </row>
    <row r="644" ht="30.0" customHeight="1">
      <c r="AH644" s="5"/>
    </row>
    <row r="645" ht="30.0" customHeight="1">
      <c r="AH645" s="5"/>
    </row>
    <row r="646" ht="30.0" customHeight="1">
      <c r="AH646" s="5"/>
    </row>
    <row r="647" ht="30.0" customHeight="1">
      <c r="AH647" s="5"/>
    </row>
    <row r="648" ht="30.0" customHeight="1">
      <c r="AH648" s="5"/>
    </row>
    <row r="649" ht="30.0" customHeight="1">
      <c r="AH649" s="5"/>
    </row>
    <row r="650" ht="30.0" customHeight="1">
      <c r="AH650" s="5"/>
    </row>
    <row r="651" ht="30.0" customHeight="1">
      <c r="AH651" s="5"/>
    </row>
    <row r="652" ht="30.0" customHeight="1">
      <c r="AH652" s="5"/>
    </row>
    <row r="653" ht="30.0" customHeight="1">
      <c r="AH653" s="5"/>
    </row>
    <row r="654" ht="30.0" customHeight="1">
      <c r="AH654" s="5"/>
    </row>
    <row r="655" ht="30.0" customHeight="1">
      <c r="AH655" s="5"/>
    </row>
    <row r="656" ht="30.0" customHeight="1">
      <c r="AH656" s="5"/>
    </row>
    <row r="657" ht="30.0" customHeight="1">
      <c r="AH657" s="5"/>
    </row>
    <row r="658" ht="30.0" customHeight="1">
      <c r="AH658" s="5"/>
    </row>
    <row r="659" ht="30.0" customHeight="1">
      <c r="AH659" s="5"/>
    </row>
    <row r="660" ht="30.0" customHeight="1">
      <c r="AH660" s="5"/>
    </row>
    <row r="661" ht="30.0" customHeight="1">
      <c r="AH661" s="5"/>
    </row>
    <row r="662" ht="30.0" customHeight="1">
      <c r="AH662" s="5"/>
    </row>
    <row r="663" ht="30.0" customHeight="1">
      <c r="AH663" s="5"/>
    </row>
    <row r="664" ht="30.0" customHeight="1">
      <c r="AH664" s="5"/>
    </row>
    <row r="665" ht="30.0" customHeight="1">
      <c r="AH665" s="5"/>
    </row>
    <row r="666" ht="30.0" customHeight="1">
      <c r="AH666" s="5"/>
    </row>
    <row r="667" ht="30.0" customHeight="1">
      <c r="AH667" s="5"/>
    </row>
    <row r="668" ht="30.0" customHeight="1">
      <c r="AH668" s="5"/>
    </row>
    <row r="669" ht="30.0" customHeight="1">
      <c r="AH669" s="5"/>
    </row>
    <row r="670" ht="30.0" customHeight="1">
      <c r="AH670" s="5"/>
    </row>
    <row r="671" ht="30.0" customHeight="1">
      <c r="AH671" s="5"/>
    </row>
    <row r="672" ht="30.0" customHeight="1">
      <c r="AH672" s="5"/>
    </row>
    <row r="673" ht="30.0" customHeight="1">
      <c r="AH673" s="5"/>
    </row>
    <row r="674" ht="30.0" customHeight="1">
      <c r="AH674" s="5"/>
    </row>
    <row r="675" ht="30.0" customHeight="1">
      <c r="AH675" s="5"/>
    </row>
    <row r="676" ht="30.0" customHeight="1">
      <c r="AH676" s="5"/>
    </row>
    <row r="677" ht="30.0" customHeight="1">
      <c r="AH677" s="5"/>
    </row>
    <row r="678" ht="30.0" customHeight="1">
      <c r="AH678" s="5"/>
    </row>
    <row r="679" ht="30.0" customHeight="1">
      <c r="AH679" s="5"/>
    </row>
    <row r="680" ht="30.0" customHeight="1">
      <c r="AH680" s="5"/>
    </row>
    <row r="681" ht="30.0" customHeight="1">
      <c r="AH681" s="5"/>
    </row>
    <row r="682" ht="30.0" customHeight="1">
      <c r="AH682" s="5"/>
    </row>
    <row r="683" ht="30.0" customHeight="1">
      <c r="AH683" s="5"/>
    </row>
    <row r="684" ht="30.0" customHeight="1">
      <c r="AH684" s="5"/>
    </row>
    <row r="685" ht="30.0" customHeight="1">
      <c r="AH685" s="5"/>
    </row>
    <row r="686" ht="30.0" customHeight="1">
      <c r="AH686" s="5"/>
    </row>
    <row r="687" ht="30.0" customHeight="1">
      <c r="AH687" s="5"/>
    </row>
    <row r="688" ht="30.0" customHeight="1">
      <c r="AH688" s="5"/>
    </row>
    <row r="689" ht="30.0" customHeight="1">
      <c r="AH689" s="5"/>
    </row>
    <row r="690" ht="30.0" customHeight="1">
      <c r="AH690" s="5"/>
    </row>
    <row r="691" ht="30.0" customHeight="1">
      <c r="AH691" s="5"/>
    </row>
    <row r="692" ht="30.0" customHeight="1">
      <c r="AH692" s="5"/>
    </row>
    <row r="693" ht="30.0" customHeight="1">
      <c r="AH693" s="5"/>
    </row>
    <row r="694" ht="30.0" customHeight="1">
      <c r="AH694" s="5"/>
    </row>
    <row r="695" ht="30.0" customHeight="1">
      <c r="AH695" s="5"/>
    </row>
    <row r="696" ht="30.0" customHeight="1">
      <c r="AH696" s="5"/>
    </row>
    <row r="697" ht="30.0" customHeight="1">
      <c r="AH697" s="5"/>
    </row>
    <row r="698" ht="30.0" customHeight="1">
      <c r="AH698" s="5"/>
    </row>
    <row r="699" ht="30.0" customHeight="1">
      <c r="AH699" s="5"/>
    </row>
    <row r="700" ht="30.0" customHeight="1">
      <c r="AH700" s="5"/>
    </row>
    <row r="701" ht="30.0" customHeight="1">
      <c r="AH701" s="5"/>
    </row>
    <row r="702" ht="30.0" customHeight="1">
      <c r="AH702" s="5"/>
    </row>
    <row r="703" ht="30.0" customHeight="1">
      <c r="AH703" s="5"/>
    </row>
    <row r="704" ht="30.0" customHeight="1">
      <c r="AH704" s="5"/>
    </row>
    <row r="705" ht="30.0" customHeight="1">
      <c r="AH705" s="5"/>
    </row>
    <row r="706" ht="30.0" customHeight="1">
      <c r="AH706" s="5"/>
    </row>
    <row r="707" ht="30.0" customHeight="1">
      <c r="AH707" s="5"/>
    </row>
    <row r="708" ht="30.0" customHeight="1">
      <c r="AH708" s="5"/>
    </row>
    <row r="709" ht="30.0" customHeight="1">
      <c r="AH709" s="5"/>
    </row>
    <row r="710" ht="30.0" customHeight="1">
      <c r="AH710" s="5"/>
    </row>
    <row r="711" ht="30.0" customHeight="1">
      <c r="AH711" s="5"/>
    </row>
    <row r="712" ht="30.0" customHeight="1">
      <c r="AH712" s="5"/>
    </row>
    <row r="713" ht="30.0" customHeight="1">
      <c r="AH713" s="5"/>
    </row>
    <row r="714" ht="30.0" customHeight="1">
      <c r="AH714" s="5"/>
    </row>
    <row r="715" ht="30.0" customHeight="1">
      <c r="AH715" s="5"/>
    </row>
    <row r="716" ht="30.0" customHeight="1">
      <c r="AH716" s="5"/>
    </row>
    <row r="717" ht="30.0" customHeight="1">
      <c r="AH717" s="5"/>
    </row>
    <row r="718" ht="30.0" customHeight="1">
      <c r="AH718" s="5"/>
    </row>
    <row r="719" ht="30.0" customHeight="1">
      <c r="AH719" s="5"/>
    </row>
    <row r="720" ht="30.0" customHeight="1">
      <c r="AH720" s="5"/>
    </row>
    <row r="721" ht="30.0" customHeight="1">
      <c r="AH721" s="5"/>
    </row>
    <row r="722" ht="30.0" customHeight="1">
      <c r="AH722" s="5"/>
    </row>
    <row r="723" ht="30.0" customHeight="1">
      <c r="AH723" s="5"/>
    </row>
    <row r="724" ht="30.0" customHeight="1">
      <c r="AH724" s="5"/>
    </row>
    <row r="725" ht="30.0" customHeight="1">
      <c r="AH725" s="5"/>
    </row>
    <row r="726" ht="30.0" customHeight="1">
      <c r="AH726" s="5"/>
    </row>
    <row r="727" ht="30.0" customHeight="1">
      <c r="AH727" s="5"/>
    </row>
    <row r="728" ht="30.0" customHeight="1">
      <c r="AH728" s="5"/>
    </row>
    <row r="729" ht="30.0" customHeight="1">
      <c r="AH729" s="5"/>
    </row>
    <row r="730" ht="30.0" customHeight="1">
      <c r="AH730" s="5"/>
    </row>
    <row r="731" ht="30.0" customHeight="1">
      <c r="AH731" s="5"/>
    </row>
    <row r="732" ht="30.0" customHeight="1">
      <c r="AH732" s="5"/>
    </row>
    <row r="733" ht="30.0" customHeight="1">
      <c r="AH733" s="5"/>
    </row>
    <row r="734" ht="30.0" customHeight="1">
      <c r="AH734" s="5"/>
    </row>
    <row r="735" ht="30.0" customHeight="1">
      <c r="AH735" s="5"/>
    </row>
    <row r="736" ht="30.0" customHeight="1">
      <c r="AH736" s="5"/>
    </row>
    <row r="737" ht="30.0" customHeight="1">
      <c r="AH737" s="5"/>
    </row>
    <row r="738" ht="30.0" customHeight="1">
      <c r="AH738" s="5"/>
    </row>
    <row r="739" ht="30.0" customHeight="1">
      <c r="AH739" s="5"/>
    </row>
    <row r="740" ht="30.0" customHeight="1">
      <c r="AH740" s="5"/>
    </row>
    <row r="741" ht="30.0" customHeight="1">
      <c r="AH741" s="5"/>
    </row>
    <row r="742" ht="30.0" customHeight="1">
      <c r="AH742" s="5"/>
    </row>
    <row r="743" ht="30.0" customHeight="1">
      <c r="AH743" s="5"/>
    </row>
    <row r="744" ht="30.0" customHeight="1">
      <c r="AH744" s="5"/>
    </row>
    <row r="745" ht="30.0" customHeight="1">
      <c r="AH745" s="5"/>
    </row>
    <row r="746" ht="30.0" customHeight="1">
      <c r="AH746" s="5"/>
    </row>
    <row r="747" ht="30.0" customHeight="1">
      <c r="AH747" s="5"/>
    </row>
    <row r="748" ht="30.0" customHeight="1">
      <c r="AH748" s="5"/>
    </row>
    <row r="749" ht="30.0" customHeight="1">
      <c r="AH749" s="5"/>
    </row>
    <row r="750" ht="30.0" customHeight="1">
      <c r="AH750" s="5"/>
    </row>
    <row r="751" ht="30.0" customHeight="1">
      <c r="AH751" s="5"/>
    </row>
    <row r="752" ht="30.0" customHeight="1">
      <c r="AH752" s="5"/>
    </row>
    <row r="753" ht="30.0" customHeight="1">
      <c r="AH753" s="5"/>
    </row>
    <row r="754" ht="30.0" customHeight="1">
      <c r="AH754" s="5"/>
    </row>
    <row r="755" ht="30.0" customHeight="1">
      <c r="AH755" s="5"/>
    </row>
    <row r="756" ht="30.0" customHeight="1">
      <c r="AH756" s="5"/>
    </row>
    <row r="757" ht="30.0" customHeight="1">
      <c r="AH757" s="5"/>
    </row>
    <row r="758" ht="30.0" customHeight="1">
      <c r="AH758" s="5"/>
    </row>
    <row r="759" ht="30.0" customHeight="1">
      <c r="AH759" s="5"/>
    </row>
    <row r="760" ht="30.0" customHeight="1">
      <c r="AH760" s="5"/>
    </row>
    <row r="761" ht="30.0" customHeight="1">
      <c r="AH761" s="5"/>
    </row>
    <row r="762" ht="30.0" customHeight="1">
      <c r="AH762" s="5"/>
    </row>
    <row r="763" ht="30.0" customHeight="1">
      <c r="AH763" s="5"/>
    </row>
    <row r="764" ht="30.0" customHeight="1">
      <c r="AH764" s="5"/>
    </row>
    <row r="765" ht="30.0" customHeight="1">
      <c r="AH765" s="5"/>
    </row>
    <row r="766" ht="30.0" customHeight="1">
      <c r="AH766" s="5"/>
    </row>
    <row r="767" ht="30.0" customHeight="1">
      <c r="AH767" s="5"/>
    </row>
    <row r="768" ht="30.0" customHeight="1">
      <c r="AH768" s="5"/>
    </row>
    <row r="769" ht="30.0" customHeight="1">
      <c r="AH769" s="5"/>
    </row>
    <row r="770" ht="30.0" customHeight="1">
      <c r="AH770" s="5"/>
    </row>
    <row r="771" ht="30.0" customHeight="1">
      <c r="AH771" s="5"/>
    </row>
    <row r="772" ht="30.0" customHeight="1">
      <c r="AH772" s="5"/>
    </row>
    <row r="773" ht="30.0" customHeight="1">
      <c r="AH773" s="5"/>
    </row>
    <row r="774" ht="30.0" customHeight="1">
      <c r="AH774" s="5"/>
    </row>
    <row r="775" ht="30.0" customHeight="1">
      <c r="AH775" s="5"/>
    </row>
    <row r="776" ht="30.0" customHeight="1">
      <c r="AH776" s="5"/>
    </row>
    <row r="777" ht="30.0" customHeight="1">
      <c r="AH777" s="5"/>
    </row>
    <row r="778" ht="30.0" customHeight="1">
      <c r="AH778" s="5"/>
    </row>
    <row r="779" ht="30.0" customHeight="1">
      <c r="AH779" s="5"/>
    </row>
    <row r="780" ht="30.0" customHeight="1">
      <c r="AH780" s="5"/>
    </row>
    <row r="781" ht="30.0" customHeight="1">
      <c r="AH781" s="5"/>
    </row>
    <row r="782" ht="30.0" customHeight="1">
      <c r="AH782" s="5"/>
    </row>
    <row r="783" ht="30.0" customHeight="1">
      <c r="AH783" s="5"/>
    </row>
    <row r="784" ht="30.0" customHeight="1">
      <c r="AH784" s="5"/>
    </row>
    <row r="785" ht="30.0" customHeight="1">
      <c r="AH785" s="5"/>
    </row>
    <row r="786" ht="30.0" customHeight="1">
      <c r="AH786" s="5"/>
    </row>
    <row r="787" ht="30.0" customHeight="1">
      <c r="AH787" s="5"/>
    </row>
    <row r="788" ht="30.0" customHeight="1">
      <c r="AH788" s="5"/>
    </row>
    <row r="789" ht="30.0" customHeight="1">
      <c r="AH789" s="5"/>
    </row>
    <row r="790" ht="30.0" customHeight="1">
      <c r="AH790" s="5"/>
    </row>
    <row r="791" ht="30.0" customHeight="1">
      <c r="AH791" s="5"/>
    </row>
    <row r="792" ht="30.0" customHeight="1">
      <c r="AH792" s="5"/>
    </row>
    <row r="793" ht="30.0" customHeight="1">
      <c r="AH793" s="5"/>
    </row>
    <row r="794" ht="30.0" customHeight="1">
      <c r="AH794" s="5"/>
    </row>
    <row r="795" ht="30.0" customHeight="1">
      <c r="AH795" s="5"/>
    </row>
    <row r="796" ht="30.0" customHeight="1">
      <c r="AH796" s="5"/>
    </row>
    <row r="797" ht="30.0" customHeight="1">
      <c r="AH797" s="5"/>
    </row>
    <row r="798" ht="30.0" customHeight="1">
      <c r="AH798" s="5"/>
    </row>
    <row r="799" ht="30.0" customHeight="1">
      <c r="AH799" s="5"/>
    </row>
    <row r="800" ht="30.0" customHeight="1">
      <c r="AH800" s="5"/>
    </row>
    <row r="801" ht="30.0" customHeight="1">
      <c r="AH801" s="5"/>
    </row>
    <row r="802" ht="30.0" customHeight="1">
      <c r="AH802" s="5"/>
    </row>
    <row r="803" ht="30.0" customHeight="1">
      <c r="AH803" s="5"/>
    </row>
    <row r="804" ht="30.0" customHeight="1">
      <c r="AH804" s="5"/>
    </row>
    <row r="805" ht="30.0" customHeight="1">
      <c r="AH805" s="5"/>
    </row>
    <row r="806" ht="30.0" customHeight="1">
      <c r="AH806" s="5"/>
    </row>
    <row r="807" ht="30.0" customHeight="1">
      <c r="AH807" s="5"/>
    </row>
    <row r="808" ht="30.0" customHeight="1">
      <c r="AH808" s="5"/>
    </row>
    <row r="809" ht="30.0" customHeight="1">
      <c r="AH809" s="5"/>
    </row>
    <row r="810" ht="30.0" customHeight="1">
      <c r="AH810" s="5"/>
    </row>
    <row r="811" ht="30.0" customHeight="1">
      <c r="AH811" s="5"/>
    </row>
    <row r="812" ht="30.0" customHeight="1">
      <c r="AH812" s="5"/>
    </row>
    <row r="813" ht="30.0" customHeight="1">
      <c r="AH813" s="5"/>
    </row>
    <row r="814" ht="30.0" customHeight="1">
      <c r="AH814" s="5"/>
    </row>
    <row r="815" ht="30.0" customHeight="1">
      <c r="AH815" s="5"/>
    </row>
    <row r="816" ht="30.0" customHeight="1">
      <c r="AH816" s="5"/>
    </row>
    <row r="817" ht="30.0" customHeight="1">
      <c r="AH817" s="5"/>
    </row>
    <row r="818" ht="30.0" customHeight="1">
      <c r="AH818" s="5"/>
    </row>
    <row r="819" ht="30.0" customHeight="1">
      <c r="AH819" s="5"/>
    </row>
    <row r="820" ht="30.0" customHeight="1">
      <c r="AH820" s="5"/>
    </row>
    <row r="821" ht="30.0" customHeight="1">
      <c r="AH821" s="5"/>
    </row>
    <row r="822" ht="30.0" customHeight="1">
      <c r="AH822" s="5"/>
    </row>
    <row r="823" ht="30.0" customHeight="1">
      <c r="AH823" s="5"/>
    </row>
    <row r="824" ht="30.0" customHeight="1">
      <c r="AH824" s="5"/>
    </row>
    <row r="825" ht="30.0" customHeight="1">
      <c r="AH825" s="5"/>
    </row>
    <row r="826" ht="30.0" customHeight="1">
      <c r="AH826" s="5"/>
    </row>
    <row r="827" ht="30.0" customHeight="1">
      <c r="AH827" s="5"/>
    </row>
    <row r="828" ht="30.0" customHeight="1">
      <c r="AH828" s="5"/>
    </row>
    <row r="829" ht="30.0" customHeight="1">
      <c r="AH829" s="5"/>
    </row>
    <row r="830" ht="30.0" customHeight="1">
      <c r="AH830" s="5"/>
    </row>
    <row r="831" ht="30.0" customHeight="1">
      <c r="AH831" s="5"/>
    </row>
    <row r="832" ht="30.0" customHeight="1">
      <c r="AH832" s="5"/>
    </row>
    <row r="833" ht="30.0" customHeight="1">
      <c r="AH833" s="5"/>
    </row>
    <row r="834" ht="30.0" customHeight="1">
      <c r="AH834" s="5"/>
    </row>
    <row r="835" ht="30.0" customHeight="1">
      <c r="AH835" s="5"/>
    </row>
    <row r="836" ht="30.0" customHeight="1">
      <c r="AH836" s="5"/>
    </row>
    <row r="837" ht="30.0" customHeight="1">
      <c r="AH837" s="5"/>
    </row>
    <row r="838" ht="30.0" customHeight="1">
      <c r="AH838" s="5"/>
    </row>
    <row r="839" ht="30.0" customHeight="1">
      <c r="AH839" s="5"/>
    </row>
    <row r="840" ht="30.0" customHeight="1">
      <c r="AH840" s="5"/>
    </row>
    <row r="841" ht="30.0" customHeight="1">
      <c r="AH841" s="5"/>
    </row>
    <row r="842" ht="30.0" customHeight="1">
      <c r="AH842" s="5"/>
    </row>
    <row r="843" ht="30.0" customHeight="1">
      <c r="AH843" s="5"/>
    </row>
    <row r="844" ht="30.0" customHeight="1">
      <c r="AH844" s="5"/>
    </row>
    <row r="845" ht="30.0" customHeight="1">
      <c r="AH845" s="5"/>
    </row>
    <row r="846" ht="30.0" customHeight="1">
      <c r="AH846" s="5"/>
    </row>
    <row r="847" ht="30.0" customHeight="1">
      <c r="AH847" s="5"/>
    </row>
    <row r="848" ht="30.0" customHeight="1">
      <c r="AH848" s="5"/>
    </row>
    <row r="849" ht="30.0" customHeight="1">
      <c r="AH849" s="5"/>
    </row>
    <row r="850" ht="30.0" customHeight="1">
      <c r="AH850" s="5"/>
    </row>
    <row r="851" ht="30.0" customHeight="1">
      <c r="AH851" s="5"/>
    </row>
    <row r="852" ht="30.0" customHeight="1">
      <c r="AH852" s="5"/>
    </row>
    <row r="853" ht="30.0" customHeight="1">
      <c r="AH853" s="5"/>
    </row>
    <row r="854" ht="30.0" customHeight="1">
      <c r="AH854" s="5"/>
    </row>
    <row r="855" ht="30.0" customHeight="1">
      <c r="AH855" s="5"/>
    </row>
    <row r="856" ht="30.0" customHeight="1">
      <c r="AH856" s="5"/>
    </row>
    <row r="857" ht="30.0" customHeight="1">
      <c r="AH857" s="5"/>
    </row>
    <row r="858" ht="30.0" customHeight="1">
      <c r="AH858" s="5"/>
    </row>
    <row r="859" ht="30.0" customHeight="1">
      <c r="AH859" s="5"/>
    </row>
    <row r="860" ht="30.0" customHeight="1">
      <c r="AH860" s="5"/>
    </row>
    <row r="861" ht="30.0" customHeight="1">
      <c r="AH861" s="5"/>
    </row>
    <row r="862" ht="30.0" customHeight="1">
      <c r="AH862" s="5"/>
    </row>
    <row r="863" ht="30.0" customHeight="1">
      <c r="AH863" s="5"/>
    </row>
    <row r="864" ht="30.0" customHeight="1">
      <c r="AH864" s="5"/>
    </row>
    <row r="865" ht="30.0" customHeight="1">
      <c r="AH865" s="5"/>
    </row>
    <row r="866" ht="30.0" customHeight="1">
      <c r="AH866" s="5"/>
    </row>
    <row r="867" ht="30.0" customHeight="1">
      <c r="AH867" s="5"/>
    </row>
    <row r="868" ht="30.0" customHeight="1">
      <c r="AH868" s="5"/>
    </row>
    <row r="869" ht="30.0" customHeight="1">
      <c r="AH869" s="5"/>
    </row>
    <row r="870" ht="30.0" customHeight="1">
      <c r="AH870" s="5"/>
    </row>
    <row r="871" ht="30.0" customHeight="1">
      <c r="AH871" s="5"/>
    </row>
    <row r="872" ht="30.0" customHeight="1">
      <c r="AH872" s="5"/>
    </row>
    <row r="873" ht="30.0" customHeight="1">
      <c r="AH873" s="5"/>
    </row>
    <row r="874" ht="30.0" customHeight="1">
      <c r="AH874" s="5"/>
    </row>
    <row r="875" ht="30.0" customHeight="1">
      <c r="AH875" s="5"/>
    </row>
    <row r="876" ht="30.0" customHeight="1">
      <c r="AH876" s="5"/>
    </row>
    <row r="877" ht="30.0" customHeight="1">
      <c r="AH877" s="5"/>
    </row>
    <row r="878" ht="30.0" customHeight="1">
      <c r="AH878" s="5"/>
    </row>
    <row r="879" ht="30.0" customHeight="1">
      <c r="AH879" s="5"/>
    </row>
    <row r="880" ht="30.0" customHeight="1">
      <c r="AH880" s="5"/>
    </row>
    <row r="881" ht="30.0" customHeight="1">
      <c r="AH881" s="5"/>
    </row>
    <row r="882" ht="30.0" customHeight="1">
      <c r="AH882" s="5"/>
    </row>
    <row r="883" ht="30.0" customHeight="1">
      <c r="AH883" s="5"/>
    </row>
    <row r="884" ht="30.0" customHeight="1">
      <c r="AH884" s="5"/>
    </row>
    <row r="885" ht="30.0" customHeight="1">
      <c r="AH885" s="5"/>
    </row>
    <row r="886" ht="30.0" customHeight="1">
      <c r="AH886" s="5"/>
    </row>
    <row r="887" ht="30.0" customHeight="1">
      <c r="AH887" s="5"/>
    </row>
    <row r="888" ht="30.0" customHeight="1">
      <c r="AH888" s="5"/>
    </row>
    <row r="889" ht="30.0" customHeight="1">
      <c r="AH889" s="5"/>
    </row>
    <row r="890" ht="30.0" customHeight="1">
      <c r="AH890" s="5"/>
    </row>
    <row r="891" ht="30.0" customHeight="1">
      <c r="AH891" s="5"/>
    </row>
    <row r="892" ht="30.0" customHeight="1">
      <c r="AH892" s="5"/>
    </row>
    <row r="893" ht="30.0" customHeight="1">
      <c r="AH893" s="5"/>
    </row>
    <row r="894" ht="30.0" customHeight="1">
      <c r="AH894" s="5"/>
    </row>
    <row r="895" ht="30.0" customHeight="1">
      <c r="AH895" s="5"/>
    </row>
    <row r="896" ht="30.0" customHeight="1">
      <c r="AH896" s="5"/>
    </row>
    <row r="897" ht="30.0" customHeight="1">
      <c r="AH897" s="5"/>
    </row>
    <row r="898" ht="30.0" customHeight="1">
      <c r="AH898" s="5"/>
    </row>
    <row r="899" ht="30.0" customHeight="1">
      <c r="AH899" s="5"/>
    </row>
    <row r="900" ht="30.0" customHeight="1">
      <c r="AH900" s="5"/>
    </row>
    <row r="901" ht="30.0" customHeight="1">
      <c r="AH901" s="5"/>
    </row>
    <row r="902" ht="30.0" customHeight="1">
      <c r="AH902" s="5"/>
    </row>
    <row r="903" ht="30.0" customHeight="1">
      <c r="AH903" s="5"/>
    </row>
    <row r="904" ht="30.0" customHeight="1">
      <c r="AH904" s="5"/>
    </row>
    <row r="905" ht="30.0" customHeight="1">
      <c r="AH905" s="5"/>
    </row>
    <row r="906" ht="30.0" customHeight="1">
      <c r="AH906" s="5"/>
    </row>
    <row r="907" ht="30.0" customHeight="1">
      <c r="AH907" s="5"/>
    </row>
    <row r="908" ht="30.0" customHeight="1">
      <c r="AH908" s="5"/>
    </row>
    <row r="909" ht="30.0" customHeight="1">
      <c r="AH909" s="5"/>
    </row>
    <row r="910" ht="30.0" customHeight="1">
      <c r="AH910" s="5"/>
    </row>
    <row r="911" ht="30.0" customHeight="1">
      <c r="AH911" s="5"/>
    </row>
    <row r="912" ht="30.0" customHeight="1">
      <c r="AH912" s="5"/>
    </row>
    <row r="913" ht="30.0" customHeight="1">
      <c r="AH913" s="5"/>
    </row>
    <row r="914" ht="30.0" customHeight="1">
      <c r="AH914" s="5"/>
    </row>
    <row r="915" ht="30.0" customHeight="1">
      <c r="AH915" s="5"/>
    </row>
    <row r="916" ht="30.0" customHeight="1">
      <c r="AH916" s="5"/>
    </row>
    <row r="917" ht="30.0" customHeight="1">
      <c r="AH917" s="5"/>
    </row>
    <row r="918" ht="30.0" customHeight="1">
      <c r="AH918" s="5"/>
    </row>
    <row r="919" ht="30.0" customHeight="1">
      <c r="AH919" s="5"/>
    </row>
    <row r="920" ht="30.0" customHeight="1">
      <c r="AH920" s="5"/>
    </row>
    <row r="921" ht="30.0" customHeight="1">
      <c r="AH921" s="5"/>
    </row>
    <row r="922" ht="30.0" customHeight="1">
      <c r="AH922" s="5"/>
    </row>
    <row r="923" ht="30.0" customHeight="1">
      <c r="AH923" s="5"/>
    </row>
    <row r="924" ht="30.0" customHeight="1">
      <c r="AH924" s="5"/>
    </row>
    <row r="925" ht="30.0" customHeight="1">
      <c r="AH925" s="5"/>
    </row>
    <row r="926" ht="30.0" customHeight="1">
      <c r="AH926" s="5"/>
    </row>
    <row r="927" ht="30.0" customHeight="1">
      <c r="AH927" s="5"/>
    </row>
    <row r="928" ht="30.0" customHeight="1">
      <c r="AH928" s="5"/>
    </row>
    <row r="929" ht="30.0" customHeight="1">
      <c r="AH929" s="5"/>
    </row>
    <row r="930" ht="30.0" customHeight="1">
      <c r="AH930" s="5"/>
    </row>
    <row r="931" ht="30.0" customHeight="1">
      <c r="AH931" s="5"/>
    </row>
    <row r="932" ht="30.0" customHeight="1">
      <c r="AH932" s="5"/>
    </row>
    <row r="933" ht="30.0" customHeight="1">
      <c r="AH933" s="5"/>
    </row>
    <row r="934" ht="30.0" customHeight="1">
      <c r="AH934" s="5"/>
    </row>
    <row r="935" ht="30.0" customHeight="1">
      <c r="AH935" s="5"/>
    </row>
    <row r="936" ht="30.0" customHeight="1">
      <c r="AH936" s="5"/>
    </row>
    <row r="937" ht="30.0" customHeight="1">
      <c r="AH937" s="5"/>
    </row>
    <row r="938" ht="30.0" customHeight="1">
      <c r="AH938" s="5"/>
    </row>
    <row r="939" ht="30.0" customHeight="1">
      <c r="AH939" s="5"/>
    </row>
    <row r="940" ht="30.0" customHeight="1">
      <c r="AH940" s="5"/>
    </row>
    <row r="941" ht="30.0" customHeight="1">
      <c r="AH941" s="5"/>
    </row>
    <row r="942" ht="30.0" customHeight="1">
      <c r="AH942" s="5"/>
    </row>
    <row r="943" ht="30.0" customHeight="1">
      <c r="AH943" s="5"/>
    </row>
    <row r="944" ht="30.0" customHeight="1">
      <c r="AH944" s="5"/>
    </row>
    <row r="945" ht="30.0" customHeight="1">
      <c r="AH945" s="5"/>
    </row>
    <row r="946" ht="30.0" customHeight="1">
      <c r="AH946" s="5"/>
    </row>
    <row r="947" ht="30.0" customHeight="1">
      <c r="AH947" s="5"/>
    </row>
    <row r="948" ht="30.0" customHeight="1">
      <c r="AH948" s="5"/>
    </row>
    <row r="949" ht="30.0" customHeight="1">
      <c r="AH949" s="5"/>
    </row>
    <row r="950" ht="30.0" customHeight="1">
      <c r="AH950" s="5"/>
    </row>
    <row r="951" ht="30.0" customHeight="1">
      <c r="AH951" s="5"/>
    </row>
    <row r="952" ht="30.0" customHeight="1">
      <c r="AH952" s="5"/>
    </row>
    <row r="953" ht="30.0" customHeight="1">
      <c r="AH953" s="5"/>
    </row>
    <row r="954" ht="30.0" customHeight="1">
      <c r="AH954" s="5"/>
    </row>
    <row r="955" ht="30.0" customHeight="1">
      <c r="AH955" s="5"/>
    </row>
    <row r="956" ht="30.0" customHeight="1">
      <c r="AH956" s="5"/>
    </row>
    <row r="957" ht="30.0" customHeight="1">
      <c r="AH957" s="5"/>
    </row>
    <row r="958" ht="30.0" customHeight="1">
      <c r="AH958" s="5"/>
    </row>
    <row r="959" ht="30.0" customHeight="1">
      <c r="AH959" s="5"/>
    </row>
    <row r="960" ht="30.0" customHeight="1">
      <c r="AH960" s="5"/>
    </row>
    <row r="961" ht="30.0" customHeight="1">
      <c r="AH961" s="5"/>
    </row>
    <row r="962" ht="30.0" customHeight="1">
      <c r="AH962" s="5"/>
    </row>
    <row r="963" ht="30.0" customHeight="1">
      <c r="AH963" s="5"/>
    </row>
    <row r="964" ht="30.0" customHeight="1">
      <c r="AH964" s="5"/>
    </row>
    <row r="965" ht="30.0" customHeight="1">
      <c r="AH965" s="5"/>
    </row>
    <row r="966" ht="30.0" customHeight="1">
      <c r="AH966" s="5"/>
    </row>
    <row r="967" ht="30.0" customHeight="1">
      <c r="AH967" s="5"/>
    </row>
    <row r="968" ht="30.0" customHeight="1">
      <c r="AH968" s="5"/>
    </row>
    <row r="969" ht="30.0" customHeight="1">
      <c r="AH969" s="5"/>
    </row>
    <row r="970" ht="30.0" customHeight="1">
      <c r="AH970" s="5"/>
    </row>
    <row r="971" ht="30.0" customHeight="1">
      <c r="AH971" s="5"/>
    </row>
    <row r="972" ht="30.0" customHeight="1">
      <c r="AH972" s="5"/>
    </row>
    <row r="973" ht="30.0" customHeight="1">
      <c r="AH973" s="5"/>
    </row>
    <row r="974" ht="30.0" customHeight="1">
      <c r="AH974" s="5"/>
    </row>
    <row r="975" ht="30.0" customHeight="1">
      <c r="AH975" s="5"/>
    </row>
    <row r="976" ht="30.0" customHeight="1">
      <c r="AH976" s="5"/>
    </row>
    <row r="977" ht="30.0" customHeight="1">
      <c r="AH977" s="5"/>
    </row>
    <row r="978" ht="30.0" customHeight="1">
      <c r="AH978" s="5"/>
    </row>
    <row r="979" ht="30.0" customHeight="1">
      <c r="AH979" s="5"/>
    </row>
    <row r="980" ht="30.0" customHeight="1">
      <c r="AH980" s="5"/>
    </row>
    <row r="981" ht="30.0" customHeight="1">
      <c r="AH981" s="5"/>
    </row>
    <row r="982" ht="30.0" customHeight="1">
      <c r="AH982" s="5"/>
    </row>
    <row r="983" ht="30.0" customHeight="1">
      <c r="AH983" s="5"/>
    </row>
    <row r="984" ht="30.0" customHeight="1">
      <c r="AH984" s="5"/>
    </row>
    <row r="985" ht="30.0" customHeight="1">
      <c r="AH985" s="5"/>
    </row>
    <row r="986" ht="30.0" customHeight="1">
      <c r="AH986" s="5"/>
    </row>
    <row r="987" ht="30.0" customHeight="1">
      <c r="AH987" s="5"/>
    </row>
    <row r="988" ht="30.0" customHeight="1">
      <c r="AH988" s="5"/>
    </row>
    <row r="989" ht="30.0" customHeight="1">
      <c r="AH989" s="5"/>
    </row>
    <row r="990" ht="30.0" customHeight="1">
      <c r="AH990" s="5"/>
    </row>
    <row r="991" ht="30.0" customHeight="1">
      <c r="AH991" s="5"/>
    </row>
    <row r="992" ht="30.0" customHeight="1">
      <c r="AH992" s="5"/>
    </row>
    <row r="993" ht="30.0" customHeight="1">
      <c r="AH993" s="5"/>
    </row>
    <row r="994" ht="30.0" customHeight="1">
      <c r="AH994" s="5"/>
    </row>
    <row r="995" ht="30.0" customHeight="1">
      <c r="AH995" s="5"/>
    </row>
    <row r="996" ht="30.0" customHeight="1">
      <c r="AH996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38:AG138"/>
    <mergeCell ref="C148:AG148"/>
    <mergeCell ref="C11:AG11"/>
    <mergeCell ref="C25:AG25"/>
    <mergeCell ref="C45:AG45"/>
    <mergeCell ref="C77:AG77"/>
    <mergeCell ref="C103:AG103"/>
    <mergeCell ref="C118:AG118"/>
    <mergeCell ref="C128:AG128"/>
  </mergeCells>
  <conditionalFormatting sqref="C7:AB8 AF7:AG8 AC8:AE8 G14:H14 K14 M14:N14 Q14:R14 T14 AB14:AC14 AF14 F17 H18 N18 T19:U19 Z19:AA19 N21 Q21 X21:Y21 H28 O28 G29 J29 N29 S29:S30 U29:U30 X29:X30 Z29:Z30 Q30 F32:G42 H32 J32:K32 N33:N42 Z33 H34:H42 O34:O42 F49 G49:G52 N49:N52 Q49:Q51 R49 T49 U49:U52 AA49 J50:J52 S50:S51 X50:X52 Z50:Z52 H80:H81 O80:O81 H106:H107 O106:O107 H121:H122 O121:O122">
    <cfRule type="expression" dxfId="5" priority="1" stopIfTrue="1">
      <formula>C7=""</formula>
    </cfRule>
  </conditionalFormatting>
  <conditionalFormatting sqref="R7:R8 T7:T8 K8 N8 C14:H21 J14:J21 K14 L14:L21 M14:M16 N14:Q21 R14:R16 S14:S21 T14:T16 U14:V21 X14:X21 Y14:Y15 Z14:Z21 AB14:AC21 AD14:AD15 AE14:AG21 I15:I17 AA15:AA21 K16 K18:K21 M18:M21 R18:R21 T18:T21 AD18:AD20 Y19:Y21 I20:I21 W20:W21 H28 O28 G29 J29 N29 S29:S30 AE29 AG29:AG30 Q30 F32:F42 G32:G33 H32 J32:K32 AG32:AG33 N33:N42 H34:H42 O34:O42 F49 G49:G52 N49:N52 Q49:Q51 R49 T49 AE49:AE51 AF49 J50:J52 S50:S51 AG50:AG52 O80:O81 O106:O107 O121:O122">
    <cfRule type="expression" dxfId="5" priority="2" stopIfTrue="1">
      <formula>#REF!=""</formula>
    </cfRule>
  </conditionalFormatting>
  <conditionalFormatting sqref="C28:H42 J28:J42 K28 L28:L33 M28:U42 W28 X28:X35 Y28 AA28:AB42 AD28 AE28:AE29 AF28:AF42 V29:V42 Z29:Z42 AC29:AC33 AG29:AG39 K30 Y30:Y31 AD30:AD31 W31 AE31:AE34 K32 I34:I42 K34:K37 Y34:Y37 W35:W36 AC35:AC42 AD35 AE36:AE42 L37:L39 X37:X42 AD37:AD42 W38:W42 K40:K42 Y40:Y42 L41:L42 AG41:AG42 U49:U52 AA49 J50:J52 X50:X52 Z50:Z52 AF88">
    <cfRule type="expression" dxfId="5" priority="3" stopIfTrue="1">
      <formula>C28=""</formula>
    </cfRule>
  </conditionalFormatting>
  <conditionalFormatting sqref="C48:H74 J48:J74 L48:L52 M48:W74 X48:X68 Y48 Z48:AB74 AC48:AC58 AE48:AE57 AF48:AF74 AG48:AG70 AD49:AD50 K51 AD53 K54 L54:L55 Y54 K56:K58 Y56:Y62 AD56:AD58 L57:L60 AE59 K60:K74 AC60:AC62 AD60 AE61:AE68 L62 AD62:AD64 AC64:AC74 Y66:Y74 AD66:AD68 X70 AD70:AD74 AE70 AG74 L80 X84 C88:H88 J88 L88:X88 Z88:AG88 X90 X94 L107 X107 X112:X113 X115 L121:L122 X131:X132 X135">
    <cfRule type="expression" dxfId="5" priority="4" stopIfTrue="1">
      <formula>#REF!=""</formula>
    </cfRule>
  </conditionalFormatting>
  <conditionalFormatting sqref="K7 C80:H100 J80:J100 L80 M80:M90 N80:X100 Z80:AB100 AC80:AC83 AE80:AE83 AF80:AF85 AG80:AG83 K81 Y81:Y83 L82:L89 K83 K85 Y85 AD85:AD86 AE85:AE100 AC86:AC89 AG86:AG89 I87:I100 K87 Y87 AF87:AF100 AD88 K89:K100 Y89:Y100 AD90:AD100 AC91:AC100 AG91:AG100 C106:H115 M106:M113 N106:W115 X106:X109 Z106:AB115 AC106 AE106:AE115 AF106:AG107 J107:J111 K107:L107 Y108 AC108:AC112 AD108 L109:L111 AF109 AD110:AD115 AG110:AG112 X111:X115 AF111:AF115 K112 Y112:Y115 AG114:AG115 AC115 C121:H125 J121:J125 L121:L125 N121:X125 Z121:AC125 AE121:AG125 K122 M122:M124 I125 K125 Y125 AD125 Z131 AA132 Z135">
    <cfRule type="expression" dxfId="5" priority="5" stopIfTrue="1">
      <formula>#REF!=""</formula>
    </cfRule>
  </conditionalFormatting>
  <dataValidations>
    <dataValidation type="list" allowBlank="1" showErrorMessage="1" sqref="B7:B8 B14:B21 B28:B42 B48:B74 B82:B100 B108:B115 B123:B125 B133:B135 B143:B145 B153:B155">
      <formula1>'Nombres de los alumnos '!$B$4:$B$1019</formula1>
    </dataValidation>
    <dataValidation type="list" allowBlank="1" showErrorMessage="1" sqref="B80:B81 B106:B107 B121:B122 B131:B132 B141:B142 B151:B152">
      <formula1>'Nombres de los alumnos '!$B$4:$B$131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4B2A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71" t="s">
        <v>154</v>
      </c>
    </row>
    <row r="2" ht="15.0" customHeight="1">
      <c r="B2" s="72" t="s">
        <v>155</v>
      </c>
      <c r="C2" s="73" t="s">
        <v>2</v>
      </c>
      <c r="D2" s="74" t="s">
        <v>3</v>
      </c>
      <c r="E2" s="75"/>
      <c r="F2" s="75"/>
      <c r="G2" s="76" t="s">
        <v>4</v>
      </c>
      <c r="H2" s="74" t="s">
        <v>156</v>
      </c>
      <c r="I2" s="75"/>
      <c r="J2" s="75"/>
      <c r="K2" s="77" t="s">
        <v>157</v>
      </c>
      <c r="L2" s="74" t="s">
        <v>158</v>
      </c>
      <c r="M2" s="75"/>
      <c r="N2" s="75"/>
      <c r="O2" s="78" t="s">
        <v>8</v>
      </c>
      <c r="P2" s="74" t="s">
        <v>159</v>
      </c>
      <c r="Q2" s="75"/>
      <c r="R2" s="75"/>
      <c r="S2" s="75"/>
      <c r="T2" s="79" t="s">
        <v>160</v>
      </c>
      <c r="U2" s="74" t="s">
        <v>11</v>
      </c>
      <c r="V2" s="75"/>
      <c r="W2" s="75"/>
      <c r="X2" s="75"/>
    </row>
    <row r="3" ht="15.0" customHeight="1"/>
    <row r="4" ht="30.0" customHeight="1">
      <c r="B4" s="32" t="s">
        <v>161</v>
      </c>
      <c r="C4" s="80" t="s">
        <v>13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38">
        <v>2025.0</v>
      </c>
    </row>
    <row r="5" ht="15.0" customHeight="1">
      <c r="B5" s="32"/>
      <c r="C5" s="16" t="str">
        <f>TEXT(WEEKDAY(DATE(CalendarioAño,2,1),1),"ddd")</f>
        <v>sáb</v>
      </c>
      <c r="D5" s="16" t="str">
        <f>TEXT(WEEKDAY(DATE(CalendarioAño,2,2),1),"ddd")</f>
        <v>dom</v>
      </c>
      <c r="E5" s="16" t="str">
        <f>TEXT(WEEKDAY(DATE(CalendarioAño,2,3),1),"ddd")</f>
        <v>lun</v>
      </c>
      <c r="F5" s="16" t="str">
        <f>TEXT(WEEKDAY(DATE(CalendarioAño,2,4),1),"ddd")</f>
        <v>mar</v>
      </c>
      <c r="G5" s="16" t="str">
        <f>TEXT(WEEKDAY(DATE(CalendarioAño,2,5),1),"ddd")</f>
        <v>mié</v>
      </c>
      <c r="H5" s="16" t="str">
        <f>TEXT(WEEKDAY(DATE(CalendarioAño,2,6),1),"ddd")</f>
        <v>jue</v>
      </c>
      <c r="I5" s="16" t="str">
        <f>TEXT(WEEKDAY(DATE(CalendarioAño,2,7),1),"ddd")</f>
        <v>vie</v>
      </c>
      <c r="J5" s="16" t="str">
        <f>TEXT(WEEKDAY(DATE(CalendarioAño,2,8),1),"ddd")</f>
        <v>sáb</v>
      </c>
      <c r="K5" s="16" t="str">
        <f>TEXT(WEEKDAY(DATE(CalendarioAño,2,9),1),"ddd")</f>
        <v>dom</v>
      </c>
      <c r="L5" s="16" t="str">
        <f>TEXT(WEEKDAY(DATE(CalendarioAño,2,10),1),"ddd")</f>
        <v>lun</v>
      </c>
      <c r="M5" s="16" t="str">
        <f>TEXT(WEEKDAY(DATE(CalendarioAño,2,11),1),"ddd")</f>
        <v>mar</v>
      </c>
      <c r="N5" s="16" t="str">
        <f>TEXT(WEEKDAY(DATE(CalendarioAño,2,12),1),"ddd")</f>
        <v>mié</v>
      </c>
      <c r="O5" s="16" t="str">
        <f>TEXT(WEEKDAY(DATE(CalendarioAño,2,13),1),"ddd")</f>
        <v>jue</v>
      </c>
      <c r="P5" s="16" t="str">
        <f>TEXT(WEEKDAY(DATE(CalendarioAño,2,14),1),"ddd")</f>
        <v>vie</v>
      </c>
      <c r="Q5" s="16" t="str">
        <f>TEXT(WEEKDAY(DATE(CalendarioAño,2,15),1),"ddd")</f>
        <v>sáb</v>
      </c>
      <c r="R5" s="16" t="str">
        <f>TEXT(WEEKDAY(DATE(CalendarioAño,2,16),1),"ddd")</f>
        <v>dom</v>
      </c>
      <c r="S5" s="16" t="str">
        <f>TEXT(WEEKDAY(DATE(CalendarioAño,2,17),1),"ddd")</f>
        <v>lun</v>
      </c>
      <c r="T5" s="16" t="str">
        <f>TEXT(WEEKDAY(DATE(CalendarioAño,2,18),1),"ddd")</f>
        <v>mar</v>
      </c>
      <c r="U5" s="16" t="str">
        <f>TEXT(WEEKDAY(DATE(CalendarioAño,2,19),1),"ddd")</f>
        <v>mié</v>
      </c>
      <c r="V5" s="16" t="str">
        <f>TEXT(WEEKDAY(DATE(CalendarioAño,2,20),1),"ddd")</f>
        <v>jue</v>
      </c>
      <c r="W5" s="16" t="str">
        <f>TEXT(WEEKDAY(DATE(CalendarioAño,2,21),1),"ddd")</f>
        <v>vie</v>
      </c>
      <c r="X5" s="16" t="str">
        <f>TEXT(WEEKDAY(DATE(CalendarioAño,2,22),1),"ddd")</f>
        <v>sáb</v>
      </c>
      <c r="Y5" s="16" t="str">
        <f>TEXT(WEEKDAY(DATE(CalendarioAño,2,23),1),"ddd")</f>
        <v>dom</v>
      </c>
      <c r="Z5" s="16" t="str">
        <f>TEXT(WEEKDAY(DATE(CalendarioAño,2,24),1),"ddd")</f>
        <v>lun</v>
      </c>
      <c r="AA5" s="16" t="str">
        <f>TEXT(WEEKDAY(DATE(CalendarioAño,2,25),1),"ddd")</f>
        <v>mar</v>
      </c>
      <c r="AB5" s="16" t="str">
        <f>TEXT(WEEKDAY(DATE(CalendarioAño,2,26),1),"ddd")</f>
        <v>mié</v>
      </c>
      <c r="AC5" s="16" t="str">
        <f>TEXT(WEEKDAY(DATE(CalendarioAño,2,27),1),"ddd")</f>
        <v>jue</v>
      </c>
      <c r="AD5" s="16" t="str">
        <f>TEXT(WEEKDAY(DATE(CalendarioAño,2,28),1),"ddd")</f>
        <v>vie</v>
      </c>
      <c r="AE5" s="16" t="str">
        <f>TEXT(WEEKDAY(DATE(CalendarioAño,2,29),1),"ddd")</f>
        <v>sáb</v>
      </c>
      <c r="AF5" s="16"/>
      <c r="AG5" s="16"/>
      <c r="AH5" s="32"/>
    </row>
    <row r="6" ht="15.0" customHeight="1">
      <c r="A6" s="17"/>
      <c r="B6" s="33" t="s">
        <v>162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89</v>
      </c>
      <c r="AG6" s="19" t="s">
        <v>163</v>
      </c>
      <c r="AH6" s="19" t="s">
        <v>46</v>
      </c>
    </row>
    <row r="7" ht="30.0" customHeight="1">
      <c r="B7" s="47" t="s">
        <v>164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0" t="s">
        <v>6</v>
      </c>
      <c r="P7" s="21"/>
      <c r="Q7" s="10" t="s">
        <v>6</v>
      </c>
      <c r="R7" s="21"/>
      <c r="S7" s="22"/>
      <c r="T7" s="10" t="s">
        <v>6</v>
      </c>
      <c r="U7" s="21"/>
      <c r="V7" s="22"/>
      <c r="W7" s="22"/>
      <c r="X7" s="10" t="s">
        <v>6</v>
      </c>
      <c r="Y7" s="22"/>
      <c r="Z7" s="21"/>
      <c r="AA7" s="21"/>
      <c r="AB7" s="21"/>
      <c r="AC7" s="21"/>
      <c r="AD7" s="21"/>
      <c r="AE7" s="21"/>
      <c r="AF7" s="21"/>
      <c r="AG7" s="21"/>
      <c r="AH7" s="36">
        <v>4.0</v>
      </c>
    </row>
    <row r="8" ht="30.0" customHeight="1">
      <c r="B8" s="47" t="s">
        <v>48</v>
      </c>
      <c r="C8" s="22"/>
      <c r="D8" s="21"/>
      <c r="E8" s="21"/>
      <c r="F8" s="21"/>
      <c r="G8" s="21"/>
      <c r="H8" s="22"/>
      <c r="I8" s="21"/>
      <c r="J8" s="21"/>
      <c r="K8" s="21"/>
      <c r="L8" s="21"/>
      <c r="M8" s="21"/>
      <c r="N8" s="21"/>
      <c r="O8" s="10" t="s">
        <v>6</v>
      </c>
      <c r="P8" s="21"/>
      <c r="Q8" s="21"/>
      <c r="R8" s="21"/>
      <c r="S8" s="21"/>
      <c r="T8" s="10" t="s">
        <v>6</v>
      </c>
      <c r="U8" s="21"/>
      <c r="V8" s="10" t="s">
        <v>6</v>
      </c>
      <c r="W8" s="21"/>
      <c r="X8" s="10" t="s">
        <v>6</v>
      </c>
      <c r="Y8" s="22"/>
      <c r="Z8" s="21"/>
      <c r="AA8" s="21"/>
      <c r="AB8" s="21"/>
      <c r="AC8" s="22"/>
      <c r="AD8" s="21"/>
      <c r="AE8" s="22"/>
      <c r="AF8" s="21"/>
      <c r="AG8" s="21"/>
      <c r="AH8" s="36">
        <v>4.0</v>
      </c>
    </row>
    <row r="9" ht="30.0" customHeight="1">
      <c r="B9" s="47" t="s">
        <v>165</v>
      </c>
      <c r="C9" s="22"/>
      <c r="D9" s="22"/>
      <c r="E9" s="21"/>
      <c r="F9" s="21"/>
      <c r="G9" s="21"/>
      <c r="H9" s="22"/>
      <c r="I9" s="21"/>
      <c r="J9" s="21"/>
      <c r="K9" s="22"/>
      <c r="L9" s="21"/>
      <c r="M9" s="21"/>
      <c r="N9" s="21"/>
      <c r="O9" s="22"/>
      <c r="P9" s="21"/>
      <c r="Q9" s="22"/>
      <c r="R9" s="22"/>
      <c r="S9" s="21"/>
      <c r="T9" s="21"/>
      <c r="U9" s="21"/>
      <c r="V9" s="22"/>
      <c r="W9" s="10" t="s">
        <v>6</v>
      </c>
      <c r="X9" s="22"/>
      <c r="Y9" s="22"/>
      <c r="Z9" s="21"/>
      <c r="AA9" s="21"/>
      <c r="AB9" s="21"/>
      <c r="AC9" s="21"/>
      <c r="AD9" s="10" t="s">
        <v>6</v>
      </c>
      <c r="AE9" s="22"/>
      <c r="AF9" s="21"/>
      <c r="AG9" s="21"/>
      <c r="AH9" s="36">
        <v>2.0</v>
      </c>
    </row>
    <row r="10" ht="30.0" customHeight="1">
      <c r="B10" s="47"/>
      <c r="C10" s="21"/>
      <c r="D10" s="22"/>
      <c r="E10" s="21"/>
      <c r="F10" s="21"/>
      <c r="G10" s="21"/>
      <c r="H10" s="22"/>
      <c r="I10" s="21"/>
      <c r="J10" s="21"/>
      <c r="K10" s="21"/>
      <c r="L10" s="21"/>
      <c r="M10" s="21"/>
      <c r="N10" s="22"/>
      <c r="O10" s="21"/>
      <c r="P10" s="21"/>
      <c r="Q10" s="22"/>
      <c r="R10" s="21"/>
      <c r="S10" s="21"/>
      <c r="T10" s="21"/>
      <c r="U10" s="22"/>
      <c r="V10" s="21"/>
      <c r="W10" s="21"/>
      <c r="X10" s="22"/>
      <c r="Y10" s="21"/>
      <c r="Z10" s="21"/>
      <c r="AA10" s="21"/>
      <c r="AB10" s="21"/>
      <c r="AC10" s="21"/>
      <c r="AD10" s="21"/>
      <c r="AE10" s="21"/>
      <c r="AF10" s="21"/>
      <c r="AG10" s="21"/>
      <c r="AH10" s="25"/>
    </row>
    <row r="11" ht="30.0" customHeight="1">
      <c r="B11" s="47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5"/>
    </row>
    <row r="12" ht="30.0" customHeight="1">
      <c r="B12" s="47"/>
      <c r="C12" s="22"/>
      <c r="D12" s="21"/>
      <c r="E12" s="21"/>
      <c r="F12" s="21"/>
      <c r="G12" s="21"/>
      <c r="H12" s="21"/>
      <c r="I12" s="21"/>
      <c r="J12" s="2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5"/>
    </row>
    <row r="13" ht="30.0" customHeight="1">
      <c r="B13" s="47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2"/>
      <c r="W13" s="22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5"/>
    </row>
    <row r="14" ht="30.0" customHeight="1">
      <c r="B14" s="47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5"/>
    </row>
    <row r="15" ht="30.0" customHeight="1">
      <c r="B15" s="47"/>
      <c r="C15" s="21"/>
      <c r="D15" s="21"/>
      <c r="E15" s="21"/>
      <c r="F15" s="21"/>
      <c r="G15" s="21"/>
      <c r="H15" s="21"/>
      <c r="I15" s="21"/>
      <c r="J15" s="22"/>
      <c r="K15" s="21"/>
      <c r="L15" s="21"/>
      <c r="M15" s="21"/>
      <c r="N15" s="21"/>
      <c r="O15" s="21"/>
      <c r="P15" s="21"/>
      <c r="Q15" s="21"/>
      <c r="R15" s="21"/>
      <c r="S15" s="22"/>
      <c r="T15" s="21"/>
      <c r="U15" s="21"/>
      <c r="V15" s="21"/>
      <c r="W15" s="21"/>
      <c r="X15" s="22"/>
      <c r="Y15" s="21"/>
      <c r="Z15" s="21"/>
      <c r="AA15" s="21"/>
      <c r="AB15" s="21"/>
      <c r="AC15" s="21"/>
      <c r="AD15" s="21"/>
      <c r="AE15" s="21"/>
      <c r="AF15" s="21"/>
      <c r="AG15" s="21"/>
      <c r="AH15" s="25"/>
    </row>
    <row r="16" ht="30.0" customHeight="1">
      <c r="B16" s="26" t="str">
        <f>Febrero!MonthName&amp;" Total"</f>
        <v>Febrero Total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>
        <f>SUM(C16:AG16)</f>
        <v>0</v>
      </c>
    </row>
    <row r="17" ht="30.0" customHeight="1"/>
    <row r="18" ht="30.0" customHeight="1">
      <c r="B18" s="32" t="s">
        <v>161</v>
      </c>
      <c r="C18" s="80" t="s">
        <v>166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38">
        <v>2025.0</v>
      </c>
    </row>
    <row r="19" ht="30.0" customHeight="1">
      <c r="B19" s="32"/>
      <c r="C19" s="16" t="str">
        <f>TEXT(WEEKDAY(DATE(CalendarioAño,2,1),1),"ddd")</f>
        <v>sáb</v>
      </c>
      <c r="D19" s="16" t="str">
        <f>TEXT(WEEKDAY(DATE(CalendarioAño,2,2),1),"ddd")</f>
        <v>dom</v>
      </c>
      <c r="E19" s="16" t="str">
        <f>TEXT(WEEKDAY(DATE(CalendarioAño,2,3),1),"ddd")</f>
        <v>lun</v>
      </c>
      <c r="F19" s="16" t="str">
        <f>TEXT(WEEKDAY(DATE(CalendarioAño,2,4),1),"ddd")</f>
        <v>mar</v>
      </c>
      <c r="G19" s="16" t="str">
        <f>TEXT(WEEKDAY(DATE(CalendarioAño,2,5),1),"ddd")</f>
        <v>mié</v>
      </c>
      <c r="H19" s="16" t="str">
        <f>TEXT(WEEKDAY(DATE(CalendarioAño,2,6),1),"ddd")</f>
        <v>jue</v>
      </c>
      <c r="I19" s="16" t="str">
        <f>TEXT(WEEKDAY(DATE(CalendarioAño,2,7),1),"ddd")</f>
        <v>vie</v>
      </c>
      <c r="J19" s="16" t="str">
        <f>TEXT(WEEKDAY(DATE(CalendarioAño,2,8),1),"ddd")</f>
        <v>sáb</v>
      </c>
      <c r="K19" s="16" t="str">
        <f>TEXT(WEEKDAY(DATE(CalendarioAño,2,9),1),"ddd")</f>
        <v>dom</v>
      </c>
      <c r="L19" s="16" t="str">
        <f>TEXT(WEEKDAY(DATE(CalendarioAño,2,10),1),"ddd")</f>
        <v>lun</v>
      </c>
      <c r="M19" s="16" t="str">
        <f>TEXT(WEEKDAY(DATE(CalendarioAño,2,11),1),"ddd")</f>
        <v>mar</v>
      </c>
      <c r="N19" s="16" t="str">
        <f>TEXT(WEEKDAY(DATE(CalendarioAño,2,12),1),"ddd")</f>
        <v>mié</v>
      </c>
      <c r="O19" s="16" t="str">
        <f>TEXT(WEEKDAY(DATE(CalendarioAño,2,13),1),"ddd")</f>
        <v>jue</v>
      </c>
      <c r="P19" s="16" t="str">
        <f>TEXT(WEEKDAY(DATE(CalendarioAño,2,14),1),"ddd")</f>
        <v>vie</v>
      </c>
      <c r="Q19" s="16" t="str">
        <f>TEXT(WEEKDAY(DATE(CalendarioAño,2,15),1),"ddd")</f>
        <v>sáb</v>
      </c>
      <c r="R19" s="16" t="str">
        <f>TEXT(WEEKDAY(DATE(CalendarioAño,2,16),1),"ddd")</f>
        <v>dom</v>
      </c>
      <c r="S19" s="16" t="str">
        <f>TEXT(WEEKDAY(DATE(CalendarioAño,2,17),1),"ddd")</f>
        <v>lun</v>
      </c>
      <c r="T19" s="16" t="str">
        <f>TEXT(WEEKDAY(DATE(CalendarioAño,2,18),1),"ddd")</f>
        <v>mar</v>
      </c>
      <c r="U19" s="16" t="str">
        <f>TEXT(WEEKDAY(DATE(CalendarioAño,2,19),1),"ddd")</f>
        <v>mié</v>
      </c>
      <c r="V19" s="16" t="str">
        <f>TEXT(WEEKDAY(DATE(CalendarioAño,2,20),1),"ddd")</f>
        <v>jue</v>
      </c>
      <c r="W19" s="16" t="str">
        <f>TEXT(WEEKDAY(DATE(CalendarioAño,2,21),1),"ddd")</f>
        <v>vie</v>
      </c>
      <c r="X19" s="16" t="str">
        <f>TEXT(WEEKDAY(DATE(CalendarioAño,2,22),1),"ddd")</f>
        <v>sáb</v>
      </c>
      <c r="Y19" s="16" t="str">
        <f>TEXT(WEEKDAY(DATE(CalendarioAño,2,23),1),"ddd")</f>
        <v>dom</v>
      </c>
      <c r="Z19" s="16" t="str">
        <f>TEXT(WEEKDAY(DATE(CalendarioAño,2,24),1),"ddd")</f>
        <v>lun</v>
      </c>
      <c r="AA19" s="16" t="str">
        <f>TEXT(WEEKDAY(DATE(CalendarioAño,2,25),1),"ddd")</f>
        <v>mar</v>
      </c>
      <c r="AB19" s="16" t="str">
        <f>TEXT(WEEKDAY(DATE(CalendarioAño,2,26),1),"ddd")</f>
        <v>mié</v>
      </c>
      <c r="AC19" s="16" t="str">
        <f>TEXT(WEEKDAY(DATE(CalendarioAño,2,27),1),"ddd")</f>
        <v>jue</v>
      </c>
      <c r="AD19" s="16" t="str">
        <f>TEXT(WEEKDAY(DATE(CalendarioAño,2,28),1),"ddd")</f>
        <v>vie</v>
      </c>
      <c r="AE19" s="16" t="str">
        <f>TEXT(WEEKDAY(DATE(CalendarioAño,2,29),1),"ddd")</f>
        <v>sáb</v>
      </c>
      <c r="AF19" s="16"/>
      <c r="AG19" s="16"/>
      <c r="AH19" s="32"/>
    </row>
    <row r="20" ht="30.0" customHeight="1">
      <c r="B20" s="33" t="s">
        <v>162</v>
      </c>
      <c r="C20" s="19" t="s">
        <v>15</v>
      </c>
      <c r="D20" s="19" t="s">
        <v>16</v>
      </c>
      <c r="E20" s="19" t="s">
        <v>17</v>
      </c>
      <c r="F20" s="19" t="s">
        <v>18</v>
      </c>
      <c r="G20" s="19" t="s">
        <v>19</v>
      </c>
      <c r="H20" s="19" t="s">
        <v>20</v>
      </c>
      <c r="I20" s="19" t="s">
        <v>21</v>
      </c>
      <c r="J20" s="19" t="s">
        <v>22</v>
      </c>
      <c r="K20" s="19" t="s">
        <v>23</v>
      </c>
      <c r="L20" s="19" t="s">
        <v>24</v>
      </c>
      <c r="M20" s="19" t="s">
        <v>25</v>
      </c>
      <c r="N20" s="19" t="s">
        <v>26</v>
      </c>
      <c r="O20" s="19" t="s">
        <v>27</v>
      </c>
      <c r="P20" s="19" t="s">
        <v>28</v>
      </c>
      <c r="Q20" s="19" t="s">
        <v>29</v>
      </c>
      <c r="R20" s="19" t="s">
        <v>30</v>
      </c>
      <c r="S20" s="19" t="s">
        <v>31</v>
      </c>
      <c r="T20" s="19" t="s">
        <v>32</v>
      </c>
      <c r="U20" s="19" t="s">
        <v>33</v>
      </c>
      <c r="V20" s="19" t="s">
        <v>34</v>
      </c>
      <c r="W20" s="19" t="s">
        <v>35</v>
      </c>
      <c r="X20" s="19" t="s">
        <v>36</v>
      </c>
      <c r="Y20" s="19" t="s">
        <v>37</v>
      </c>
      <c r="Z20" s="19" t="s">
        <v>38</v>
      </c>
      <c r="AA20" s="19" t="s">
        <v>39</v>
      </c>
      <c r="AB20" s="19" t="s">
        <v>40</v>
      </c>
      <c r="AC20" s="19" t="s">
        <v>41</v>
      </c>
      <c r="AD20" s="19" t="s">
        <v>42</v>
      </c>
      <c r="AE20" s="19" t="s">
        <v>43</v>
      </c>
      <c r="AF20" s="19" t="s">
        <v>89</v>
      </c>
      <c r="AG20" s="19" t="s">
        <v>163</v>
      </c>
      <c r="AH20" s="19" t="s">
        <v>46</v>
      </c>
    </row>
    <row r="21" ht="30.0" customHeight="1">
      <c r="B21" s="20" t="s">
        <v>50</v>
      </c>
      <c r="C21" s="10" t="s">
        <v>6</v>
      </c>
      <c r="D21" s="21"/>
      <c r="E21" s="21"/>
      <c r="F21" s="21"/>
      <c r="G21" s="21"/>
      <c r="H21" s="21"/>
      <c r="I21" s="21"/>
      <c r="J21" s="10" t="s">
        <v>6</v>
      </c>
      <c r="K21" s="21"/>
      <c r="L21" s="21"/>
      <c r="M21" s="10" t="s">
        <v>6</v>
      </c>
      <c r="N21" s="21"/>
      <c r="O21" s="21"/>
      <c r="P21" s="21"/>
      <c r="Q21" s="10" t="s">
        <v>6</v>
      </c>
      <c r="R21" s="21"/>
      <c r="S21" s="22"/>
      <c r="T21" s="21"/>
      <c r="U21" s="21"/>
      <c r="V21" s="10" t="s">
        <v>6</v>
      </c>
      <c r="W21" s="22"/>
      <c r="X21" s="10" t="s">
        <v>6</v>
      </c>
      <c r="Y21" s="22"/>
      <c r="Z21" s="10" t="s">
        <v>6</v>
      </c>
      <c r="AA21" s="21"/>
      <c r="AB21" s="10" t="s">
        <v>6</v>
      </c>
      <c r="AC21" s="10" t="s">
        <v>6</v>
      </c>
      <c r="AD21" s="10" t="s">
        <v>6</v>
      </c>
      <c r="AE21" s="21"/>
      <c r="AF21" s="21"/>
      <c r="AG21" s="21"/>
      <c r="AH21" s="25"/>
    </row>
    <row r="22" ht="30.0" customHeight="1">
      <c r="B22" s="20" t="s">
        <v>51</v>
      </c>
      <c r="C22" s="22"/>
      <c r="D22" s="21"/>
      <c r="E22" s="21"/>
      <c r="F22" s="21"/>
      <c r="G22" s="21"/>
      <c r="H22" s="10" t="s">
        <v>6</v>
      </c>
      <c r="I22" s="21"/>
      <c r="J22" s="21"/>
      <c r="K22" s="21"/>
      <c r="L22" s="21"/>
      <c r="M22" s="10" t="s">
        <v>6</v>
      </c>
      <c r="N22" s="21"/>
      <c r="O22" s="21"/>
      <c r="P22" s="21"/>
      <c r="Q22" s="21"/>
      <c r="R22" s="21"/>
      <c r="S22" s="21"/>
      <c r="T22" s="10" t="s">
        <v>6</v>
      </c>
      <c r="U22" s="21"/>
      <c r="V22" s="10" t="s">
        <v>6</v>
      </c>
      <c r="W22" s="21"/>
      <c r="X22" s="22"/>
      <c r="Y22" s="22"/>
      <c r="Z22" s="21"/>
      <c r="AA22" s="21"/>
      <c r="AB22" s="21"/>
      <c r="AC22" s="10" t="s">
        <v>6</v>
      </c>
      <c r="AD22" s="21"/>
      <c r="AE22" s="22"/>
      <c r="AF22" s="21"/>
      <c r="AG22" s="21"/>
      <c r="AH22" s="36">
        <v>5.0</v>
      </c>
    </row>
    <row r="23" ht="30.0" customHeight="1">
      <c r="B23" s="20" t="s">
        <v>53</v>
      </c>
      <c r="C23" s="22"/>
      <c r="D23" s="22"/>
      <c r="E23" s="21"/>
      <c r="F23" s="21"/>
      <c r="G23" s="21"/>
      <c r="H23" s="10" t="s">
        <v>6</v>
      </c>
      <c r="I23" s="21"/>
      <c r="J23" s="21"/>
      <c r="K23" s="22"/>
      <c r="L23" s="21"/>
      <c r="M23" s="10" t="s">
        <v>6</v>
      </c>
      <c r="N23" s="21"/>
      <c r="O23" s="22"/>
      <c r="P23" s="21"/>
      <c r="Q23" s="22"/>
      <c r="R23" s="22"/>
      <c r="S23" s="21"/>
      <c r="T23" s="21"/>
      <c r="U23" s="21"/>
      <c r="V23" s="10" t="s">
        <v>6</v>
      </c>
      <c r="W23" s="21"/>
      <c r="X23" s="10" t="s">
        <v>6</v>
      </c>
      <c r="Y23" s="22"/>
      <c r="Z23" s="21"/>
      <c r="AA23" s="21"/>
      <c r="AB23" s="21"/>
      <c r="AC23" s="21"/>
      <c r="AD23" s="21"/>
      <c r="AE23" s="22"/>
      <c r="AF23" s="21"/>
      <c r="AG23" s="21"/>
      <c r="AH23" s="36">
        <v>4.0</v>
      </c>
    </row>
    <row r="24" ht="30.0" customHeight="1">
      <c r="B24" s="20" t="s">
        <v>54</v>
      </c>
      <c r="C24" s="21"/>
      <c r="D24" s="22"/>
      <c r="E24" s="21"/>
      <c r="F24" s="21"/>
      <c r="G24" s="21"/>
      <c r="H24" s="10" t="s">
        <v>6</v>
      </c>
      <c r="I24" s="21"/>
      <c r="J24" s="21"/>
      <c r="K24" s="21"/>
      <c r="L24" s="21"/>
      <c r="M24" s="10" t="s">
        <v>6</v>
      </c>
      <c r="N24" s="22"/>
      <c r="O24" s="10" t="s">
        <v>6</v>
      </c>
      <c r="P24" s="21"/>
      <c r="Q24" s="22"/>
      <c r="R24" s="21"/>
      <c r="S24" s="21"/>
      <c r="T24" s="10" t="s">
        <v>6</v>
      </c>
      <c r="U24" s="22"/>
      <c r="V24" s="10" t="s">
        <v>6</v>
      </c>
      <c r="W24" s="21"/>
      <c r="X24" s="22"/>
      <c r="Y24" s="21"/>
      <c r="Z24" s="21"/>
      <c r="AA24" s="21"/>
      <c r="AB24" s="21"/>
      <c r="AC24" s="10" t="s">
        <v>6</v>
      </c>
      <c r="AD24" s="21"/>
      <c r="AE24" s="21"/>
      <c r="AF24" s="21"/>
      <c r="AG24" s="21"/>
      <c r="AH24" s="25"/>
    </row>
    <row r="25" ht="30.0" customHeight="1">
      <c r="B25" s="47" t="s">
        <v>167</v>
      </c>
      <c r="C25" s="21"/>
      <c r="D25" s="21"/>
      <c r="E25" s="21"/>
      <c r="F25" s="21"/>
      <c r="G25" s="21"/>
      <c r="H25" s="21"/>
      <c r="I25" s="10" t="s">
        <v>6</v>
      </c>
      <c r="J25" s="10" t="s">
        <v>6</v>
      </c>
      <c r="K25" s="21"/>
      <c r="L25" s="21"/>
      <c r="M25" s="21"/>
      <c r="N25" s="10" t="s">
        <v>6</v>
      </c>
      <c r="O25" s="21"/>
      <c r="P25" s="10" t="s">
        <v>6</v>
      </c>
      <c r="Q25" s="21"/>
      <c r="R25" s="21"/>
      <c r="S25" s="21"/>
      <c r="T25" s="21"/>
      <c r="U25" s="21"/>
      <c r="V25" s="21"/>
      <c r="W25" s="21"/>
      <c r="X25" s="10" t="s">
        <v>6</v>
      </c>
      <c r="Y25" s="21"/>
      <c r="Z25" s="21"/>
      <c r="AA25" s="21"/>
      <c r="AB25" s="21"/>
      <c r="AC25" s="21"/>
      <c r="AD25" s="21"/>
      <c r="AE25" s="21"/>
      <c r="AF25" s="21"/>
      <c r="AG25" s="21"/>
      <c r="AH25" s="36">
        <v>5.0</v>
      </c>
    </row>
    <row r="26" ht="30.0" customHeight="1">
      <c r="B26" s="47" t="s">
        <v>168</v>
      </c>
      <c r="C26" s="22"/>
      <c r="D26" s="21"/>
      <c r="E26" s="21"/>
      <c r="F26" s="21"/>
      <c r="G26" s="21"/>
      <c r="H26" s="21"/>
      <c r="I26" s="10" t="s">
        <v>6</v>
      </c>
      <c r="J26" s="10" t="s">
        <v>6</v>
      </c>
      <c r="K26" s="21"/>
      <c r="L26" s="21"/>
      <c r="M26" s="21"/>
      <c r="N26" s="10" t="s">
        <v>6</v>
      </c>
      <c r="O26" s="21"/>
      <c r="P26" s="10" t="s">
        <v>6</v>
      </c>
      <c r="Q26" s="21"/>
      <c r="R26" s="21"/>
      <c r="S26" s="21"/>
      <c r="T26" s="21"/>
      <c r="U26" s="21"/>
      <c r="V26" s="21"/>
      <c r="W26" s="21"/>
      <c r="X26" s="10" t="s">
        <v>6</v>
      </c>
      <c r="Y26" s="21"/>
      <c r="Z26" s="21"/>
      <c r="AA26" s="21"/>
      <c r="AB26" s="21"/>
      <c r="AC26" s="21"/>
      <c r="AD26" s="21"/>
      <c r="AE26" s="21"/>
      <c r="AF26" s="21"/>
      <c r="AG26" s="21"/>
      <c r="AH26" s="36">
        <v>5.0</v>
      </c>
    </row>
    <row r="27" ht="30.0" customHeight="1">
      <c r="B27" s="47" t="s">
        <v>52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10" t="s">
        <v>6</v>
      </c>
      <c r="N27" s="21"/>
      <c r="O27" s="10" t="s">
        <v>6</v>
      </c>
      <c r="P27" s="21"/>
      <c r="Q27" s="21"/>
      <c r="R27" s="21"/>
      <c r="S27" s="21"/>
      <c r="T27" s="21"/>
      <c r="U27" s="21"/>
      <c r="V27" s="22"/>
      <c r="W27" s="22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5"/>
    </row>
    <row r="28" ht="30.0" customHeight="1">
      <c r="B28" s="47" t="s">
        <v>47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10" t="s">
        <v>6</v>
      </c>
      <c r="AC28" s="21"/>
      <c r="AD28" s="10" t="s">
        <v>6</v>
      </c>
      <c r="AE28" s="21"/>
      <c r="AF28" s="21"/>
      <c r="AG28" s="21"/>
      <c r="AH28" s="36">
        <v>2.0</v>
      </c>
    </row>
    <row r="29" ht="30.0" customHeight="1">
      <c r="B29" s="47" t="s">
        <v>169</v>
      </c>
      <c r="C29" s="21"/>
      <c r="D29" s="21"/>
      <c r="E29" s="21"/>
      <c r="F29" s="21"/>
      <c r="G29" s="21"/>
      <c r="H29" s="21"/>
      <c r="I29" s="21"/>
      <c r="J29" s="22"/>
      <c r="K29" s="21"/>
      <c r="L29" s="21"/>
      <c r="M29" s="21"/>
      <c r="N29" s="21"/>
      <c r="O29" s="21"/>
      <c r="P29" s="21"/>
      <c r="Q29" s="21"/>
      <c r="R29" s="21"/>
      <c r="S29" s="22"/>
      <c r="T29" s="21"/>
      <c r="U29" s="21"/>
      <c r="V29" s="21"/>
      <c r="W29" s="21"/>
      <c r="X29" s="22"/>
      <c r="Y29" s="21"/>
      <c r="Z29" s="21"/>
      <c r="AA29" s="21"/>
      <c r="AB29" s="21"/>
      <c r="AC29" s="10" t="s">
        <v>6</v>
      </c>
      <c r="AD29" s="21"/>
      <c r="AE29" s="21"/>
      <c r="AF29" s="21"/>
      <c r="AG29" s="21"/>
      <c r="AH29" s="25"/>
    </row>
    <row r="30" ht="30.0" customHeight="1">
      <c r="B30" s="26" t="str">
        <f>Febrero!MonthName&amp;" Total"</f>
        <v>Febrero Total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>
        <f>SUM(C30:AG30)</f>
        <v>0</v>
      </c>
    </row>
    <row r="31" ht="30.0" customHeight="1"/>
    <row r="32" ht="30.0" customHeight="1">
      <c r="B32" s="32" t="s">
        <v>161</v>
      </c>
      <c r="C32" s="80" t="s">
        <v>170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38">
        <v>2025.0</v>
      </c>
    </row>
    <row r="33" ht="30.0" customHeight="1">
      <c r="B33" s="32"/>
      <c r="C33" s="16" t="str">
        <f>TEXT(WEEKDAY(DATE(CalendarioAño,2,1),1),"ddd")</f>
        <v>sáb</v>
      </c>
      <c r="D33" s="16" t="str">
        <f>TEXT(WEEKDAY(DATE(CalendarioAño,2,2),1),"ddd")</f>
        <v>dom</v>
      </c>
      <c r="E33" s="16" t="str">
        <f>TEXT(WEEKDAY(DATE(CalendarioAño,2,3),1),"ddd")</f>
        <v>lun</v>
      </c>
      <c r="F33" s="16" t="str">
        <f>TEXT(WEEKDAY(DATE(CalendarioAño,2,4),1),"ddd")</f>
        <v>mar</v>
      </c>
      <c r="G33" s="16" t="str">
        <f>TEXT(WEEKDAY(DATE(CalendarioAño,2,5),1),"ddd")</f>
        <v>mié</v>
      </c>
      <c r="H33" s="16" t="str">
        <f>TEXT(WEEKDAY(DATE(CalendarioAño,2,6),1),"ddd")</f>
        <v>jue</v>
      </c>
      <c r="I33" s="16" t="str">
        <f>TEXT(WEEKDAY(DATE(CalendarioAño,2,7),1),"ddd")</f>
        <v>vie</v>
      </c>
      <c r="J33" s="16" t="str">
        <f>TEXT(WEEKDAY(DATE(CalendarioAño,2,8),1),"ddd")</f>
        <v>sáb</v>
      </c>
      <c r="K33" s="16" t="str">
        <f>TEXT(WEEKDAY(DATE(CalendarioAño,2,9),1),"ddd")</f>
        <v>dom</v>
      </c>
      <c r="L33" s="16" t="str">
        <f>TEXT(WEEKDAY(DATE(CalendarioAño,2,10),1),"ddd")</f>
        <v>lun</v>
      </c>
      <c r="M33" s="16" t="str">
        <f>TEXT(WEEKDAY(DATE(CalendarioAño,2,11),1),"ddd")</f>
        <v>mar</v>
      </c>
      <c r="N33" s="16" t="str">
        <f>TEXT(WEEKDAY(DATE(CalendarioAño,2,12),1),"ddd")</f>
        <v>mié</v>
      </c>
      <c r="O33" s="16" t="str">
        <f>TEXT(WEEKDAY(DATE(CalendarioAño,2,13),1),"ddd")</f>
        <v>jue</v>
      </c>
      <c r="P33" s="16" t="str">
        <f>TEXT(WEEKDAY(DATE(CalendarioAño,2,14),1),"ddd")</f>
        <v>vie</v>
      </c>
      <c r="Q33" s="16" t="str">
        <f>TEXT(WEEKDAY(DATE(CalendarioAño,2,15),1),"ddd")</f>
        <v>sáb</v>
      </c>
      <c r="R33" s="16" t="str">
        <f>TEXT(WEEKDAY(DATE(CalendarioAño,2,16),1),"ddd")</f>
        <v>dom</v>
      </c>
      <c r="S33" s="16" t="str">
        <f>TEXT(WEEKDAY(DATE(CalendarioAño,2,17),1),"ddd")</f>
        <v>lun</v>
      </c>
      <c r="T33" s="16" t="str">
        <f>TEXT(WEEKDAY(DATE(CalendarioAño,2,18),1),"ddd")</f>
        <v>mar</v>
      </c>
      <c r="U33" s="16" t="str">
        <f>TEXT(WEEKDAY(DATE(CalendarioAño,2,19),1),"ddd")</f>
        <v>mié</v>
      </c>
      <c r="V33" s="16" t="str">
        <f>TEXT(WEEKDAY(DATE(CalendarioAño,2,20),1),"ddd")</f>
        <v>jue</v>
      </c>
      <c r="W33" s="16" t="str">
        <f>TEXT(WEEKDAY(DATE(CalendarioAño,2,21),1),"ddd")</f>
        <v>vie</v>
      </c>
      <c r="X33" s="16" t="str">
        <f>TEXT(WEEKDAY(DATE(CalendarioAño,2,22),1),"ddd")</f>
        <v>sáb</v>
      </c>
      <c r="Y33" s="16" t="str">
        <f>TEXT(WEEKDAY(DATE(CalendarioAño,2,23),1),"ddd")</f>
        <v>dom</v>
      </c>
      <c r="Z33" s="16" t="str">
        <f>TEXT(WEEKDAY(DATE(CalendarioAño,2,24),1),"ddd")</f>
        <v>lun</v>
      </c>
      <c r="AA33" s="16" t="str">
        <f>TEXT(WEEKDAY(DATE(CalendarioAño,2,25),1),"ddd")</f>
        <v>mar</v>
      </c>
      <c r="AB33" s="16" t="str">
        <f>TEXT(WEEKDAY(DATE(CalendarioAño,2,26),1),"ddd")</f>
        <v>mié</v>
      </c>
      <c r="AC33" s="16" t="str">
        <f>TEXT(WEEKDAY(DATE(CalendarioAño,2,27),1),"ddd")</f>
        <v>jue</v>
      </c>
      <c r="AD33" s="16" t="str">
        <f>TEXT(WEEKDAY(DATE(CalendarioAño,2,28),1),"ddd")</f>
        <v>vie</v>
      </c>
      <c r="AE33" s="16" t="str">
        <f>TEXT(WEEKDAY(DATE(CalendarioAño,2,29),1),"ddd")</f>
        <v>sáb</v>
      </c>
      <c r="AF33" s="16"/>
      <c r="AG33" s="16"/>
      <c r="AH33" s="32"/>
    </row>
    <row r="34" ht="30.0" customHeight="1">
      <c r="B34" s="33" t="s">
        <v>162</v>
      </c>
      <c r="C34" s="19" t="s">
        <v>15</v>
      </c>
      <c r="D34" s="19" t="s">
        <v>16</v>
      </c>
      <c r="E34" s="19" t="s">
        <v>17</v>
      </c>
      <c r="F34" s="19" t="s">
        <v>18</v>
      </c>
      <c r="G34" s="19" t="s">
        <v>19</v>
      </c>
      <c r="H34" s="19" t="s">
        <v>20</v>
      </c>
      <c r="I34" s="19" t="s">
        <v>21</v>
      </c>
      <c r="J34" s="19" t="s">
        <v>22</v>
      </c>
      <c r="K34" s="19" t="s">
        <v>23</v>
      </c>
      <c r="L34" s="19" t="s">
        <v>24</v>
      </c>
      <c r="M34" s="19" t="s">
        <v>25</v>
      </c>
      <c r="N34" s="19" t="s">
        <v>26</v>
      </c>
      <c r="O34" s="19" t="s">
        <v>27</v>
      </c>
      <c r="P34" s="19" t="s">
        <v>28</v>
      </c>
      <c r="Q34" s="19" t="s">
        <v>29</v>
      </c>
      <c r="R34" s="19" t="s">
        <v>30</v>
      </c>
      <c r="S34" s="19" t="s">
        <v>31</v>
      </c>
      <c r="T34" s="19" t="s">
        <v>32</v>
      </c>
      <c r="U34" s="19" t="s">
        <v>33</v>
      </c>
      <c r="V34" s="19" t="s">
        <v>34</v>
      </c>
      <c r="W34" s="19" t="s">
        <v>35</v>
      </c>
      <c r="X34" s="19" t="s">
        <v>36</v>
      </c>
      <c r="Y34" s="19" t="s">
        <v>37</v>
      </c>
      <c r="Z34" s="19" t="s">
        <v>38</v>
      </c>
      <c r="AA34" s="19" t="s">
        <v>39</v>
      </c>
      <c r="AB34" s="19" t="s">
        <v>40</v>
      </c>
      <c r="AC34" s="19" t="s">
        <v>41</v>
      </c>
      <c r="AD34" s="19" t="s">
        <v>42</v>
      </c>
      <c r="AE34" s="19" t="s">
        <v>43</v>
      </c>
      <c r="AF34" s="19" t="s">
        <v>89</v>
      </c>
      <c r="AG34" s="19" t="s">
        <v>163</v>
      </c>
      <c r="AH34" s="19" t="s">
        <v>46</v>
      </c>
    </row>
    <row r="35" ht="30.0" customHeight="1">
      <c r="B35" s="39" t="s">
        <v>59</v>
      </c>
      <c r="C35" s="21"/>
      <c r="D35" s="21"/>
      <c r="E35" s="10" t="s">
        <v>6</v>
      </c>
      <c r="F35" s="21"/>
      <c r="G35" s="21"/>
      <c r="H35" s="10" t="s">
        <v>6</v>
      </c>
      <c r="I35" s="10" t="s">
        <v>6</v>
      </c>
      <c r="J35" s="21"/>
      <c r="K35" s="21"/>
      <c r="L35" s="10" t="s">
        <v>6</v>
      </c>
      <c r="M35" s="21"/>
      <c r="N35" s="10" t="s">
        <v>6</v>
      </c>
      <c r="O35" s="21"/>
      <c r="P35" s="21"/>
      <c r="Q35" s="22"/>
      <c r="R35" s="21"/>
      <c r="S35" s="10" t="s">
        <v>6</v>
      </c>
      <c r="T35" s="21"/>
      <c r="U35" s="21"/>
      <c r="V35" s="22"/>
      <c r="W35" s="10" t="s">
        <v>6</v>
      </c>
      <c r="X35" s="22"/>
      <c r="Y35" s="22"/>
      <c r="Z35" s="10" t="s">
        <v>6</v>
      </c>
      <c r="AA35" s="21"/>
      <c r="AB35" s="21"/>
      <c r="AC35" s="10" t="s">
        <v>6</v>
      </c>
      <c r="AD35" s="21"/>
      <c r="AE35" s="21"/>
      <c r="AF35" s="21"/>
      <c r="AG35" s="21"/>
      <c r="AH35" s="36">
        <v>9.0</v>
      </c>
    </row>
    <row r="36" ht="30.0" customHeight="1">
      <c r="B36" s="20" t="s">
        <v>67</v>
      </c>
      <c r="C36" s="22"/>
      <c r="D36" s="21"/>
      <c r="E36" s="10" t="s">
        <v>6</v>
      </c>
      <c r="F36" s="21"/>
      <c r="G36" s="10" t="s">
        <v>6</v>
      </c>
      <c r="H36" s="22"/>
      <c r="I36" s="21"/>
      <c r="J36" s="21"/>
      <c r="K36" s="21"/>
      <c r="L36" s="10" t="s">
        <v>6</v>
      </c>
      <c r="M36" s="21"/>
      <c r="N36" s="10" t="s">
        <v>6</v>
      </c>
      <c r="O36" s="21"/>
      <c r="P36" s="21"/>
      <c r="Q36" s="21"/>
      <c r="R36" s="21"/>
      <c r="S36" s="10" t="s">
        <v>6</v>
      </c>
      <c r="T36" s="21"/>
      <c r="U36" s="10" t="s">
        <v>6</v>
      </c>
      <c r="V36" s="22"/>
      <c r="W36" s="21"/>
      <c r="X36" s="22"/>
      <c r="Y36" s="22"/>
      <c r="Z36" s="21"/>
      <c r="AA36" s="21"/>
      <c r="AB36" s="10" t="s">
        <v>6</v>
      </c>
      <c r="AC36" s="22"/>
      <c r="AD36" s="21"/>
      <c r="AE36" s="22"/>
      <c r="AF36" s="21"/>
      <c r="AG36" s="21"/>
      <c r="AH36" s="36">
        <v>7.0</v>
      </c>
    </row>
    <row r="37" ht="30.0" customHeight="1">
      <c r="B37" s="39" t="s">
        <v>70</v>
      </c>
      <c r="C37" s="10" t="s">
        <v>6</v>
      </c>
      <c r="D37" s="22"/>
      <c r="E37" s="21"/>
      <c r="F37" s="10" t="s">
        <v>6</v>
      </c>
      <c r="G37" s="21"/>
      <c r="H37" s="10" t="s">
        <v>6</v>
      </c>
      <c r="I37" s="21"/>
      <c r="J37" s="21"/>
      <c r="K37" s="22"/>
      <c r="L37" s="21"/>
      <c r="M37" s="10" t="s">
        <v>6</v>
      </c>
      <c r="N37" s="21"/>
      <c r="O37" s="22"/>
      <c r="P37" s="21"/>
      <c r="Q37" s="22"/>
      <c r="R37" s="22"/>
      <c r="S37" s="21"/>
      <c r="T37" s="21"/>
      <c r="U37" s="21"/>
      <c r="V37" s="22"/>
      <c r="W37" s="21"/>
      <c r="X37" s="22"/>
      <c r="Y37" s="22"/>
      <c r="Z37" s="21"/>
      <c r="AA37" s="10" t="s">
        <v>6</v>
      </c>
      <c r="AB37" s="21"/>
      <c r="AC37" s="10" t="s">
        <v>6</v>
      </c>
      <c r="AD37" s="21"/>
      <c r="AE37" s="22"/>
      <c r="AF37" s="21"/>
      <c r="AG37" s="21"/>
      <c r="AH37" s="36">
        <v>6.0</v>
      </c>
    </row>
    <row r="38" ht="30.0" customHeight="1">
      <c r="B38" s="20" t="s">
        <v>72</v>
      </c>
      <c r="C38" s="10" t="s">
        <v>6</v>
      </c>
      <c r="D38" s="22"/>
      <c r="E38" s="21"/>
      <c r="F38" s="21"/>
      <c r="G38" s="21"/>
      <c r="H38" s="22"/>
      <c r="I38" s="21"/>
      <c r="J38" s="21"/>
      <c r="K38" s="21"/>
      <c r="L38" s="21"/>
      <c r="M38" s="21"/>
      <c r="N38" s="22"/>
      <c r="O38" s="21"/>
      <c r="P38" s="21"/>
      <c r="Q38" s="22"/>
      <c r="R38" s="21"/>
      <c r="S38" s="21"/>
      <c r="T38" s="21"/>
      <c r="U38" s="22"/>
      <c r="V38" s="21"/>
      <c r="W38" s="21"/>
      <c r="X38" s="22"/>
      <c r="Y38" s="21"/>
      <c r="Z38" s="21"/>
      <c r="AA38" s="21"/>
      <c r="AB38" s="21"/>
      <c r="AC38" s="21"/>
      <c r="AD38" s="21"/>
      <c r="AE38" s="21"/>
      <c r="AF38" s="21"/>
      <c r="AG38" s="21"/>
      <c r="AH38" s="25"/>
    </row>
    <row r="39" ht="30.0" customHeight="1">
      <c r="B39" s="20" t="s">
        <v>63</v>
      </c>
      <c r="C39" s="10" t="s">
        <v>6</v>
      </c>
      <c r="D39" s="21"/>
      <c r="E39" s="21"/>
      <c r="F39" s="21"/>
      <c r="G39" s="21"/>
      <c r="H39" s="21"/>
      <c r="I39" s="21"/>
      <c r="J39" s="10" t="s">
        <v>6</v>
      </c>
      <c r="K39" s="21"/>
      <c r="L39" s="21"/>
      <c r="M39" s="10" t="s">
        <v>6</v>
      </c>
      <c r="N39" s="21"/>
      <c r="O39" s="10" t="s">
        <v>6</v>
      </c>
      <c r="P39" s="21"/>
      <c r="Q39" s="10" t="s">
        <v>6</v>
      </c>
      <c r="R39" s="21"/>
      <c r="S39" s="21"/>
      <c r="T39" s="21"/>
      <c r="U39" s="21"/>
      <c r="V39" s="10" t="s">
        <v>6</v>
      </c>
      <c r="W39" s="21"/>
      <c r="X39" s="10" t="s">
        <v>6</v>
      </c>
      <c r="Y39" s="21"/>
      <c r="Z39" s="21"/>
      <c r="AA39" s="21"/>
      <c r="AB39" s="21"/>
      <c r="AC39" s="10" t="s">
        <v>6</v>
      </c>
      <c r="AD39" s="21"/>
      <c r="AE39" s="21"/>
      <c r="AF39" s="21"/>
      <c r="AG39" s="21"/>
      <c r="AH39" s="25"/>
    </row>
    <row r="40" ht="30.0" customHeight="1">
      <c r="B40" s="20" t="s">
        <v>71</v>
      </c>
      <c r="C40" s="10" t="s">
        <v>6</v>
      </c>
      <c r="D40" s="21"/>
      <c r="E40" s="21"/>
      <c r="F40" s="21"/>
      <c r="G40" s="21"/>
      <c r="H40" s="21"/>
      <c r="I40" s="21"/>
      <c r="J40" s="22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5"/>
    </row>
    <row r="41" ht="30.0" customHeight="1">
      <c r="B41" s="81" t="s">
        <v>57</v>
      </c>
      <c r="C41" s="21"/>
      <c r="D41" s="21"/>
      <c r="E41" s="21"/>
      <c r="F41" s="10" t="s">
        <v>6</v>
      </c>
      <c r="G41" s="21"/>
      <c r="H41" s="10" t="s">
        <v>6</v>
      </c>
      <c r="I41" s="21"/>
      <c r="J41" s="21"/>
      <c r="K41" s="21"/>
      <c r="L41" s="21"/>
      <c r="M41" s="21"/>
      <c r="N41" s="21"/>
      <c r="O41" s="10" t="s">
        <v>6</v>
      </c>
      <c r="P41" s="21"/>
      <c r="Q41" s="21"/>
      <c r="R41" s="21"/>
      <c r="S41" s="21"/>
      <c r="T41" s="10" t="s">
        <v>6</v>
      </c>
      <c r="U41" s="21"/>
      <c r="V41" s="10" t="s">
        <v>6</v>
      </c>
      <c r="W41" s="22"/>
      <c r="X41" s="21"/>
      <c r="Y41" s="21"/>
      <c r="Z41" s="21"/>
      <c r="AA41" s="10" t="s">
        <v>6</v>
      </c>
      <c r="AB41" s="21"/>
      <c r="AC41" s="10" t="s">
        <v>6</v>
      </c>
      <c r="AD41" s="21"/>
      <c r="AE41" s="21"/>
      <c r="AF41" s="21"/>
      <c r="AG41" s="21"/>
      <c r="AH41" s="36">
        <v>7.0</v>
      </c>
    </row>
    <row r="42" ht="30.0" customHeight="1">
      <c r="B42" s="20" t="s">
        <v>65</v>
      </c>
      <c r="C42" s="21"/>
      <c r="D42" s="21"/>
      <c r="E42" s="21"/>
      <c r="F42" s="21"/>
      <c r="G42" s="10" t="s">
        <v>6</v>
      </c>
      <c r="H42" s="10" t="s">
        <v>6</v>
      </c>
      <c r="I42" s="21"/>
      <c r="J42" s="21"/>
      <c r="K42" s="21"/>
      <c r="L42" s="21"/>
      <c r="M42" s="10" t="s">
        <v>6</v>
      </c>
      <c r="N42" s="10" t="s">
        <v>6</v>
      </c>
      <c r="O42" s="21"/>
      <c r="P42" s="21"/>
      <c r="Q42" s="21"/>
      <c r="R42" s="21"/>
      <c r="S42" s="10" t="s">
        <v>6</v>
      </c>
      <c r="T42" s="21"/>
      <c r="U42" s="10" t="s">
        <v>6</v>
      </c>
      <c r="V42" s="21"/>
      <c r="W42" s="21"/>
      <c r="X42" s="21"/>
      <c r="Y42" s="21"/>
      <c r="Z42" s="10" t="s">
        <v>6</v>
      </c>
      <c r="AA42" s="21"/>
      <c r="AB42" s="10" t="s">
        <v>6</v>
      </c>
      <c r="AC42" s="10" t="s">
        <v>6</v>
      </c>
      <c r="AD42" s="10" t="s">
        <v>6</v>
      </c>
      <c r="AE42" s="21"/>
      <c r="AF42" s="21"/>
      <c r="AG42" s="21"/>
      <c r="AH42" s="25"/>
    </row>
    <row r="43" ht="30.0" customHeight="1">
      <c r="B43" s="20" t="s">
        <v>68</v>
      </c>
      <c r="C43" s="21"/>
      <c r="D43" s="21"/>
      <c r="E43" s="21"/>
      <c r="F43" s="21"/>
      <c r="G43" s="21"/>
      <c r="H43" s="21"/>
      <c r="I43" s="10" t="s">
        <v>6</v>
      </c>
      <c r="J43" s="21"/>
      <c r="K43" s="21"/>
      <c r="L43" s="21"/>
      <c r="M43" s="10" t="s">
        <v>6</v>
      </c>
      <c r="N43" s="21"/>
      <c r="O43" s="21"/>
      <c r="P43" s="21"/>
      <c r="Q43" s="21"/>
      <c r="R43" s="21"/>
      <c r="S43" s="22"/>
      <c r="T43" s="10" t="s">
        <v>6</v>
      </c>
      <c r="U43" s="21"/>
      <c r="V43" s="21"/>
      <c r="W43" s="21"/>
      <c r="X43" s="22"/>
      <c r="Y43" s="21"/>
      <c r="Z43" s="21"/>
      <c r="AA43" s="21"/>
      <c r="AB43" s="21"/>
      <c r="AC43" s="21"/>
      <c r="AD43" s="10" t="s">
        <v>6</v>
      </c>
      <c r="AE43" s="21"/>
      <c r="AF43" s="21"/>
      <c r="AG43" s="21"/>
      <c r="AH43" s="36">
        <v>4.0</v>
      </c>
    </row>
    <row r="44" ht="30.0" customHeight="1">
      <c r="B44" s="20" t="s">
        <v>61</v>
      </c>
      <c r="C44" s="21"/>
      <c r="D44" s="21"/>
      <c r="E44" s="21"/>
      <c r="F44" s="21"/>
      <c r="G44" s="21"/>
      <c r="H44" s="21"/>
      <c r="I44" s="10" t="s">
        <v>6</v>
      </c>
      <c r="J44" s="10" t="s">
        <v>6</v>
      </c>
      <c r="K44" s="21"/>
      <c r="L44" s="21"/>
      <c r="M44" s="10" t="s">
        <v>6</v>
      </c>
      <c r="N44" s="21"/>
      <c r="O44" s="21"/>
      <c r="P44" s="21"/>
      <c r="Q44" s="10" t="s">
        <v>6</v>
      </c>
      <c r="R44" s="21"/>
      <c r="S44" s="22"/>
      <c r="T44" s="10" t="s">
        <v>6</v>
      </c>
      <c r="U44" s="21"/>
      <c r="V44" s="21"/>
      <c r="W44" s="21"/>
      <c r="X44" s="22"/>
      <c r="Y44" s="21"/>
      <c r="Z44" s="21"/>
      <c r="AA44" s="21"/>
      <c r="AB44" s="21"/>
      <c r="AC44" s="21"/>
      <c r="AD44" s="21"/>
      <c r="AE44" s="21"/>
      <c r="AF44" s="21"/>
      <c r="AG44" s="21"/>
      <c r="AH44" s="25"/>
    </row>
    <row r="45" ht="30.0" customHeight="1">
      <c r="B45" s="20" t="s">
        <v>64</v>
      </c>
      <c r="C45" s="21"/>
      <c r="D45" s="21"/>
      <c r="E45" s="21"/>
      <c r="F45" s="21"/>
      <c r="G45" s="21"/>
      <c r="H45" s="21"/>
      <c r="I45" s="21"/>
      <c r="J45" s="22"/>
      <c r="K45" s="21"/>
      <c r="L45" s="21"/>
      <c r="M45" s="10" t="s">
        <v>6</v>
      </c>
      <c r="N45" s="21"/>
      <c r="O45" s="21"/>
      <c r="P45" s="21"/>
      <c r="Q45" s="21"/>
      <c r="R45" s="21"/>
      <c r="S45" s="22"/>
      <c r="T45" s="10" t="s">
        <v>6</v>
      </c>
      <c r="U45" s="21"/>
      <c r="V45" s="10" t="s">
        <v>6</v>
      </c>
      <c r="W45" s="21"/>
      <c r="X45" s="22"/>
      <c r="Y45" s="21"/>
      <c r="Z45" s="21"/>
      <c r="AA45" s="21"/>
      <c r="AB45" s="21"/>
      <c r="AC45" s="21"/>
      <c r="AD45" s="21"/>
      <c r="AE45" s="21"/>
      <c r="AF45" s="21"/>
      <c r="AG45" s="21"/>
      <c r="AH45" s="25"/>
    </row>
    <row r="46" ht="30.0" customHeight="1">
      <c r="B46" s="20" t="s">
        <v>56</v>
      </c>
      <c r="C46" s="21"/>
      <c r="D46" s="21"/>
      <c r="E46" s="21"/>
      <c r="F46" s="21"/>
      <c r="G46" s="21"/>
      <c r="H46" s="10" t="s">
        <v>6</v>
      </c>
      <c r="I46" s="21"/>
      <c r="J46" s="22"/>
      <c r="K46" s="21"/>
      <c r="L46" s="21"/>
      <c r="M46" s="10" t="s">
        <v>6</v>
      </c>
      <c r="N46" s="21"/>
      <c r="O46" s="10" t="s">
        <v>6</v>
      </c>
      <c r="P46" s="21"/>
      <c r="Q46" s="21"/>
      <c r="R46" s="21"/>
      <c r="S46" s="22"/>
      <c r="T46" s="10" t="s">
        <v>6</v>
      </c>
      <c r="U46" s="21"/>
      <c r="V46" s="10" t="s">
        <v>6</v>
      </c>
      <c r="W46" s="21"/>
      <c r="X46" s="22"/>
      <c r="Y46" s="21"/>
      <c r="Z46" s="21"/>
      <c r="AA46" s="21"/>
      <c r="AB46" s="21"/>
      <c r="AC46" s="21"/>
      <c r="AD46" s="21"/>
      <c r="AE46" s="21"/>
      <c r="AF46" s="21"/>
      <c r="AG46" s="21"/>
      <c r="AH46" s="25"/>
    </row>
    <row r="47" ht="30.0" customHeight="1">
      <c r="B47" s="39" t="s">
        <v>60</v>
      </c>
      <c r="C47" s="21"/>
      <c r="D47" s="21"/>
      <c r="E47" s="21"/>
      <c r="F47" s="21"/>
      <c r="G47" s="10" t="s">
        <v>6</v>
      </c>
      <c r="H47" s="10" t="s">
        <v>6</v>
      </c>
      <c r="I47" s="21"/>
      <c r="J47" s="22"/>
      <c r="K47" s="21"/>
      <c r="L47" s="21"/>
      <c r="M47" s="10" t="s">
        <v>6</v>
      </c>
      <c r="N47" s="21"/>
      <c r="O47" s="10" t="s">
        <v>6</v>
      </c>
      <c r="P47" s="21"/>
      <c r="Q47" s="21"/>
      <c r="R47" s="21"/>
      <c r="S47" s="22"/>
      <c r="T47" s="21"/>
      <c r="U47" s="21"/>
      <c r="V47" s="21"/>
      <c r="W47" s="21"/>
      <c r="X47" s="22"/>
      <c r="Y47" s="21"/>
      <c r="Z47" s="21"/>
      <c r="AA47" s="10" t="s">
        <v>6</v>
      </c>
      <c r="AB47" s="21"/>
      <c r="AC47" s="10" t="s">
        <v>6</v>
      </c>
      <c r="AD47" s="21"/>
      <c r="AE47" s="21"/>
      <c r="AF47" s="21"/>
      <c r="AG47" s="21"/>
      <c r="AH47" s="25"/>
    </row>
    <row r="48" ht="30.0" customHeight="1">
      <c r="B48" s="82" t="s">
        <v>55</v>
      </c>
      <c r="C48" s="21"/>
      <c r="D48" s="21"/>
      <c r="E48" s="21"/>
      <c r="F48" s="21"/>
      <c r="G48" s="40"/>
      <c r="H48" s="40"/>
      <c r="I48" s="21"/>
      <c r="J48" s="21"/>
      <c r="K48" s="21"/>
      <c r="L48" s="21"/>
      <c r="M48" s="40"/>
      <c r="N48" s="21"/>
      <c r="O48" s="40"/>
      <c r="P48" s="21"/>
      <c r="Q48" s="21"/>
      <c r="R48" s="21"/>
      <c r="S48" s="22"/>
      <c r="T48" s="10" t="s">
        <v>6</v>
      </c>
      <c r="U48" s="21"/>
      <c r="V48" s="21"/>
      <c r="W48" s="21"/>
      <c r="X48" s="22"/>
      <c r="Y48" s="21"/>
      <c r="Z48" s="21"/>
      <c r="AA48" s="21"/>
      <c r="AB48" s="21"/>
      <c r="AC48" s="10" t="s">
        <v>6</v>
      </c>
      <c r="AD48" s="21"/>
      <c r="AE48" s="21"/>
      <c r="AF48" s="21"/>
      <c r="AG48" s="21"/>
      <c r="AH48" s="36">
        <v>2.0</v>
      </c>
    </row>
    <row r="49" ht="30.0" customHeight="1">
      <c r="B49" s="82" t="s">
        <v>171</v>
      </c>
      <c r="C49" s="21"/>
      <c r="D49" s="21"/>
      <c r="E49" s="21"/>
      <c r="F49" s="21"/>
      <c r="G49" s="40"/>
      <c r="H49" s="40"/>
      <c r="I49" s="21"/>
      <c r="J49" s="21"/>
      <c r="K49" s="21"/>
      <c r="L49" s="21"/>
      <c r="M49" s="40"/>
      <c r="N49" s="21"/>
      <c r="O49" s="40"/>
      <c r="P49" s="21"/>
      <c r="Q49" s="10" t="s">
        <v>6</v>
      </c>
      <c r="R49" s="21"/>
      <c r="S49" s="22"/>
      <c r="T49" s="21"/>
      <c r="U49" s="21"/>
      <c r="V49" s="21"/>
      <c r="W49" s="21"/>
      <c r="X49" s="10" t="s">
        <v>6</v>
      </c>
      <c r="Y49" s="21"/>
      <c r="Z49" s="21"/>
      <c r="AA49" s="21"/>
      <c r="AB49" s="21"/>
      <c r="AC49" s="21"/>
      <c r="AD49" s="21"/>
      <c r="AE49" s="21"/>
      <c r="AF49" s="21"/>
      <c r="AG49" s="21"/>
      <c r="AH49" s="36">
        <v>2.0</v>
      </c>
    </row>
    <row r="50" ht="30.0" customHeight="1">
      <c r="B50" s="82" t="s">
        <v>172</v>
      </c>
      <c r="C50" s="21"/>
      <c r="D50" s="21"/>
      <c r="E50" s="21"/>
      <c r="F50" s="21"/>
      <c r="G50" s="40"/>
      <c r="H50" s="40"/>
      <c r="I50" s="21"/>
      <c r="J50" s="21"/>
      <c r="K50" s="21"/>
      <c r="L50" s="21"/>
      <c r="M50" s="40"/>
      <c r="N50" s="21"/>
      <c r="O50" s="40"/>
      <c r="P50" s="21"/>
      <c r="Q50" s="40"/>
      <c r="R50" s="21"/>
      <c r="S50" s="22"/>
      <c r="T50" s="21"/>
      <c r="U50" s="21"/>
      <c r="V50" s="21"/>
      <c r="W50" s="10" t="s">
        <v>6</v>
      </c>
      <c r="X50" s="22"/>
      <c r="Y50" s="21"/>
      <c r="Z50" s="21"/>
      <c r="AA50" s="21"/>
      <c r="AB50" s="21"/>
      <c r="AC50" s="10" t="s">
        <v>6</v>
      </c>
      <c r="AD50" s="21"/>
      <c r="AE50" s="21"/>
      <c r="AF50" s="21"/>
      <c r="AG50" s="21"/>
      <c r="AH50" s="36">
        <v>2.0</v>
      </c>
    </row>
    <row r="51" ht="30.0" customHeight="1">
      <c r="B51" s="26" t="str">
        <f>Febrero!MonthName&amp;" Total"</f>
        <v>Febrero Total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>
        <f>SUM(C51:AG51)</f>
        <v>0</v>
      </c>
    </row>
    <row r="52" ht="30.0" customHeight="1"/>
    <row r="53" ht="30.0" customHeight="1">
      <c r="B53" s="32" t="s">
        <v>161</v>
      </c>
      <c r="C53" s="80" t="s">
        <v>173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38">
        <v>2025.0</v>
      </c>
    </row>
    <row r="54" ht="30.0" customHeight="1">
      <c r="B54" s="32"/>
      <c r="C54" s="16" t="str">
        <f>TEXT(WEEKDAY(DATE(CalendarioAño,2,1),1),"ddd")</f>
        <v>sáb</v>
      </c>
      <c r="D54" s="16" t="str">
        <f>TEXT(WEEKDAY(DATE(CalendarioAño,2,2),1),"ddd")</f>
        <v>dom</v>
      </c>
      <c r="E54" s="16" t="str">
        <f>TEXT(WEEKDAY(DATE(CalendarioAño,2,3),1),"ddd")</f>
        <v>lun</v>
      </c>
      <c r="F54" s="16" t="str">
        <f>TEXT(WEEKDAY(DATE(CalendarioAño,2,4),1),"ddd")</f>
        <v>mar</v>
      </c>
      <c r="G54" s="16" t="str">
        <f>TEXT(WEEKDAY(DATE(CalendarioAño,2,5),1),"ddd")</f>
        <v>mié</v>
      </c>
      <c r="H54" s="16" t="str">
        <f>TEXT(WEEKDAY(DATE(CalendarioAño,2,6),1),"ddd")</f>
        <v>jue</v>
      </c>
      <c r="I54" s="16" t="str">
        <f>TEXT(WEEKDAY(DATE(CalendarioAño,2,7),1),"ddd")</f>
        <v>vie</v>
      </c>
      <c r="J54" s="16" t="str">
        <f>TEXT(WEEKDAY(DATE(CalendarioAño,2,8),1),"ddd")</f>
        <v>sáb</v>
      </c>
      <c r="K54" s="16" t="str">
        <f>TEXT(WEEKDAY(DATE(CalendarioAño,2,9),1),"ddd")</f>
        <v>dom</v>
      </c>
      <c r="L54" s="16" t="str">
        <f>TEXT(WEEKDAY(DATE(CalendarioAño,2,10),1),"ddd")</f>
        <v>lun</v>
      </c>
      <c r="M54" s="16" t="str">
        <f>TEXT(WEEKDAY(DATE(CalendarioAño,2,11),1),"ddd")</f>
        <v>mar</v>
      </c>
      <c r="N54" s="16" t="str">
        <f>TEXT(WEEKDAY(DATE(CalendarioAño,2,12),1),"ddd")</f>
        <v>mié</v>
      </c>
      <c r="O54" s="16" t="str">
        <f>TEXT(WEEKDAY(DATE(CalendarioAño,2,13),1),"ddd")</f>
        <v>jue</v>
      </c>
      <c r="P54" s="16" t="str">
        <f>TEXT(WEEKDAY(DATE(CalendarioAño,2,14),1),"ddd")</f>
        <v>vie</v>
      </c>
      <c r="Q54" s="16" t="str">
        <f>TEXT(WEEKDAY(DATE(CalendarioAño,2,15),1),"ddd")</f>
        <v>sáb</v>
      </c>
      <c r="R54" s="16" t="str">
        <f>TEXT(WEEKDAY(DATE(CalendarioAño,2,16),1),"ddd")</f>
        <v>dom</v>
      </c>
      <c r="S54" s="16" t="str">
        <f>TEXT(WEEKDAY(DATE(CalendarioAño,2,17),1),"ddd")</f>
        <v>lun</v>
      </c>
      <c r="T54" s="16" t="str">
        <f>TEXT(WEEKDAY(DATE(CalendarioAño,2,18),1),"ddd")</f>
        <v>mar</v>
      </c>
      <c r="U54" s="16" t="str">
        <f>TEXT(WEEKDAY(DATE(CalendarioAño,2,19),1),"ddd")</f>
        <v>mié</v>
      </c>
      <c r="V54" s="16" t="str">
        <f>TEXT(WEEKDAY(DATE(CalendarioAño,2,20),1),"ddd")</f>
        <v>jue</v>
      </c>
      <c r="W54" s="16" t="str">
        <f>TEXT(WEEKDAY(DATE(CalendarioAño,2,21),1),"ddd")</f>
        <v>vie</v>
      </c>
      <c r="X54" s="16" t="str">
        <f>TEXT(WEEKDAY(DATE(CalendarioAño,2,22),1),"ddd")</f>
        <v>sáb</v>
      </c>
      <c r="Y54" s="16" t="str">
        <f>TEXT(WEEKDAY(DATE(CalendarioAño,2,23),1),"ddd")</f>
        <v>dom</v>
      </c>
      <c r="Z54" s="16" t="str">
        <f>TEXT(WEEKDAY(DATE(CalendarioAño,2,24),1),"ddd")</f>
        <v>lun</v>
      </c>
      <c r="AA54" s="16" t="str">
        <f>TEXT(WEEKDAY(DATE(CalendarioAño,2,25),1),"ddd")</f>
        <v>mar</v>
      </c>
      <c r="AB54" s="16" t="str">
        <f>TEXT(WEEKDAY(DATE(CalendarioAño,2,26),1),"ddd")</f>
        <v>mié</v>
      </c>
      <c r="AC54" s="16" t="str">
        <f>TEXT(WEEKDAY(DATE(CalendarioAño,2,27),1),"ddd")</f>
        <v>jue</v>
      </c>
      <c r="AD54" s="16" t="str">
        <f>TEXT(WEEKDAY(DATE(CalendarioAño,2,28),1),"ddd")</f>
        <v>vie</v>
      </c>
      <c r="AE54" s="16" t="str">
        <f>TEXT(WEEKDAY(DATE(CalendarioAño,2,29),1),"ddd")</f>
        <v>sáb</v>
      </c>
      <c r="AF54" s="16"/>
      <c r="AG54" s="16"/>
      <c r="AH54" s="32"/>
    </row>
    <row r="55" ht="30.0" customHeight="1">
      <c r="B55" s="33" t="s">
        <v>162</v>
      </c>
      <c r="C55" s="19" t="s">
        <v>15</v>
      </c>
      <c r="D55" s="19" t="s">
        <v>16</v>
      </c>
      <c r="E55" s="19" t="s">
        <v>17</v>
      </c>
      <c r="F55" s="19" t="s">
        <v>18</v>
      </c>
      <c r="G55" s="19" t="s">
        <v>19</v>
      </c>
      <c r="H55" s="19" t="s">
        <v>20</v>
      </c>
      <c r="I55" s="19" t="s">
        <v>21</v>
      </c>
      <c r="J55" s="19" t="s">
        <v>22</v>
      </c>
      <c r="K55" s="19" t="s">
        <v>23</v>
      </c>
      <c r="L55" s="19" t="s">
        <v>24</v>
      </c>
      <c r="M55" s="19" t="s">
        <v>25</v>
      </c>
      <c r="N55" s="19" t="s">
        <v>26</v>
      </c>
      <c r="O55" s="19" t="s">
        <v>27</v>
      </c>
      <c r="P55" s="19" t="s">
        <v>28</v>
      </c>
      <c r="Q55" s="19" t="s">
        <v>29</v>
      </c>
      <c r="R55" s="19" t="s">
        <v>30</v>
      </c>
      <c r="S55" s="19" t="s">
        <v>31</v>
      </c>
      <c r="T55" s="19" t="s">
        <v>32</v>
      </c>
      <c r="U55" s="19" t="s">
        <v>33</v>
      </c>
      <c r="V55" s="19" t="s">
        <v>34</v>
      </c>
      <c r="W55" s="19" t="s">
        <v>35</v>
      </c>
      <c r="X55" s="19" t="s">
        <v>36</v>
      </c>
      <c r="Y55" s="19" t="s">
        <v>37</v>
      </c>
      <c r="Z55" s="19" t="s">
        <v>38</v>
      </c>
      <c r="AA55" s="19" t="s">
        <v>39</v>
      </c>
      <c r="AB55" s="19" t="s">
        <v>40</v>
      </c>
      <c r="AC55" s="19" t="s">
        <v>41</v>
      </c>
      <c r="AD55" s="19" t="s">
        <v>42</v>
      </c>
      <c r="AE55" s="19" t="s">
        <v>43</v>
      </c>
      <c r="AF55" s="19" t="s">
        <v>89</v>
      </c>
      <c r="AG55" s="19" t="s">
        <v>163</v>
      </c>
      <c r="AH55" s="19" t="s">
        <v>46</v>
      </c>
    </row>
    <row r="56" ht="30.0" customHeight="1">
      <c r="B56" s="20" t="s">
        <v>100</v>
      </c>
      <c r="C56" s="21"/>
      <c r="D56" s="21"/>
      <c r="E56" s="10" t="s">
        <v>6</v>
      </c>
      <c r="F56" s="21"/>
      <c r="G56" s="10" t="s">
        <v>6</v>
      </c>
      <c r="H56" s="21"/>
      <c r="I56" s="21"/>
      <c r="J56" s="21"/>
      <c r="K56" s="21"/>
      <c r="L56" s="10" t="s">
        <v>6</v>
      </c>
      <c r="M56" s="21"/>
      <c r="N56" s="21"/>
      <c r="O56" s="21"/>
      <c r="P56" s="21"/>
      <c r="Q56" s="22"/>
      <c r="R56" s="21"/>
      <c r="S56" s="22"/>
      <c r="T56" s="21"/>
      <c r="U56" s="21"/>
      <c r="V56" s="22"/>
      <c r="W56" s="22"/>
      <c r="X56" s="22"/>
      <c r="Y56" s="22"/>
      <c r="Z56" s="21"/>
      <c r="AA56" s="21"/>
      <c r="AB56" s="21"/>
      <c r="AC56" s="21"/>
      <c r="AD56" s="21"/>
      <c r="AE56" s="21"/>
      <c r="AF56" s="21"/>
      <c r="AG56" s="21"/>
      <c r="AH56" s="36">
        <v>3.0</v>
      </c>
    </row>
    <row r="57" ht="30.0" customHeight="1">
      <c r="B57" s="20" t="s">
        <v>101</v>
      </c>
      <c r="C57" s="22"/>
      <c r="D57" s="21"/>
      <c r="E57" s="10" t="s">
        <v>6</v>
      </c>
      <c r="F57" s="21"/>
      <c r="G57" s="21"/>
      <c r="H57" s="22"/>
      <c r="I57" s="21"/>
      <c r="J57" s="21"/>
      <c r="K57" s="21"/>
      <c r="L57" s="21"/>
      <c r="M57" s="21"/>
      <c r="N57" s="10" t="s">
        <v>6</v>
      </c>
      <c r="O57" s="21"/>
      <c r="P57" s="10" t="s">
        <v>6</v>
      </c>
      <c r="Q57" s="21"/>
      <c r="R57" s="21"/>
      <c r="S57" s="10" t="s">
        <v>6</v>
      </c>
      <c r="T57" s="21"/>
      <c r="U57" s="21"/>
      <c r="V57" s="22"/>
      <c r="W57" s="21"/>
      <c r="X57" s="22"/>
      <c r="Y57" s="22"/>
      <c r="Z57" s="21"/>
      <c r="AA57" s="21"/>
      <c r="AB57" s="21"/>
      <c r="AC57" s="22"/>
      <c r="AD57" s="21"/>
      <c r="AE57" s="22"/>
      <c r="AF57" s="21"/>
      <c r="AG57" s="21"/>
      <c r="AH57" s="25"/>
    </row>
    <row r="58" ht="30.0" customHeight="1">
      <c r="B58" s="20" t="s">
        <v>97</v>
      </c>
      <c r="C58" s="22"/>
      <c r="D58" s="22"/>
      <c r="E58" s="10" t="s">
        <v>6</v>
      </c>
      <c r="F58" s="21"/>
      <c r="G58" s="21"/>
      <c r="H58" s="22"/>
      <c r="I58" s="21"/>
      <c r="J58" s="21"/>
      <c r="K58" s="22"/>
      <c r="L58" s="21"/>
      <c r="M58" s="21"/>
      <c r="N58" s="21"/>
      <c r="O58" s="22"/>
      <c r="P58" s="21"/>
      <c r="Q58" s="22"/>
      <c r="R58" s="22"/>
      <c r="S58" s="10" t="s">
        <v>6</v>
      </c>
      <c r="T58" s="10" t="s">
        <v>6</v>
      </c>
      <c r="U58" s="10" t="s">
        <v>6</v>
      </c>
      <c r="V58" s="22"/>
      <c r="W58" s="21"/>
      <c r="X58" s="22"/>
      <c r="Y58" s="22"/>
      <c r="Z58" s="21"/>
      <c r="AA58" s="21"/>
      <c r="AB58" s="21"/>
      <c r="AC58" s="21"/>
      <c r="AD58" s="21"/>
      <c r="AE58" s="22"/>
      <c r="AF58" s="21"/>
      <c r="AG58" s="21"/>
      <c r="AH58" s="25"/>
    </row>
    <row r="59" ht="30.0" customHeight="1">
      <c r="B59" s="20" t="s">
        <v>91</v>
      </c>
      <c r="C59" s="21"/>
      <c r="D59" s="22"/>
      <c r="E59" s="10" t="s">
        <v>6</v>
      </c>
      <c r="F59" s="21"/>
      <c r="G59" s="21"/>
      <c r="H59" s="22"/>
      <c r="I59" s="10" t="s">
        <v>6</v>
      </c>
      <c r="J59" s="21"/>
      <c r="K59" s="21"/>
      <c r="L59" s="10" t="s">
        <v>6</v>
      </c>
      <c r="M59" s="21"/>
      <c r="N59" s="22"/>
      <c r="O59" s="21"/>
      <c r="P59" s="10" t="s">
        <v>6</v>
      </c>
      <c r="Q59" s="22"/>
      <c r="R59" s="21"/>
      <c r="S59" s="10" t="s">
        <v>6</v>
      </c>
      <c r="T59" s="21"/>
      <c r="U59" s="22"/>
      <c r="V59" s="21"/>
      <c r="W59" s="21"/>
      <c r="X59" s="22"/>
      <c r="Y59" s="21"/>
      <c r="Z59" s="10" t="s">
        <v>6</v>
      </c>
      <c r="AA59" s="21"/>
      <c r="AB59" s="21"/>
      <c r="AC59" s="21"/>
      <c r="AD59" s="21"/>
      <c r="AE59" s="21"/>
      <c r="AF59" s="21"/>
      <c r="AG59" s="21"/>
      <c r="AH59" s="36">
        <v>6.0</v>
      </c>
    </row>
    <row r="60" ht="30.0" customHeight="1">
      <c r="B60" s="39" t="s">
        <v>75</v>
      </c>
      <c r="C60" s="10" t="s">
        <v>6</v>
      </c>
      <c r="D60" s="21"/>
      <c r="E60" s="21"/>
      <c r="F60" s="10" t="s">
        <v>6</v>
      </c>
      <c r="G60" s="21"/>
      <c r="H60" s="10" t="s">
        <v>6</v>
      </c>
      <c r="I60" s="21"/>
      <c r="J60" s="10" t="s">
        <v>6</v>
      </c>
      <c r="K60" s="21"/>
      <c r="L60" s="21"/>
      <c r="M60" s="10" t="s">
        <v>6</v>
      </c>
      <c r="N60" s="21"/>
      <c r="O60" s="10" t="s">
        <v>6</v>
      </c>
      <c r="P60" s="21"/>
      <c r="Q60" s="10" t="s">
        <v>6</v>
      </c>
      <c r="R60" s="21"/>
      <c r="S60" s="21"/>
      <c r="T60" s="10" t="s">
        <v>6</v>
      </c>
      <c r="U60" s="21"/>
      <c r="V60" s="10" t="s">
        <v>6</v>
      </c>
      <c r="W60" s="21"/>
      <c r="X60" s="10" t="s">
        <v>6</v>
      </c>
      <c r="Y60" s="21"/>
      <c r="Z60" s="21"/>
      <c r="AA60" s="10" t="s">
        <v>6</v>
      </c>
      <c r="AB60" s="21"/>
      <c r="AC60" s="10" t="s">
        <v>6</v>
      </c>
      <c r="AD60" s="21"/>
      <c r="AE60" s="21"/>
      <c r="AF60" s="21"/>
      <c r="AG60" s="21"/>
      <c r="AH60" s="36">
        <v>12.0</v>
      </c>
    </row>
    <row r="61" ht="30.0" customHeight="1">
      <c r="B61" s="20" t="s">
        <v>85</v>
      </c>
      <c r="C61" s="10" t="s">
        <v>6</v>
      </c>
      <c r="D61" s="21"/>
      <c r="E61" s="21"/>
      <c r="F61" s="21"/>
      <c r="G61" s="10" t="s">
        <v>6</v>
      </c>
      <c r="H61" s="21"/>
      <c r="I61" s="21"/>
      <c r="J61" s="10" t="s">
        <v>6</v>
      </c>
      <c r="K61" s="21"/>
      <c r="L61" s="21"/>
      <c r="M61" s="21"/>
      <c r="N61" s="10" t="s">
        <v>6</v>
      </c>
      <c r="O61" s="21"/>
      <c r="P61" s="21"/>
      <c r="Q61" s="21"/>
      <c r="R61" s="21"/>
      <c r="S61" s="21"/>
      <c r="T61" s="21"/>
      <c r="U61" s="10" t="s">
        <v>6</v>
      </c>
      <c r="V61" s="21"/>
      <c r="W61" s="21"/>
      <c r="X61" s="10" t="s">
        <v>6</v>
      </c>
      <c r="Y61" s="21"/>
      <c r="Z61" s="21"/>
      <c r="AA61" s="21"/>
      <c r="AB61" s="21"/>
      <c r="AC61" s="21"/>
      <c r="AD61" s="21"/>
      <c r="AE61" s="21"/>
      <c r="AF61" s="21"/>
      <c r="AG61" s="21"/>
      <c r="AH61" s="25"/>
    </row>
    <row r="62" ht="30.0" customHeight="1">
      <c r="B62" s="20" t="s">
        <v>94</v>
      </c>
      <c r="C62" s="10" t="s">
        <v>6</v>
      </c>
      <c r="D62" s="21"/>
      <c r="E62" s="21"/>
      <c r="F62" s="21"/>
      <c r="G62" s="21"/>
      <c r="H62" s="21"/>
      <c r="I62" s="21"/>
      <c r="J62" s="10" t="s">
        <v>6</v>
      </c>
      <c r="K62" s="21"/>
      <c r="L62" s="21"/>
      <c r="M62" s="21"/>
      <c r="N62" s="21"/>
      <c r="O62" s="21"/>
      <c r="P62" s="21"/>
      <c r="Q62" s="10" t="s">
        <v>6</v>
      </c>
      <c r="R62" s="21"/>
      <c r="S62" s="21"/>
      <c r="T62" s="21"/>
      <c r="U62" s="21"/>
      <c r="V62" s="22"/>
      <c r="W62" s="22"/>
      <c r="X62" s="10" t="s">
        <v>6</v>
      </c>
      <c r="Y62" s="21"/>
      <c r="Z62" s="21"/>
      <c r="AA62" s="21"/>
      <c r="AB62" s="21"/>
      <c r="AC62" s="21"/>
      <c r="AD62" s="21"/>
      <c r="AE62" s="21"/>
      <c r="AF62" s="21"/>
      <c r="AG62" s="21"/>
      <c r="AH62" s="36">
        <v>4.0</v>
      </c>
    </row>
    <row r="63" ht="30.0" customHeight="1">
      <c r="B63" s="20" t="s">
        <v>102</v>
      </c>
      <c r="C63" s="10" t="s">
        <v>6</v>
      </c>
      <c r="D63" s="21"/>
      <c r="E63" s="21"/>
      <c r="F63" s="21"/>
      <c r="G63" s="21"/>
      <c r="H63" s="10" t="s">
        <v>6</v>
      </c>
      <c r="I63" s="21"/>
      <c r="J63" s="21"/>
      <c r="K63" s="21"/>
      <c r="L63" s="21"/>
      <c r="M63" s="10" t="s">
        <v>6</v>
      </c>
      <c r="N63" s="21"/>
      <c r="O63" s="10" t="s">
        <v>6</v>
      </c>
      <c r="P63" s="21"/>
      <c r="Q63" s="21"/>
      <c r="R63" s="21"/>
      <c r="S63" s="21"/>
      <c r="T63" s="10" t="s">
        <v>6</v>
      </c>
      <c r="U63" s="21"/>
      <c r="V63" s="10" t="s">
        <v>6</v>
      </c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36">
        <v>6.0</v>
      </c>
    </row>
    <row r="64" ht="30.0" customHeight="1">
      <c r="B64" s="20" t="s">
        <v>99</v>
      </c>
      <c r="C64" s="21"/>
      <c r="D64" s="21"/>
      <c r="E64" s="21"/>
      <c r="F64" s="21"/>
      <c r="G64" s="10" t="s">
        <v>6</v>
      </c>
      <c r="H64" s="21"/>
      <c r="I64" s="21"/>
      <c r="J64" s="22"/>
      <c r="K64" s="21"/>
      <c r="L64" s="21"/>
      <c r="M64" s="10" t="s">
        <v>6</v>
      </c>
      <c r="N64" s="21"/>
      <c r="O64" s="21"/>
      <c r="P64" s="21"/>
      <c r="Q64" s="21"/>
      <c r="R64" s="21"/>
      <c r="S64" s="22"/>
      <c r="T64" s="21"/>
      <c r="U64" s="21"/>
      <c r="V64" s="21"/>
      <c r="W64" s="10" t="s">
        <v>6</v>
      </c>
      <c r="X64" s="10" t="s">
        <v>6</v>
      </c>
      <c r="Y64" s="21"/>
      <c r="Z64" s="21"/>
      <c r="AA64" s="21"/>
      <c r="AB64" s="10" t="s">
        <v>6</v>
      </c>
      <c r="AC64" s="21"/>
      <c r="AD64" s="10" t="s">
        <v>6</v>
      </c>
      <c r="AE64" s="21"/>
      <c r="AF64" s="21"/>
      <c r="AG64" s="21"/>
      <c r="AH64" s="25"/>
    </row>
    <row r="65" ht="30.0" customHeight="1">
      <c r="B65" s="20" t="s">
        <v>87</v>
      </c>
      <c r="C65" s="21"/>
      <c r="D65" s="21"/>
      <c r="E65" s="21"/>
      <c r="F65" s="21"/>
      <c r="G65" s="10" t="s">
        <v>6</v>
      </c>
      <c r="H65" s="21"/>
      <c r="I65" s="21"/>
      <c r="J65" s="22"/>
      <c r="K65" s="21"/>
      <c r="L65" s="21"/>
      <c r="M65" s="21"/>
      <c r="N65" s="10" t="s">
        <v>6</v>
      </c>
      <c r="O65" s="21"/>
      <c r="P65" s="10" t="s">
        <v>6</v>
      </c>
      <c r="Q65" s="21"/>
      <c r="R65" s="21"/>
      <c r="S65" s="22"/>
      <c r="T65" s="21"/>
      <c r="U65" s="21"/>
      <c r="V65" s="21"/>
      <c r="W65" s="21"/>
      <c r="X65" s="22"/>
      <c r="Y65" s="21"/>
      <c r="Z65" s="21"/>
      <c r="AA65" s="21"/>
      <c r="AB65" s="10" t="s">
        <v>6</v>
      </c>
      <c r="AC65" s="21"/>
      <c r="AD65" s="83" t="s">
        <v>174</v>
      </c>
      <c r="AE65" s="21"/>
      <c r="AF65" s="21"/>
      <c r="AG65" s="21"/>
      <c r="AH65" s="36">
        <v>6.0</v>
      </c>
    </row>
    <row r="66" ht="30.0" customHeight="1">
      <c r="B66" s="20" t="s">
        <v>79</v>
      </c>
      <c r="C66" s="27"/>
      <c r="D66" s="27"/>
      <c r="E66" s="27"/>
      <c r="F66" s="27"/>
      <c r="G66" s="27"/>
      <c r="H66" s="10" t="s">
        <v>6</v>
      </c>
      <c r="I66" s="27"/>
      <c r="J66" s="27"/>
      <c r="K66" s="27"/>
      <c r="L66" s="27"/>
      <c r="M66" s="10" t="s">
        <v>6</v>
      </c>
      <c r="N66" s="27"/>
      <c r="O66" s="10" t="s">
        <v>6</v>
      </c>
      <c r="P66" s="27"/>
      <c r="Q66" s="27"/>
      <c r="R66" s="27"/>
      <c r="S66" s="27"/>
      <c r="T66" s="10" t="s">
        <v>6</v>
      </c>
      <c r="U66" s="27"/>
      <c r="V66" s="10" t="s">
        <v>6</v>
      </c>
      <c r="W66" s="27"/>
      <c r="X66" s="27"/>
      <c r="Y66" s="27"/>
      <c r="Z66" s="10" t="s">
        <v>6</v>
      </c>
      <c r="AA66" s="27"/>
      <c r="AB66" s="10" t="s">
        <v>6</v>
      </c>
      <c r="AC66" s="10" t="s">
        <v>6</v>
      </c>
      <c r="AD66" s="10" t="s">
        <v>6</v>
      </c>
      <c r="AE66" s="27"/>
      <c r="AF66" s="27"/>
      <c r="AG66" s="27"/>
      <c r="AH66" s="37">
        <v>9.0</v>
      </c>
    </row>
    <row r="67" ht="30.0" customHeight="1">
      <c r="B67" s="20" t="s">
        <v>83</v>
      </c>
      <c r="C67" s="27"/>
      <c r="D67" s="27"/>
      <c r="E67" s="27"/>
      <c r="F67" s="27"/>
      <c r="G67" s="27"/>
      <c r="H67" s="10" t="s">
        <v>6</v>
      </c>
      <c r="I67" s="27"/>
      <c r="J67" s="10" t="s">
        <v>6</v>
      </c>
      <c r="K67" s="27"/>
      <c r="L67" s="27"/>
      <c r="M67" s="10" t="s">
        <v>6</v>
      </c>
      <c r="N67" s="27"/>
      <c r="O67" s="10" t="s">
        <v>6</v>
      </c>
      <c r="P67" s="27"/>
      <c r="Q67" s="27"/>
      <c r="R67" s="27"/>
      <c r="S67" s="27"/>
      <c r="T67" s="10" t="s">
        <v>6</v>
      </c>
      <c r="U67" s="27"/>
      <c r="V67" s="27"/>
      <c r="W67" s="10" t="s">
        <v>6</v>
      </c>
      <c r="X67" s="10" t="s">
        <v>6</v>
      </c>
      <c r="Y67" s="27"/>
      <c r="Z67" s="27"/>
      <c r="AA67" s="27"/>
      <c r="AB67" s="10" t="s">
        <v>6</v>
      </c>
      <c r="AC67" s="10" t="s">
        <v>6</v>
      </c>
      <c r="AD67" s="10" t="s">
        <v>6</v>
      </c>
      <c r="AE67" s="27"/>
      <c r="AF67" s="27"/>
      <c r="AG67" s="27"/>
      <c r="AH67" s="27"/>
    </row>
    <row r="68" ht="30.0" customHeight="1">
      <c r="B68" s="39" t="s">
        <v>77</v>
      </c>
      <c r="C68" s="27"/>
      <c r="D68" s="27"/>
      <c r="E68" s="27"/>
      <c r="F68" s="27"/>
      <c r="G68" s="27"/>
      <c r="H68" s="10" t="s">
        <v>6</v>
      </c>
      <c r="I68" s="27"/>
      <c r="J68" s="27"/>
      <c r="K68" s="27"/>
      <c r="L68" s="27"/>
      <c r="M68" s="10" t="s">
        <v>6</v>
      </c>
      <c r="N68" s="27"/>
      <c r="O68" s="10" t="s">
        <v>6</v>
      </c>
      <c r="P68" s="27"/>
      <c r="Q68" s="27"/>
      <c r="R68" s="27"/>
      <c r="S68" s="27"/>
      <c r="T68" s="10" t="s">
        <v>6</v>
      </c>
      <c r="U68" s="27"/>
      <c r="V68" s="10" t="s">
        <v>6</v>
      </c>
      <c r="W68" s="27"/>
      <c r="X68" s="27"/>
      <c r="Y68" s="27"/>
      <c r="Z68" s="27"/>
      <c r="AA68" s="10" t="s">
        <v>6</v>
      </c>
      <c r="AB68" s="27"/>
      <c r="AC68" s="10" t="s">
        <v>6</v>
      </c>
      <c r="AD68" s="27"/>
      <c r="AE68" s="27"/>
      <c r="AF68" s="27"/>
      <c r="AG68" s="27"/>
      <c r="AH68" s="37">
        <v>7.0</v>
      </c>
    </row>
    <row r="69" ht="30.0" customHeight="1">
      <c r="B69" s="20" t="s">
        <v>86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10" t="s">
        <v>6</v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</row>
    <row r="70" ht="30.0" customHeight="1">
      <c r="B70" s="20" t="s">
        <v>80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10" t="s">
        <v>6</v>
      </c>
      <c r="Q70" s="27"/>
      <c r="R70" s="27"/>
      <c r="S70" s="27"/>
      <c r="T70" s="10" t="s">
        <v>6</v>
      </c>
      <c r="U70" s="27"/>
      <c r="V70" s="27"/>
      <c r="W70" s="10" t="s">
        <v>6</v>
      </c>
      <c r="X70" s="27"/>
      <c r="Y70" s="27"/>
      <c r="Z70" s="10" t="s">
        <v>6</v>
      </c>
      <c r="AA70" s="10" t="s">
        <v>6</v>
      </c>
      <c r="AB70" s="10" t="s">
        <v>6</v>
      </c>
      <c r="AC70" s="10" t="s">
        <v>6</v>
      </c>
      <c r="AD70" s="10" t="s">
        <v>6</v>
      </c>
      <c r="AE70" s="27"/>
      <c r="AF70" s="27"/>
      <c r="AG70" s="27"/>
      <c r="AH70" s="37">
        <v>7.0</v>
      </c>
    </row>
    <row r="71" ht="30.0" customHeight="1">
      <c r="B71" s="20" t="s">
        <v>175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10" t="s">
        <v>6</v>
      </c>
      <c r="Q71" s="27"/>
      <c r="R71" s="27"/>
      <c r="S71" s="27"/>
      <c r="T71" s="10" t="s">
        <v>6</v>
      </c>
      <c r="U71" s="27"/>
      <c r="V71" s="27"/>
      <c r="W71" s="10" t="s">
        <v>6</v>
      </c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</row>
    <row r="72" ht="30.0" customHeight="1">
      <c r="B72" s="20" t="s">
        <v>82</v>
      </c>
      <c r="C72" s="27"/>
      <c r="D72" s="27"/>
      <c r="E72" s="27"/>
      <c r="F72" s="27"/>
      <c r="G72" s="27"/>
      <c r="H72" s="10" t="s">
        <v>6</v>
      </c>
      <c r="I72" s="27"/>
      <c r="J72" s="27"/>
      <c r="K72" s="27"/>
      <c r="L72" s="27"/>
      <c r="M72" s="10" t="s">
        <v>6</v>
      </c>
      <c r="N72" s="27"/>
      <c r="O72" s="10" t="s">
        <v>6</v>
      </c>
      <c r="P72" s="27"/>
      <c r="Q72" s="27"/>
      <c r="R72" s="27"/>
      <c r="S72" s="27"/>
      <c r="T72" s="10" t="s">
        <v>6</v>
      </c>
      <c r="U72" s="27"/>
      <c r="V72" s="27"/>
      <c r="W72" s="84"/>
      <c r="X72" s="27"/>
      <c r="Y72" s="27"/>
      <c r="Z72" s="27"/>
      <c r="AA72" s="27"/>
      <c r="AB72" s="27"/>
      <c r="AC72" s="10" t="s">
        <v>6</v>
      </c>
      <c r="AD72" s="27"/>
      <c r="AE72" s="27"/>
      <c r="AF72" s="27"/>
      <c r="AG72" s="27"/>
      <c r="AH72" s="27"/>
    </row>
    <row r="73" ht="30.0" customHeight="1">
      <c r="B73" s="39" t="s">
        <v>76</v>
      </c>
      <c r="C73" s="27"/>
      <c r="D73" s="27"/>
      <c r="E73" s="27"/>
      <c r="F73" s="27"/>
      <c r="G73" s="27"/>
      <c r="H73" s="10" t="s">
        <v>6</v>
      </c>
      <c r="I73" s="27"/>
      <c r="J73" s="27"/>
      <c r="K73" s="27"/>
      <c r="L73" s="27"/>
      <c r="M73" s="10" t="s">
        <v>6</v>
      </c>
      <c r="N73" s="27"/>
      <c r="O73" s="10" t="s">
        <v>6</v>
      </c>
      <c r="P73" s="27"/>
      <c r="Q73" s="27"/>
      <c r="R73" s="27"/>
      <c r="S73" s="27"/>
      <c r="T73" s="10" t="s">
        <v>6</v>
      </c>
      <c r="U73" s="27"/>
      <c r="V73" s="10" t="s">
        <v>6</v>
      </c>
      <c r="W73" s="27"/>
      <c r="X73" s="27"/>
      <c r="Y73" s="27"/>
      <c r="Z73" s="27"/>
      <c r="AA73" s="10" t="s">
        <v>6</v>
      </c>
      <c r="AB73" s="27"/>
      <c r="AC73" s="10" t="s">
        <v>6</v>
      </c>
      <c r="AD73" s="27"/>
      <c r="AE73" s="27"/>
      <c r="AF73" s="27"/>
      <c r="AG73" s="27"/>
      <c r="AH73" s="37">
        <v>7.0</v>
      </c>
    </row>
    <row r="74" ht="30.0" customHeight="1">
      <c r="B74" s="82" t="s">
        <v>176</v>
      </c>
      <c r="C74" s="27"/>
      <c r="D74" s="27"/>
      <c r="E74" s="27"/>
      <c r="F74" s="27"/>
      <c r="G74" s="27"/>
      <c r="H74" s="40"/>
      <c r="I74" s="27"/>
      <c r="J74" s="27"/>
      <c r="K74" s="27"/>
      <c r="L74" s="27"/>
      <c r="M74" s="40"/>
      <c r="N74" s="27"/>
      <c r="O74" s="40"/>
      <c r="P74" s="27"/>
      <c r="Q74" s="27"/>
      <c r="R74" s="27"/>
      <c r="S74" s="27"/>
      <c r="T74" s="40"/>
      <c r="U74" s="10" t="s">
        <v>6</v>
      </c>
      <c r="V74" s="40"/>
      <c r="W74" s="10" t="s">
        <v>6</v>
      </c>
      <c r="X74" s="27"/>
      <c r="Y74" s="27"/>
      <c r="Z74" s="10" t="s">
        <v>6</v>
      </c>
      <c r="AA74" s="27"/>
      <c r="AB74" s="27"/>
      <c r="AC74" s="27"/>
      <c r="AD74" s="10" t="s">
        <v>6</v>
      </c>
      <c r="AE74" s="27"/>
      <c r="AF74" s="27"/>
      <c r="AG74" s="27"/>
      <c r="AH74" s="37">
        <v>4.0</v>
      </c>
    </row>
    <row r="75" ht="30.0" customHeight="1">
      <c r="B75" s="26" t="str">
        <f>Febrero!MonthName&amp;" Total"</f>
        <v>Febrero Total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>
        <f>SUM(C75:AG75)</f>
        <v>0</v>
      </c>
    </row>
    <row r="76" ht="30.0" customHeight="1"/>
    <row r="77" ht="30.0" customHeight="1">
      <c r="B77" s="32" t="s">
        <v>161</v>
      </c>
      <c r="C77" s="80" t="s">
        <v>177</v>
      </c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38">
        <v>2025.0</v>
      </c>
    </row>
    <row r="78" ht="30.0" customHeight="1">
      <c r="B78" s="32"/>
      <c r="C78" s="16" t="str">
        <f>TEXT(WEEKDAY(DATE(CalendarioAño,2,1),1),"ddd")</f>
        <v>sáb</v>
      </c>
      <c r="D78" s="16" t="str">
        <f>TEXT(WEEKDAY(DATE(CalendarioAño,2,2),1),"ddd")</f>
        <v>dom</v>
      </c>
      <c r="E78" s="16" t="str">
        <f>TEXT(WEEKDAY(DATE(CalendarioAño,2,3),1),"ddd")</f>
        <v>lun</v>
      </c>
      <c r="F78" s="16" t="str">
        <f>TEXT(WEEKDAY(DATE(CalendarioAño,2,4),1),"ddd")</f>
        <v>mar</v>
      </c>
      <c r="G78" s="16" t="str">
        <f>TEXT(WEEKDAY(DATE(CalendarioAño,2,5),1),"ddd")</f>
        <v>mié</v>
      </c>
      <c r="H78" s="16" t="str">
        <f>TEXT(WEEKDAY(DATE(CalendarioAño,2,6),1),"ddd")</f>
        <v>jue</v>
      </c>
      <c r="I78" s="16" t="str">
        <f>TEXT(WEEKDAY(DATE(CalendarioAño,2,7),1),"ddd")</f>
        <v>vie</v>
      </c>
      <c r="J78" s="16" t="str">
        <f>TEXT(WEEKDAY(DATE(CalendarioAño,2,8),1),"ddd")</f>
        <v>sáb</v>
      </c>
      <c r="K78" s="16" t="str">
        <f>TEXT(WEEKDAY(DATE(CalendarioAño,2,9),1),"ddd")</f>
        <v>dom</v>
      </c>
      <c r="L78" s="16" t="str">
        <f>TEXT(WEEKDAY(DATE(CalendarioAño,2,10),1),"ddd")</f>
        <v>lun</v>
      </c>
      <c r="M78" s="16" t="str">
        <f>TEXT(WEEKDAY(DATE(CalendarioAño,2,11),1),"ddd")</f>
        <v>mar</v>
      </c>
      <c r="N78" s="16" t="str">
        <f>TEXT(WEEKDAY(DATE(CalendarioAño,2,12),1),"ddd")</f>
        <v>mié</v>
      </c>
      <c r="O78" s="16" t="str">
        <f>TEXT(WEEKDAY(DATE(CalendarioAño,2,13),1),"ddd")</f>
        <v>jue</v>
      </c>
      <c r="P78" s="16" t="str">
        <f>TEXT(WEEKDAY(DATE(CalendarioAño,2,14),1),"ddd")</f>
        <v>vie</v>
      </c>
      <c r="Q78" s="16" t="str">
        <f>TEXT(WEEKDAY(DATE(CalendarioAño,2,15),1),"ddd")</f>
        <v>sáb</v>
      </c>
      <c r="R78" s="16" t="str">
        <f>TEXT(WEEKDAY(DATE(CalendarioAño,2,16),1),"ddd")</f>
        <v>dom</v>
      </c>
      <c r="S78" s="16" t="str">
        <f>TEXT(WEEKDAY(DATE(CalendarioAño,2,17),1),"ddd")</f>
        <v>lun</v>
      </c>
      <c r="T78" s="16" t="str">
        <f>TEXT(WEEKDAY(DATE(CalendarioAño,2,18),1),"ddd")</f>
        <v>mar</v>
      </c>
      <c r="U78" s="16" t="str">
        <f>TEXT(WEEKDAY(DATE(CalendarioAño,2,19),1),"ddd")</f>
        <v>mié</v>
      </c>
      <c r="V78" s="16" t="str">
        <f>TEXT(WEEKDAY(DATE(CalendarioAño,2,20),1),"ddd")</f>
        <v>jue</v>
      </c>
      <c r="W78" s="16" t="str">
        <f>TEXT(WEEKDAY(DATE(CalendarioAño,2,21),1),"ddd")</f>
        <v>vie</v>
      </c>
      <c r="X78" s="16" t="str">
        <f>TEXT(WEEKDAY(DATE(CalendarioAño,2,22),1),"ddd")</f>
        <v>sáb</v>
      </c>
      <c r="Y78" s="16" t="str">
        <f>TEXT(WEEKDAY(DATE(CalendarioAño,2,23),1),"ddd")</f>
        <v>dom</v>
      </c>
      <c r="Z78" s="16" t="str">
        <f>TEXT(WEEKDAY(DATE(CalendarioAño,2,24),1),"ddd")</f>
        <v>lun</v>
      </c>
      <c r="AA78" s="16" t="str">
        <f>TEXT(WEEKDAY(DATE(CalendarioAño,2,25),1),"ddd")</f>
        <v>mar</v>
      </c>
      <c r="AB78" s="16" t="str">
        <f>TEXT(WEEKDAY(DATE(CalendarioAño,2,26),1),"ddd")</f>
        <v>mié</v>
      </c>
      <c r="AC78" s="16" t="str">
        <f>TEXT(WEEKDAY(DATE(CalendarioAño,2,27),1),"ddd")</f>
        <v>jue</v>
      </c>
      <c r="AD78" s="16" t="str">
        <f>TEXT(WEEKDAY(DATE(CalendarioAño,2,28),1),"ddd")</f>
        <v>vie</v>
      </c>
      <c r="AE78" s="16" t="str">
        <f>TEXT(WEEKDAY(DATE(CalendarioAño,2,29),1),"ddd")</f>
        <v>sáb</v>
      </c>
      <c r="AF78" s="16"/>
      <c r="AG78" s="16"/>
      <c r="AH78" s="32"/>
    </row>
    <row r="79" ht="30.0" customHeight="1">
      <c r="B79" s="33" t="s">
        <v>162</v>
      </c>
      <c r="C79" s="19" t="s">
        <v>15</v>
      </c>
      <c r="D79" s="19" t="s">
        <v>16</v>
      </c>
      <c r="E79" s="19" t="s">
        <v>17</v>
      </c>
      <c r="F79" s="19" t="s">
        <v>18</v>
      </c>
      <c r="G79" s="19" t="s">
        <v>19</v>
      </c>
      <c r="H79" s="19" t="s">
        <v>20</v>
      </c>
      <c r="I79" s="19" t="s">
        <v>21</v>
      </c>
      <c r="J79" s="19" t="s">
        <v>22</v>
      </c>
      <c r="K79" s="19" t="s">
        <v>23</v>
      </c>
      <c r="L79" s="19" t="s">
        <v>24</v>
      </c>
      <c r="M79" s="19" t="s">
        <v>25</v>
      </c>
      <c r="N79" s="19" t="s">
        <v>26</v>
      </c>
      <c r="O79" s="19" t="s">
        <v>27</v>
      </c>
      <c r="P79" s="19" t="s">
        <v>28</v>
      </c>
      <c r="Q79" s="19" t="s">
        <v>29</v>
      </c>
      <c r="R79" s="19" t="s">
        <v>30</v>
      </c>
      <c r="S79" s="19" t="s">
        <v>31</v>
      </c>
      <c r="T79" s="19" t="s">
        <v>32</v>
      </c>
      <c r="U79" s="19" t="s">
        <v>33</v>
      </c>
      <c r="V79" s="19" t="s">
        <v>34</v>
      </c>
      <c r="W79" s="19" t="s">
        <v>35</v>
      </c>
      <c r="X79" s="19" t="s">
        <v>36</v>
      </c>
      <c r="Y79" s="19" t="s">
        <v>37</v>
      </c>
      <c r="Z79" s="19" t="s">
        <v>38</v>
      </c>
      <c r="AA79" s="19" t="s">
        <v>39</v>
      </c>
      <c r="AB79" s="19" t="s">
        <v>40</v>
      </c>
      <c r="AC79" s="19" t="s">
        <v>41</v>
      </c>
      <c r="AD79" s="19" t="s">
        <v>42</v>
      </c>
      <c r="AE79" s="19" t="s">
        <v>43</v>
      </c>
      <c r="AF79" s="19" t="s">
        <v>89</v>
      </c>
      <c r="AG79" s="19" t="s">
        <v>163</v>
      </c>
      <c r="AH79" s="19" t="s">
        <v>46</v>
      </c>
    </row>
    <row r="80" ht="30.0" customHeight="1">
      <c r="B80" s="47" t="s">
        <v>121</v>
      </c>
      <c r="C80" s="10" t="s">
        <v>6</v>
      </c>
      <c r="D80" s="21"/>
      <c r="E80" s="21"/>
      <c r="F80" s="21"/>
      <c r="G80" s="21"/>
      <c r="H80" s="21"/>
      <c r="I80" s="21"/>
      <c r="J80" s="10" t="s">
        <v>6</v>
      </c>
      <c r="K80" s="21"/>
      <c r="L80" s="21"/>
      <c r="M80" s="21"/>
      <c r="N80" s="21"/>
      <c r="O80" s="21"/>
      <c r="P80" s="21"/>
      <c r="Q80" s="10" t="s">
        <v>6</v>
      </c>
      <c r="R80" s="21"/>
      <c r="S80" s="22"/>
      <c r="T80" s="21"/>
      <c r="U80" s="21"/>
      <c r="V80" s="22"/>
      <c r="W80" s="22"/>
      <c r="X80" s="22"/>
      <c r="Y80" s="22"/>
      <c r="Z80" s="21"/>
      <c r="AA80" s="21"/>
      <c r="AB80" s="21"/>
      <c r="AC80" s="21"/>
      <c r="AD80" s="21"/>
      <c r="AE80" s="21"/>
      <c r="AF80" s="21"/>
      <c r="AG80" s="21"/>
      <c r="AH80" s="25"/>
    </row>
    <row r="81" ht="30.0" customHeight="1">
      <c r="B81" s="47" t="s">
        <v>122</v>
      </c>
      <c r="C81" s="10" t="s">
        <v>6</v>
      </c>
      <c r="D81" s="21"/>
      <c r="E81" s="21"/>
      <c r="F81" s="21"/>
      <c r="G81" s="21"/>
      <c r="H81" s="22"/>
      <c r="I81" s="21"/>
      <c r="J81" s="10" t="s">
        <v>6</v>
      </c>
      <c r="K81" s="21"/>
      <c r="L81" s="21"/>
      <c r="M81" s="21"/>
      <c r="N81" s="21"/>
      <c r="O81" s="21"/>
      <c r="P81" s="21"/>
      <c r="Q81" s="10" t="s">
        <v>6</v>
      </c>
      <c r="R81" s="21"/>
      <c r="S81" s="21"/>
      <c r="T81" s="21"/>
      <c r="U81" s="21"/>
      <c r="V81" s="22"/>
      <c r="W81" s="21"/>
      <c r="X81" s="22"/>
      <c r="Y81" s="22"/>
      <c r="Z81" s="21"/>
      <c r="AA81" s="21"/>
      <c r="AB81" s="21"/>
      <c r="AC81" s="22"/>
      <c r="AD81" s="21"/>
      <c r="AE81" s="22"/>
      <c r="AF81" s="21"/>
      <c r="AG81" s="21"/>
      <c r="AH81" s="25"/>
    </row>
    <row r="82" ht="30.0" customHeight="1">
      <c r="B82" s="47" t="s">
        <v>124</v>
      </c>
      <c r="C82" s="10" t="s">
        <v>6</v>
      </c>
      <c r="D82" s="22"/>
      <c r="E82" s="21"/>
      <c r="F82" s="21"/>
      <c r="G82" s="21"/>
      <c r="H82" s="10" t="s">
        <v>6</v>
      </c>
      <c r="I82" s="21"/>
      <c r="J82" s="10" t="s">
        <v>6</v>
      </c>
      <c r="K82" s="22"/>
      <c r="L82" s="21"/>
      <c r="M82" s="21"/>
      <c r="N82" s="21"/>
      <c r="O82" s="10" t="s">
        <v>6</v>
      </c>
      <c r="P82" s="21"/>
      <c r="Q82" s="10" t="s">
        <v>6</v>
      </c>
      <c r="R82" s="22"/>
      <c r="S82" s="21"/>
      <c r="T82" s="21"/>
      <c r="U82" s="21"/>
      <c r="V82" s="22"/>
      <c r="W82" s="21"/>
      <c r="X82" s="10" t="s">
        <v>6</v>
      </c>
      <c r="Y82" s="22"/>
      <c r="Z82" s="21"/>
      <c r="AA82" s="21"/>
      <c r="AB82" s="21"/>
      <c r="AC82" s="10" t="s">
        <v>6</v>
      </c>
      <c r="AD82" s="21"/>
      <c r="AE82" s="22"/>
      <c r="AF82" s="21"/>
      <c r="AG82" s="21"/>
      <c r="AH82" s="36">
        <v>7.0</v>
      </c>
    </row>
    <row r="83" ht="30.0" customHeight="1">
      <c r="B83" s="44" t="s">
        <v>115</v>
      </c>
      <c r="C83" s="10" t="s">
        <v>6</v>
      </c>
      <c r="D83" s="22"/>
      <c r="E83" s="21"/>
      <c r="F83" s="21"/>
      <c r="G83" s="21"/>
      <c r="H83" s="22"/>
      <c r="I83" s="10" t="s">
        <v>6</v>
      </c>
      <c r="J83" s="10" t="s">
        <v>6</v>
      </c>
      <c r="K83" s="21"/>
      <c r="L83" s="21"/>
      <c r="M83" s="21"/>
      <c r="N83" s="22"/>
      <c r="O83" s="21"/>
      <c r="P83" s="10" t="s">
        <v>6</v>
      </c>
      <c r="Q83" s="10" t="s">
        <v>6</v>
      </c>
      <c r="R83" s="21"/>
      <c r="S83" s="21"/>
      <c r="T83" s="21"/>
      <c r="U83" s="22"/>
      <c r="V83" s="21"/>
      <c r="W83" s="10" t="s">
        <v>6</v>
      </c>
      <c r="X83" s="10" t="s">
        <v>6</v>
      </c>
      <c r="Y83" s="21"/>
      <c r="Z83" s="21"/>
      <c r="AA83" s="21"/>
      <c r="AB83" s="21"/>
      <c r="AC83" s="10" t="s">
        <v>6</v>
      </c>
      <c r="AD83" s="10" t="s">
        <v>6</v>
      </c>
      <c r="AE83" s="21"/>
      <c r="AF83" s="21"/>
      <c r="AG83" s="21"/>
      <c r="AH83" s="25"/>
    </row>
    <row r="84" ht="30.0" customHeight="1">
      <c r="B84" s="81" t="s">
        <v>78</v>
      </c>
      <c r="C84" s="10" t="s">
        <v>6</v>
      </c>
      <c r="D84" s="21"/>
      <c r="E84" s="21"/>
      <c r="F84" s="10" t="s">
        <v>6</v>
      </c>
      <c r="G84" s="21"/>
      <c r="H84" s="21"/>
      <c r="I84" s="21"/>
      <c r="J84" s="21"/>
      <c r="K84" s="21"/>
      <c r="L84" s="21"/>
      <c r="M84" s="10" t="s">
        <v>6</v>
      </c>
      <c r="N84" s="21"/>
      <c r="O84" s="10" t="s">
        <v>6</v>
      </c>
      <c r="P84" s="21"/>
      <c r="Q84" s="21"/>
      <c r="R84" s="21"/>
      <c r="S84" s="21"/>
      <c r="T84" s="10" t="s">
        <v>6</v>
      </c>
      <c r="U84" s="21"/>
      <c r="V84" s="10" t="s">
        <v>6</v>
      </c>
      <c r="W84" s="21"/>
      <c r="X84" s="21"/>
      <c r="Y84" s="21"/>
      <c r="Z84" s="10" t="s">
        <v>6</v>
      </c>
      <c r="AA84" s="10" t="s">
        <v>6</v>
      </c>
      <c r="AB84" s="10" t="s">
        <v>6</v>
      </c>
      <c r="AC84" s="10" t="s">
        <v>6</v>
      </c>
      <c r="AD84" s="10" t="s">
        <v>6</v>
      </c>
      <c r="AE84" s="21"/>
      <c r="AF84" s="21"/>
      <c r="AG84" s="21"/>
      <c r="AH84" s="25"/>
    </row>
    <row r="85" ht="30.0" customHeight="1">
      <c r="B85" s="81" t="s">
        <v>88</v>
      </c>
      <c r="C85" s="22"/>
      <c r="D85" s="21"/>
      <c r="E85" s="21"/>
      <c r="F85" s="10" t="s">
        <v>6</v>
      </c>
      <c r="G85" s="10" t="s">
        <v>6</v>
      </c>
      <c r="H85" s="21"/>
      <c r="I85" s="21"/>
      <c r="J85" s="22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5"/>
    </row>
    <row r="86" ht="30.0" customHeight="1">
      <c r="B86" s="20" t="s">
        <v>108</v>
      </c>
      <c r="C86" s="21"/>
      <c r="D86" s="21"/>
      <c r="E86" s="21"/>
      <c r="F86" s="21"/>
      <c r="G86" s="10" t="s">
        <v>6</v>
      </c>
      <c r="H86" s="10" t="s">
        <v>6</v>
      </c>
      <c r="I86" s="21"/>
      <c r="J86" s="21"/>
      <c r="K86" s="21"/>
      <c r="L86" s="21"/>
      <c r="M86" s="10" t="s">
        <v>6</v>
      </c>
      <c r="N86" s="10" t="s">
        <v>6</v>
      </c>
      <c r="O86" s="10" t="s">
        <v>6</v>
      </c>
      <c r="P86" s="10" t="s">
        <v>6</v>
      </c>
      <c r="Q86" s="21"/>
      <c r="R86" s="21"/>
      <c r="S86" s="10" t="s">
        <v>6</v>
      </c>
      <c r="T86" s="10" t="s">
        <v>6</v>
      </c>
      <c r="U86" s="10" t="s">
        <v>6</v>
      </c>
      <c r="V86" s="22"/>
      <c r="W86" s="22"/>
      <c r="X86" s="21"/>
      <c r="Y86" s="21"/>
      <c r="Z86" s="21"/>
      <c r="AA86" s="21"/>
      <c r="AB86" s="10" t="s">
        <v>6</v>
      </c>
      <c r="AC86" s="21"/>
      <c r="AD86" s="21"/>
      <c r="AE86" s="21"/>
      <c r="AF86" s="21"/>
      <c r="AG86" s="21"/>
      <c r="AH86" s="36">
        <v>10.0</v>
      </c>
    </row>
    <row r="87" ht="30.0" customHeight="1">
      <c r="B87" s="20" t="s">
        <v>110</v>
      </c>
      <c r="C87" s="21"/>
      <c r="D87" s="21"/>
      <c r="E87" s="21"/>
      <c r="F87" s="21"/>
      <c r="G87" s="21"/>
      <c r="H87" s="10" t="s">
        <v>6</v>
      </c>
      <c r="I87" s="21"/>
      <c r="J87" s="21"/>
      <c r="K87" s="21"/>
      <c r="L87" s="21"/>
      <c r="M87" s="10" t="s">
        <v>6</v>
      </c>
      <c r="N87" s="21"/>
      <c r="O87" s="10" t="s">
        <v>6</v>
      </c>
      <c r="P87" s="21"/>
      <c r="Q87" s="21"/>
      <c r="R87" s="21"/>
      <c r="S87" s="21"/>
      <c r="T87" s="21"/>
      <c r="U87" s="10" t="s">
        <v>6</v>
      </c>
      <c r="V87" s="10" t="s">
        <v>6</v>
      </c>
      <c r="W87" s="21"/>
      <c r="X87" s="21"/>
      <c r="Y87" s="21"/>
      <c r="Z87" s="21"/>
      <c r="AA87" s="21"/>
      <c r="AB87" s="10" t="s">
        <v>6</v>
      </c>
      <c r="AC87" s="10" t="s">
        <v>6</v>
      </c>
      <c r="AD87" s="10" t="s">
        <v>6</v>
      </c>
      <c r="AE87" s="21"/>
      <c r="AF87" s="21"/>
      <c r="AG87" s="21"/>
      <c r="AH87" s="25"/>
    </row>
    <row r="88" ht="30.0" customHeight="1">
      <c r="B88" s="20" t="s">
        <v>109</v>
      </c>
      <c r="C88" s="21"/>
      <c r="D88" s="21"/>
      <c r="E88" s="21"/>
      <c r="F88" s="21"/>
      <c r="G88" s="21"/>
      <c r="H88" s="10" t="s">
        <v>6</v>
      </c>
      <c r="I88" s="21"/>
      <c r="J88" s="22"/>
      <c r="K88" s="21"/>
      <c r="L88" s="21"/>
      <c r="M88" s="21"/>
      <c r="N88" s="21"/>
      <c r="O88" s="21"/>
      <c r="P88" s="21"/>
      <c r="Q88" s="21"/>
      <c r="R88" s="21"/>
      <c r="S88" s="22"/>
      <c r="T88" s="21"/>
      <c r="U88" s="21"/>
      <c r="V88" s="21"/>
      <c r="W88" s="21"/>
      <c r="X88" s="22"/>
      <c r="Y88" s="21"/>
      <c r="Z88" s="21"/>
      <c r="AA88" s="21"/>
      <c r="AB88" s="10" t="s">
        <v>6</v>
      </c>
      <c r="AC88" s="21"/>
      <c r="AD88" s="21"/>
      <c r="AE88" s="21"/>
      <c r="AF88" s="21"/>
      <c r="AG88" s="21"/>
      <c r="AH88" s="25"/>
    </row>
    <row r="89" ht="30.0" customHeight="1">
      <c r="B89" s="47" t="s">
        <v>104</v>
      </c>
      <c r="C89" s="21"/>
      <c r="D89" s="21"/>
      <c r="E89" s="21"/>
      <c r="F89" s="21"/>
      <c r="G89" s="21"/>
      <c r="H89" s="10" t="s">
        <v>6</v>
      </c>
      <c r="I89" s="21"/>
      <c r="J89" s="22"/>
      <c r="K89" s="21"/>
      <c r="L89" s="21"/>
      <c r="M89" s="10" t="s">
        <v>6</v>
      </c>
      <c r="N89" s="21"/>
      <c r="O89" s="10" t="s">
        <v>6</v>
      </c>
      <c r="P89" s="21"/>
      <c r="Q89" s="21"/>
      <c r="R89" s="21"/>
      <c r="S89" s="22"/>
      <c r="T89" s="10" t="s">
        <v>6</v>
      </c>
      <c r="U89" s="21"/>
      <c r="V89" s="10" t="s">
        <v>6</v>
      </c>
      <c r="W89" s="21"/>
      <c r="X89" s="22"/>
      <c r="Y89" s="21"/>
      <c r="Z89" s="21"/>
      <c r="AA89" s="21"/>
      <c r="AB89" s="21"/>
      <c r="AC89" s="21"/>
      <c r="AD89" s="21"/>
      <c r="AE89" s="21"/>
      <c r="AF89" s="21"/>
      <c r="AG89" s="21"/>
      <c r="AH89" s="36">
        <v>5.0</v>
      </c>
    </row>
    <row r="90" ht="30.0" customHeight="1">
      <c r="B90" s="47" t="s">
        <v>114</v>
      </c>
      <c r="C90" s="21"/>
      <c r="D90" s="21"/>
      <c r="E90" s="21"/>
      <c r="F90" s="21"/>
      <c r="G90" s="21"/>
      <c r="H90" s="21"/>
      <c r="I90" s="10" t="s">
        <v>6</v>
      </c>
      <c r="J90" s="22"/>
      <c r="K90" s="21"/>
      <c r="L90" s="21"/>
      <c r="M90" s="21"/>
      <c r="N90" s="10" t="s">
        <v>6</v>
      </c>
      <c r="O90" s="21"/>
      <c r="P90" s="21"/>
      <c r="Q90" s="21"/>
      <c r="R90" s="21"/>
      <c r="S90" s="10" t="s">
        <v>6</v>
      </c>
      <c r="T90" s="21"/>
      <c r="U90" s="21"/>
      <c r="V90" s="21"/>
      <c r="W90" s="10" t="s">
        <v>6</v>
      </c>
      <c r="X90" s="22"/>
      <c r="Y90" s="21"/>
      <c r="Z90" s="10" t="s">
        <v>6</v>
      </c>
      <c r="AA90" s="21"/>
      <c r="AB90" s="21"/>
      <c r="AC90" s="21"/>
      <c r="AD90" s="10" t="s">
        <v>6</v>
      </c>
      <c r="AE90" s="21"/>
      <c r="AF90" s="21"/>
      <c r="AG90" s="21"/>
      <c r="AH90" s="36">
        <v>6.0</v>
      </c>
    </row>
    <row r="91" ht="30.0" customHeight="1">
      <c r="B91" s="47" t="s">
        <v>116</v>
      </c>
      <c r="C91" s="21"/>
      <c r="D91" s="21"/>
      <c r="E91" s="21"/>
      <c r="F91" s="21"/>
      <c r="G91" s="21"/>
      <c r="H91" s="21"/>
      <c r="I91" s="21"/>
      <c r="J91" s="10" t="s">
        <v>6</v>
      </c>
      <c r="K91" s="21"/>
      <c r="L91" s="21"/>
      <c r="M91" s="21"/>
      <c r="N91" s="21"/>
      <c r="O91" s="21"/>
      <c r="P91" s="21"/>
      <c r="Q91" s="10" t="s">
        <v>6</v>
      </c>
      <c r="R91" s="21"/>
      <c r="S91" s="22"/>
      <c r="T91" s="21"/>
      <c r="U91" s="21"/>
      <c r="V91" s="21"/>
      <c r="W91" s="21"/>
      <c r="X91" s="10" t="s">
        <v>6</v>
      </c>
      <c r="Y91" s="21"/>
      <c r="Z91" s="21"/>
      <c r="AA91" s="21"/>
      <c r="AB91" s="21"/>
      <c r="AC91" s="21"/>
      <c r="AD91" s="21"/>
      <c r="AE91" s="21"/>
      <c r="AF91" s="21"/>
      <c r="AG91" s="21"/>
      <c r="AH91" s="25"/>
    </row>
    <row r="92" ht="30.0" customHeight="1">
      <c r="B92" s="47" t="s">
        <v>105</v>
      </c>
      <c r="C92" s="21"/>
      <c r="D92" s="21"/>
      <c r="E92" s="21"/>
      <c r="F92" s="21"/>
      <c r="G92" s="21"/>
      <c r="H92" s="21"/>
      <c r="I92" s="21"/>
      <c r="J92" s="22"/>
      <c r="K92" s="21"/>
      <c r="L92" s="21"/>
      <c r="M92" s="10" t="s">
        <v>6</v>
      </c>
      <c r="N92" s="21"/>
      <c r="O92" s="10" t="s">
        <v>6</v>
      </c>
      <c r="P92" s="10" t="s">
        <v>6</v>
      </c>
      <c r="Q92" s="21"/>
      <c r="R92" s="21"/>
      <c r="S92" s="22"/>
      <c r="T92" s="10" t="s">
        <v>6</v>
      </c>
      <c r="U92" s="21"/>
      <c r="V92" s="10" t="s">
        <v>6</v>
      </c>
      <c r="W92" s="10" t="s">
        <v>6</v>
      </c>
      <c r="X92" s="22"/>
      <c r="Y92" s="21"/>
      <c r="Z92" s="21"/>
      <c r="AA92" s="21"/>
      <c r="AB92" s="21"/>
      <c r="AC92" s="10" t="s">
        <v>6</v>
      </c>
      <c r="AD92" s="10" t="s">
        <v>6</v>
      </c>
      <c r="AE92" s="21"/>
      <c r="AF92" s="21"/>
      <c r="AG92" s="21"/>
      <c r="AH92" s="36">
        <v>8.0</v>
      </c>
    </row>
    <row r="93" ht="30.0" customHeight="1">
      <c r="B93" s="47" t="s">
        <v>106</v>
      </c>
      <c r="C93" s="21"/>
      <c r="D93" s="21"/>
      <c r="E93" s="21"/>
      <c r="F93" s="21"/>
      <c r="G93" s="21"/>
      <c r="H93" s="21"/>
      <c r="I93" s="21"/>
      <c r="J93" s="22"/>
      <c r="K93" s="21"/>
      <c r="L93" s="21"/>
      <c r="M93" s="10" t="s">
        <v>6</v>
      </c>
      <c r="N93" s="21"/>
      <c r="O93" s="10" t="s">
        <v>6</v>
      </c>
      <c r="P93" s="21"/>
      <c r="Q93" s="21"/>
      <c r="R93" s="21"/>
      <c r="S93" s="22"/>
      <c r="T93" s="10" t="s">
        <v>6</v>
      </c>
      <c r="U93" s="21"/>
      <c r="V93" s="10" t="s">
        <v>6</v>
      </c>
      <c r="W93" s="21"/>
      <c r="X93" s="22"/>
      <c r="Y93" s="21"/>
      <c r="Z93" s="21"/>
      <c r="AA93" s="21"/>
      <c r="AB93" s="21"/>
      <c r="AC93" s="10" t="s">
        <v>6</v>
      </c>
      <c r="AD93" s="21"/>
      <c r="AE93" s="21"/>
      <c r="AF93" s="21"/>
      <c r="AG93" s="21"/>
      <c r="AH93" s="25"/>
    </row>
    <row r="94" ht="30.0" customHeight="1">
      <c r="B94" s="39" t="s">
        <v>178</v>
      </c>
      <c r="C94" s="21"/>
      <c r="D94" s="21"/>
      <c r="E94" s="21"/>
      <c r="F94" s="21"/>
      <c r="G94" s="21"/>
      <c r="H94" s="21"/>
      <c r="I94" s="21"/>
      <c r="J94" s="22"/>
      <c r="K94" s="21"/>
      <c r="L94" s="21"/>
      <c r="M94" s="21"/>
      <c r="N94" s="21"/>
      <c r="O94" s="10" t="s">
        <v>6</v>
      </c>
      <c r="P94" s="21"/>
      <c r="Q94" s="21"/>
      <c r="R94" s="21"/>
      <c r="S94" s="22"/>
      <c r="T94" s="10" t="s">
        <v>6</v>
      </c>
      <c r="U94" s="21"/>
      <c r="V94" s="10" t="s">
        <v>6</v>
      </c>
      <c r="W94" s="21"/>
      <c r="X94" s="22"/>
      <c r="Y94" s="21"/>
      <c r="Z94" s="21"/>
      <c r="AA94" s="10" t="s">
        <v>6</v>
      </c>
      <c r="AB94" s="21"/>
      <c r="AC94" s="10" t="s">
        <v>6</v>
      </c>
      <c r="AD94" s="21"/>
      <c r="AE94" s="21"/>
      <c r="AF94" s="21"/>
      <c r="AG94" s="21"/>
      <c r="AH94" s="36">
        <v>5.0</v>
      </c>
    </row>
    <row r="95" ht="30.0" customHeight="1">
      <c r="B95" s="47" t="s">
        <v>179</v>
      </c>
      <c r="C95" s="21"/>
      <c r="D95" s="21"/>
      <c r="E95" s="21"/>
      <c r="F95" s="21"/>
      <c r="G95" s="21"/>
      <c r="H95" s="10" t="s">
        <v>6</v>
      </c>
      <c r="I95" s="21"/>
      <c r="J95" s="22"/>
      <c r="K95" s="21"/>
      <c r="L95" s="21"/>
      <c r="M95" s="83" t="s">
        <v>174</v>
      </c>
      <c r="N95" s="21"/>
      <c r="O95" s="21"/>
      <c r="P95" s="21"/>
      <c r="Q95" s="21"/>
      <c r="R95" s="21"/>
      <c r="S95" s="22"/>
      <c r="T95" s="10" t="s">
        <v>6</v>
      </c>
      <c r="U95" s="21"/>
      <c r="V95" s="83" t="s">
        <v>174</v>
      </c>
      <c r="W95" s="21"/>
      <c r="X95" s="22"/>
      <c r="Y95" s="21"/>
      <c r="Z95" s="21"/>
      <c r="AA95" s="21"/>
      <c r="AB95" s="21"/>
      <c r="AC95" s="10" t="s">
        <v>6</v>
      </c>
      <c r="AD95" s="21"/>
      <c r="AE95" s="21"/>
      <c r="AF95" s="21"/>
      <c r="AG95" s="21"/>
      <c r="AH95" s="25"/>
    </row>
    <row r="96" ht="30.0" customHeight="1">
      <c r="B96" s="47" t="s">
        <v>113</v>
      </c>
      <c r="C96" s="21"/>
      <c r="D96" s="21"/>
      <c r="E96" s="21"/>
      <c r="F96" s="21"/>
      <c r="G96" s="21"/>
      <c r="H96" s="40"/>
      <c r="I96" s="21"/>
      <c r="J96" s="21"/>
      <c r="K96" s="21"/>
      <c r="L96" s="21"/>
      <c r="M96" s="85"/>
      <c r="N96" s="21"/>
      <c r="O96" s="21"/>
      <c r="P96" s="21"/>
      <c r="Q96" s="21"/>
      <c r="R96" s="21"/>
      <c r="S96" s="10" t="s">
        <v>6</v>
      </c>
      <c r="T96" s="21"/>
      <c r="U96" s="21"/>
      <c r="V96" s="21"/>
      <c r="W96" s="21"/>
      <c r="X96" s="10" t="s">
        <v>6</v>
      </c>
      <c r="Y96" s="21"/>
      <c r="Z96" s="21"/>
      <c r="AA96" s="21"/>
      <c r="AB96" s="21"/>
      <c r="AC96" s="21"/>
      <c r="AD96" s="10" t="s">
        <v>6</v>
      </c>
      <c r="AE96" s="21"/>
      <c r="AF96" s="21"/>
      <c r="AG96" s="21"/>
      <c r="AH96" s="36">
        <v>3.0</v>
      </c>
    </row>
    <row r="97" ht="30.0" customHeight="1">
      <c r="B97" s="47" t="s">
        <v>180</v>
      </c>
      <c r="C97" s="21"/>
      <c r="D97" s="21"/>
      <c r="E97" s="21"/>
      <c r="F97" s="21"/>
      <c r="G97" s="21"/>
      <c r="H97" s="40"/>
      <c r="I97" s="21"/>
      <c r="J97" s="21"/>
      <c r="K97" s="21"/>
      <c r="L97" s="21"/>
      <c r="M97" s="85"/>
      <c r="N97" s="21"/>
      <c r="O97" s="21"/>
      <c r="P97" s="21"/>
      <c r="Q97" s="21"/>
      <c r="R97" s="21"/>
      <c r="S97" s="22"/>
      <c r="T97" s="21"/>
      <c r="U97" s="10" t="s">
        <v>6</v>
      </c>
      <c r="V97" s="21"/>
      <c r="W97" s="10" t="s">
        <v>6</v>
      </c>
      <c r="X97" s="22"/>
      <c r="Y97" s="21"/>
      <c r="Z97" s="21"/>
      <c r="AA97" s="21"/>
      <c r="AB97" s="10" t="s">
        <v>6</v>
      </c>
      <c r="AC97" s="21"/>
      <c r="AD97" s="21"/>
      <c r="AE97" s="21"/>
      <c r="AF97" s="21"/>
      <c r="AG97" s="21"/>
      <c r="AH97" s="25"/>
    </row>
    <row r="98" ht="30.0" customHeight="1">
      <c r="B98" s="47" t="s">
        <v>181</v>
      </c>
      <c r="C98" s="21"/>
      <c r="D98" s="21"/>
      <c r="E98" s="21"/>
      <c r="F98" s="21"/>
      <c r="G98" s="21"/>
      <c r="H98" s="40"/>
      <c r="I98" s="21"/>
      <c r="J98" s="21"/>
      <c r="K98" s="21"/>
      <c r="L98" s="21"/>
      <c r="M98" s="85"/>
      <c r="N98" s="21"/>
      <c r="O98" s="21"/>
      <c r="P98" s="21"/>
      <c r="Q98" s="21"/>
      <c r="R98" s="21"/>
      <c r="S98" s="22"/>
      <c r="T98" s="21"/>
      <c r="U98" s="21"/>
      <c r="V98" s="21"/>
      <c r="W98" s="21"/>
      <c r="X98" s="22"/>
      <c r="Y98" s="21"/>
      <c r="Z98" s="21"/>
      <c r="AA98" s="21"/>
      <c r="AB98" s="21"/>
      <c r="AC98" s="10" t="s">
        <v>6</v>
      </c>
      <c r="AD98" s="21"/>
      <c r="AE98" s="21"/>
      <c r="AF98" s="21"/>
      <c r="AG98" s="21"/>
      <c r="AH98" s="25"/>
    </row>
    <row r="99" ht="30.0" customHeight="1">
      <c r="B99" s="47" t="s">
        <v>120</v>
      </c>
      <c r="C99" s="21"/>
      <c r="D99" s="21"/>
      <c r="E99" s="21"/>
      <c r="F99" s="21"/>
      <c r="G99" s="21"/>
      <c r="H99" s="40"/>
      <c r="I99" s="21"/>
      <c r="J99" s="21"/>
      <c r="K99" s="21"/>
      <c r="L99" s="21"/>
      <c r="M99" s="85"/>
      <c r="N99" s="21"/>
      <c r="O99" s="21"/>
      <c r="P99" s="21"/>
      <c r="Q99" s="10" t="s">
        <v>6</v>
      </c>
      <c r="R99" s="21"/>
      <c r="S99" s="22"/>
      <c r="T99" s="21"/>
      <c r="U99" s="21"/>
      <c r="V99" s="21"/>
      <c r="W99" s="21"/>
      <c r="X99" s="22"/>
      <c r="Y99" s="21"/>
      <c r="Z99" s="21"/>
      <c r="AA99" s="21"/>
      <c r="AB99" s="21"/>
      <c r="AC99" s="21"/>
      <c r="AD99" s="21"/>
      <c r="AE99" s="21"/>
      <c r="AF99" s="21"/>
      <c r="AG99" s="21"/>
      <c r="AH99" s="25"/>
    </row>
    <row r="100" ht="30.0" customHeight="1">
      <c r="B100" s="47"/>
      <c r="C100" s="21"/>
      <c r="D100" s="21"/>
      <c r="E100" s="21"/>
      <c r="F100" s="21"/>
      <c r="G100" s="21"/>
      <c r="H100" s="40"/>
      <c r="I100" s="21"/>
      <c r="J100" s="21"/>
      <c r="K100" s="21"/>
      <c r="L100" s="21"/>
      <c r="M100" s="85"/>
      <c r="N100" s="21"/>
      <c r="O100" s="21"/>
      <c r="P100" s="21"/>
      <c r="Q100" s="21"/>
      <c r="R100" s="21"/>
      <c r="S100" s="22"/>
      <c r="T100" s="21"/>
      <c r="U100" s="21"/>
      <c r="V100" s="21"/>
      <c r="W100" s="21"/>
      <c r="X100" s="22"/>
      <c r="Y100" s="21"/>
      <c r="Z100" s="21"/>
      <c r="AA100" s="21"/>
      <c r="AB100" s="21"/>
      <c r="AC100" s="21"/>
      <c r="AD100" s="21"/>
      <c r="AE100" s="21"/>
      <c r="AF100" s="21"/>
      <c r="AG100" s="21"/>
      <c r="AH100" s="25"/>
    </row>
    <row r="101" ht="30.0" customHeight="1">
      <c r="B101" s="26" t="str">
        <f>Febrero!MonthName&amp;" Total"</f>
        <v>Febrero Total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>
        <f>SUM(C101:AG101)</f>
        <v>0</v>
      </c>
    </row>
    <row r="102" ht="30.0" customHeight="1"/>
    <row r="103" ht="30.0" customHeight="1">
      <c r="B103" s="32" t="s">
        <v>161</v>
      </c>
      <c r="C103" s="80" t="s">
        <v>182</v>
      </c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38">
        <v>2025.0</v>
      </c>
    </row>
    <row r="104" ht="30.0" customHeight="1">
      <c r="B104" s="32"/>
      <c r="C104" s="16" t="str">
        <f>TEXT(WEEKDAY(DATE(CalendarioAño,2,1),1),"ddd")</f>
        <v>sáb</v>
      </c>
      <c r="D104" s="16" t="str">
        <f>TEXT(WEEKDAY(DATE(CalendarioAño,2,2),1),"ddd")</f>
        <v>dom</v>
      </c>
      <c r="E104" s="16" t="str">
        <f>TEXT(WEEKDAY(DATE(CalendarioAño,2,3),1),"ddd")</f>
        <v>lun</v>
      </c>
      <c r="F104" s="16" t="str">
        <f>TEXT(WEEKDAY(DATE(CalendarioAño,2,4),1),"ddd")</f>
        <v>mar</v>
      </c>
      <c r="G104" s="16" t="str">
        <f>TEXT(WEEKDAY(DATE(CalendarioAño,2,5),1),"ddd")</f>
        <v>mié</v>
      </c>
      <c r="H104" s="16" t="str">
        <f>TEXT(WEEKDAY(DATE(CalendarioAño,2,6),1),"ddd")</f>
        <v>jue</v>
      </c>
      <c r="I104" s="16" t="str">
        <f>TEXT(WEEKDAY(DATE(CalendarioAño,2,7),1),"ddd")</f>
        <v>vie</v>
      </c>
      <c r="J104" s="16" t="str">
        <f>TEXT(WEEKDAY(DATE(CalendarioAño,2,8),1),"ddd")</f>
        <v>sáb</v>
      </c>
      <c r="K104" s="16" t="str">
        <f>TEXT(WEEKDAY(DATE(CalendarioAño,2,9),1),"ddd")</f>
        <v>dom</v>
      </c>
      <c r="L104" s="16" t="str">
        <f>TEXT(WEEKDAY(DATE(CalendarioAño,2,10),1),"ddd")</f>
        <v>lun</v>
      </c>
      <c r="M104" s="16" t="str">
        <f>TEXT(WEEKDAY(DATE(CalendarioAño,2,11),1),"ddd")</f>
        <v>mar</v>
      </c>
      <c r="N104" s="16" t="str">
        <f>TEXT(WEEKDAY(DATE(CalendarioAño,2,12),1),"ddd")</f>
        <v>mié</v>
      </c>
      <c r="O104" s="16" t="str">
        <f>TEXT(WEEKDAY(DATE(CalendarioAño,2,13),1),"ddd")</f>
        <v>jue</v>
      </c>
      <c r="P104" s="16" t="str">
        <f>TEXT(WEEKDAY(DATE(CalendarioAño,2,14),1),"ddd")</f>
        <v>vie</v>
      </c>
      <c r="Q104" s="16" t="str">
        <f>TEXT(WEEKDAY(DATE(CalendarioAño,2,15),1),"ddd")</f>
        <v>sáb</v>
      </c>
      <c r="R104" s="16" t="str">
        <f>TEXT(WEEKDAY(DATE(CalendarioAño,2,16),1),"ddd")</f>
        <v>dom</v>
      </c>
      <c r="S104" s="16" t="str">
        <f>TEXT(WEEKDAY(DATE(CalendarioAño,2,17),1),"ddd")</f>
        <v>lun</v>
      </c>
      <c r="T104" s="16" t="str">
        <f>TEXT(WEEKDAY(DATE(CalendarioAño,2,18),1),"ddd")</f>
        <v>mar</v>
      </c>
      <c r="U104" s="16" t="str">
        <f>TEXT(WEEKDAY(DATE(CalendarioAño,2,19),1),"ddd")</f>
        <v>mié</v>
      </c>
      <c r="V104" s="16" t="str">
        <f>TEXT(WEEKDAY(DATE(CalendarioAño,2,20),1),"ddd")</f>
        <v>jue</v>
      </c>
      <c r="W104" s="16" t="str">
        <f>TEXT(WEEKDAY(DATE(CalendarioAño,2,21),1),"ddd")</f>
        <v>vie</v>
      </c>
      <c r="X104" s="16" t="str">
        <f>TEXT(WEEKDAY(DATE(CalendarioAño,2,22),1),"ddd")</f>
        <v>sáb</v>
      </c>
      <c r="Y104" s="16" t="str">
        <f>TEXT(WEEKDAY(DATE(CalendarioAño,2,23),1),"ddd")</f>
        <v>dom</v>
      </c>
      <c r="Z104" s="16" t="str">
        <f>TEXT(WEEKDAY(DATE(CalendarioAño,2,24),1),"ddd")</f>
        <v>lun</v>
      </c>
      <c r="AA104" s="16" t="str">
        <f>TEXT(WEEKDAY(DATE(CalendarioAño,2,25),1),"ddd")</f>
        <v>mar</v>
      </c>
      <c r="AB104" s="16" t="str">
        <f>TEXT(WEEKDAY(DATE(CalendarioAño,2,26),1),"ddd")</f>
        <v>mié</v>
      </c>
      <c r="AC104" s="16" t="str">
        <f>TEXT(WEEKDAY(DATE(CalendarioAño,2,27),1),"ddd")</f>
        <v>jue</v>
      </c>
      <c r="AD104" s="16" t="str">
        <f>TEXT(WEEKDAY(DATE(CalendarioAño,2,28),1),"ddd")</f>
        <v>vie</v>
      </c>
      <c r="AE104" s="16" t="str">
        <f>TEXT(WEEKDAY(DATE(CalendarioAño,2,29),1),"ddd")</f>
        <v>sáb</v>
      </c>
      <c r="AF104" s="16"/>
      <c r="AG104" s="16"/>
      <c r="AH104" s="32"/>
    </row>
    <row r="105" ht="30.0" customHeight="1">
      <c r="B105" s="33" t="s">
        <v>162</v>
      </c>
      <c r="C105" s="19" t="s">
        <v>15</v>
      </c>
      <c r="D105" s="19" t="s">
        <v>16</v>
      </c>
      <c r="E105" s="19" t="s">
        <v>17</v>
      </c>
      <c r="F105" s="19" t="s">
        <v>18</v>
      </c>
      <c r="G105" s="19" t="s">
        <v>19</v>
      </c>
      <c r="H105" s="19" t="s">
        <v>20</v>
      </c>
      <c r="I105" s="19" t="s">
        <v>21</v>
      </c>
      <c r="J105" s="19" t="s">
        <v>22</v>
      </c>
      <c r="K105" s="19" t="s">
        <v>23</v>
      </c>
      <c r="L105" s="19" t="s">
        <v>24</v>
      </c>
      <c r="M105" s="19" t="s">
        <v>25</v>
      </c>
      <c r="N105" s="19" t="s">
        <v>26</v>
      </c>
      <c r="O105" s="19" t="s">
        <v>27</v>
      </c>
      <c r="P105" s="19" t="s">
        <v>28</v>
      </c>
      <c r="Q105" s="19" t="s">
        <v>29</v>
      </c>
      <c r="R105" s="19" t="s">
        <v>30</v>
      </c>
      <c r="S105" s="19" t="s">
        <v>31</v>
      </c>
      <c r="T105" s="19" t="s">
        <v>32</v>
      </c>
      <c r="U105" s="19" t="s">
        <v>33</v>
      </c>
      <c r="V105" s="19" t="s">
        <v>34</v>
      </c>
      <c r="W105" s="19" t="s">
        <v>35</v>
      </c>
      <c r="X105" s="19" t="s">
        <v>36</v>
      </c>
      <c r="Y105" s="19" t="s">
        <v>37</v>
      </c>
      <c r="Z105" s="19" t="s">
        <v>38</v>
      </c>
      <c r="AA105" s="19" t="s">
        <v>39</v>
      </c>
      <c r="AB105" s="19" t="s">
        <v>40</v>
      </c>
      <c r="AC105" s="19" t="s">
        <v>41</v>
      </c>
      <c r="AD105" s="19" t="s">
        <v>42</v>
      </c>
      <c r="AE105" s="19" t="s">
        <v>43</v>
      </c>
      <c r="AF105" s="19" t="s">
        <v>89</v>
      </c>
      <c r="AG105" s="19" t="s">
        <v>163</v>
      </c>
      <c r="AH105" s="19" t="s">
        <v>46</v>
      </c>
    </row>
    <row r="106" ht="30.0" customHeight="1">
      <c r="B106" s="20" t="s">
        <v>129</v>
      </c>
      <c r="C106" s="21"/>
      <c r="D106" s="21"/>
      <c r="E106" s="10" t="s">
        <v>6</v>
      </c>
      <c r="F106" s="21"/>
      <c r="G106" s="21"/>
      <c r="H106" s="10" t="s">
        <v>6</v>
      </c>
      <c r="I106" s="21"/>
      <c r="J106" s="21"/>
      <c r="K106" s="21"/>
      <c r="L106" s="10" t="s">
        <v>6</v>
      </c>
      <c r="M106" s="21"/>
      <c r="N106" s="21"/>
      <c r="O106" s="21"/>
      <c r="P106" s="10" t="s">
        <v>6</v>
      </c>
      <c r="Q106" s="22"/>
      <c r="R106" s="21"/>
      <c r="S106" s="10" t="s">
        <v>6</v>
      </c>
      <c r="T106" s="21"/>
      <c r="U106" s="21"/>
      <c r="V106" s="22"/>
      <c r="W106" s="10" t="s">
        <v>6</v>
      </c>
      <c r="X106" s="22"/>
      <c r="Y106" s="22"/>
      <c r="Z106" s="10" t="s">
        <v>6</v>
      </c>
      <c r="AA106" s="21"/>
      <c r="AB106" s="21"/>
      <c r="AC106" s="21"/>
      <c r="AD106" s="21"/>
      <c r="AE106" s="21"/>
      <c r="AF106" s="21"/>
      <c r="AG106" s="21"/>
      <c r="AH106" s="25"/>
    </row>
    <row r="107" ht="30.0" customHeight="1">
      <c r="B107" s="20" t="s">
        <v>134</v>
      </c>
      <c r="C107" s="22"/>
      <c r="D107" s="21"/>
      <c r="E107" s="10" t="s">
        <v>6</v>
      </c>
      <c r="F107" s="21"/>
      <c r="G107" s="21"/>
      <c r="H107" s="22"/>
      <c r="I107" s="21"/>
      <c r="J107" s="10" t="s">
        <v>6</v>
      </c>
      <c r="K107" s="21"/>
      <c r="L107" s="10" t="s">
        <v>6</v>
      </c>
      <c r="M107" s="21"/>
      <c r="N107" s="21"/>
      <c r="O107" s="21"/>
      <c r="P107" s="10" t="s">
        <v>6</v>
      </c>
      <c r="Q107" s="21"/>
      <c r="R107" s="21"/>
      <c r="S107" s="21"/>
      <c r="T107" s="10" t="s">
        <v>6</v>
      </c>
      <c r="U107" s="21"/>
      <c r="V107" s="22"/>
      <c r="W107" s="10" t="s">
        <v>6</v>
      </c>
      <c r="X107" s="22"/>
      <c r="Y107" s="22"/>
      <c r="Z107" s="21"/>
      <c r="AA107" s="21"/>
      <c r="AB107" s="21"/>
      <c r="AC107" s="22"/>
      <c r="AD107" s="10" t="s">
        <v>6</v>
      </c>
      <c r="AE107" s="22"/>
      <c r="AF107" s="21"/>
      <c r="AG107" s="21"/>
      <c r="AH107" s="25"/>
    </row>
    <row r="108" ht="30.0" customHeight="1">
      <c r="B108" s="20" t="s">
        <v>128</v>
      </c>
      <c r="C108" s="10" t="s">
        <v>6</v>
      </c>
      <c r="D108" s="22"/>
      <c r="E108" s="21"/>
      <c r="F108" s="21"/>
      <c r="G108" s="21"/>
      <c r="H108" s="10" t="s">
        <v>6</v>
      </c>
      <c r="I108" s="21"/>
      <c r="J108" s="21"/>
      <c r="K108" s="22"/>
      <c r="L108" s="21"/>
      <c r="M108" s="21"/>
      <c r="N108" s="21"/>
      <c r="O108" s="22"/>
      <c r="P108" s="21"/>
      <c r="Q108" s="22"/>
      <c r="R108" s="22"/>
      <c r="S108" s="21"/>
      <c r="T108" s="21"/>
      <c r="U108" s="21"/>
      <c r="V108" s="22"/>
      <c r="W108" s="21"/>
      <c r="X108" s="22"/>
      <c r="Y108" s="22"/>
      <c r="Z108" s="21"/>
      <c r="AA108" s="21"/>
      <c r="AB108" s="21"/>
      <c r="AC108" s="21"/>
      <c r="AD108" s="21"/>
      <c r="AE108" s="22"/>
      <c r="AF108" s="21"/>
      <c r="AG108" s="21"/>
      <c r="AH108" s="25"/>
    </row>
    <row r="109" ht="30.0" customHeight="1">
      <c r="B109" s="81" t="s">
        <v>131</v>
      </c>
      <c r="C109" s="21"/>
      <c r="D109" s="22"/>
      <c r="E109" s="21"/>
      <c r="F109" s="10" t="s">
        <v>6</v>
      </c>
      <c r="G109" s="21"/>
      <c r="H109" s="10" t="s">
        <v>6</v>
      </c>
      <c r="I109" s="21"/>
      <c r="J109" s="21"/>
      <c r="K109" s="21"/>
      <c r="L109" s="21"/>
      <c r="M109" s="10" t="s">
        <v>6</v>
      </c>
      <c r="N109" s="22"/>
      <c r="O109" s="10" t="s">
        <v>6</v>
      </c>
      <c r="P109" s="21"/>
      <c r="Q109" s="22"/>
      <c r="R109" s="21"/>
      <c r="S109" s="21"/>
      <c r="T109" s="10" t="s">
        <v>6</v>
      </c>
      <c r="U109" s="22"/>
      <c r="V109" s="10" t="s">
        <v>6</v>
      </c>
      <c r="W109" s="21"/>
      <c r="X109" s="22"/>
      <c r="Y109" s="21"/>
      <c r="Z109" s="21"/>
      <c r="AA109" s="10" t="s">
        <v>6</v>
      </c>
      <c r="AB109" s="21"/>
      <c r="AC109" s="10" t="s">
        <v>6</v>
      </c>
      <c r="AD109" s="21"/>
      <c r="AE109" s="21"/>
      <c r="AF109" s="21"/>
      <c r="AG109" s="21"/>
      <c r="AH109" s="36">
        <v>8.0</v>
      </c>
    </row>
    <row r="110" ht="30.0" customHeight="1">
      <c r="B110" s="81" t="s">
        <v>126</v>
      </c>
      <c r="C110" s="21"/>
      <c r="D110" s="21"/>
      <c r="E110" s="21"/>
      <c r="F110" s="10" t="s">
        <v>6</v>
      </c>
      <c r="G110" s="21"/>
      <c r="H110" s="10" t="s">
        <v>6</v>
      </c>
      <c r="I110" s="21"/>
      <c r="J110" s="21"/>
      <c r="K110" s="21"/>
      <c r="L110" s="21"/>
      <c r="M110" s="10" t="s">
        <v>6</v>
      </c>
      <c r="N110" s="21"/>
      <c r="O110" s="21"/>
      <c r="P110" s="21"/>
      <c r="Q110" s="21"/>
      <c r="R110" s="21"/>
      <c r="S110" s="21"/>
      <c r="T110" s="10" t="s">
        <v>6</v>
      </c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5"/>
    </row>
    <row r="111" ht="30.0" customHeight="1">
      <c r="B111" s="20" t="s">
        <v>133</v>
      </c>
      <c r="C111" s="22"/>
      <c r="D111" s="21"/>
      <c r="E111" s="21"/>
      <c r="F111" s="21"/>
      <c r="G111" s="10" t="s">
        <v>6</v>
      </c>
      <c r="H111" s="21"/>
      <c r="I111" s="10" t="s">
        <v>6</v>
      </c>
      <c r="J111" s="22"/>
      <c r="K111" s="21"/>
      <c r="L111" s="21"/>
      <c r="M111" s="21"/>
      <c r="N111" s="10" t="s">
        <v>6</v>
      </c>
      <c r="O111" s="21"/>
      <c r="P111" s="10" t="s">
        <v>6</v>
      </c>
      <c r="Q111" s="21"/>
      <c r="R111" s="21"/>
      <c r="S111" s="21"/>
      <c r="T111" s="21"/>
      <c r="U111" s="10" t="s">
        <v>6</v>
      </c>
      <c r="V111" s="21"/>
      <c r="W111" s="10" t="s">
        <v>6</v>
      </c>
      <c r="X111" s="21"/>
      <c r="Y111" s="21"/>
      <c r="Z111" s="21"/>
      <c r="AA111" s="21"/>
      <c r="AB111" s="10" t="s">
        <v>6</v>
      </c>
      <c r="AC111" s="21"/>
      <c r="AD111" s="10" t="s">
        <v>6</v>
      </c>
      <c r="AE111" s="21"/>
      <c r="AF111" s="21"/>
      <c r="AG111" s="21"/>
      <c r="AH111" s="36">
        <v>8.0</v>
      </c>
    </row>
    <row r="112" ht="30.0" customHeight="1">
      <c r="B112" s="47" t="s">
        <v>111</v>
      </c>
      <c r="C112" s="21"/>
      <c r="D112" s="21"/>
      <c r="E112" s="21"/>
      <c r="F112" s="21"/>
      <c r="G112" s="10" t="s">
        <v>6</v>
      </c>
      <c r="H112" s="21"/>
      <c r="I112" s="10" t="s">
        <v>6</v>
      </c>
      <c r="J112" s="10" t="s">
        <v>6</v>
      </c>
      <c r="K112" s="21"/>
      <c r="L112" s="21"/>
      <c r="M112" s="21"/>
      <c r="N112" s="21"/>
      <c r="O112" s="21"/>
      <c r="P112" s="21"/>
      <c r="Q112" s="10" t="s">
        <v>6</v>
      </c>
      <c r="R112" s="21"/>
      <c r="S112" s="21"/>
      <c r="T112" s="10" t="s">
        <v>6</v>
      </c>
      <c r="U112" s="21"/>
      <c r="V112" s="22"/>
      <c r="W112" s="22"/>
      <c r="X112" s="21"/>
      <c r="Y112" s="21"/>
      <c r="Z112" s="83" t="s">
        <v>174</v>
      </c>
      <c r="AA112" s="21"/>
      <c r="AB112" s="21"/>
      <c r="AC112" s="21"/>
      <c r="AD112" s="10" t="s">
        <v>6</v>
      </c>
      <c r="AE112" s="21"/>
      <c r="AF112" s="21"/>
      <c r="AG112" s="21"/>
      <c r="AH112" s="25"/>
    </row>
    <row r="113" ht="30.0" customHeight="1">
      <c r="B113" s="47" t="s">
        <v>183</v>
      </c>
      <c r="C113" s="21"/>
      <c r="D113" s="21"/>
      <c r="E113" s="21"/>
      <c r="F113" s="10" t="s">
        <v>6</v>
      </c>
      <c r="G113" s="21"/>
      <c r="H113" s="10" t="s">
        <v>6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10" t="s">
        <v>6</v>
      </c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36">
        <v>3.0</v>
      </c>
    </row>
    <row r="114" ht="30.0" customHeight="1">
      <c r="B114" s="47" t="s">
        <v>112</v>
      </c>
      <c r="C114" s="21"/>
      <c r="D114" s="21"/>
      <c r="E114" s="21"/>
      <c r="F114" s="21"/>
      <c r="G114" s="21"/>
      <c r="H114" s="10" t="s">
        <v>6</v>
      </c>
      <c r="I114" s="21"/>
      <c r="J114" s="22"/>
      <c r="K114" s="21"/>
      <c r="L114" s="21"/>
      <c r="M114" s="21"/>
      <c r="N114" s="21"/>
      <c r="O114" s="10" t="s">
        <v>6</v>
      </c>
      <c r="P114" s="21"/>
      <c r="Q114" s="21"/>
      <c r="R114" s="21"/>
      <c r="S114" s="22"/>
      <c r="T114" s="21"/>
      <c r="U114" s="21"/>
      <c r="V114" s="10" t="s">
        <v>6</v>
      </c>
      <c r="W114" s="21"/>
      <c r="X114" s="22"/>
      <c r="Y114" s="21"/>
      <c r="Z114" s="21"/>
      <c r="AA114" s="21"/>
      <c r="AB114" s="21"/>
      <c r="AC114" s="21"/>
      <c r="AD114" s="21"/>
      <c r="AE114" s="21"/>
      <c r="AF114" s="21"/>
      <c r="AG114" s="21"/>
      <c r="AH114" s="25"/>
    </row>
    <row r="115" ht="30.0" customHeight="1">
      <c r="B115" s="47" t="s">
        <v>93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10" t="s">
        <v>6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10" t="s">
        <v>6</v>
      </c>
      <c r="W115" s="27"/>
      <c r="X115" s="27"/>
      <c r="Y115" s="27"/>
      <c r="Z115" s="27"/>
      <c r="AA115" s="27"/>
      <c r="AB115" s="10" t="s">
        <v>6</v>
      </c>
      <c r="AC115" s="10" t="s">
        <v>6</v>
      </c>
      <c r="AD115" s="27"/>
      <c r="AE115" s="27"/>
      <c r="AF115" s="27"/>
      <c r="AG115" s="27"/>
      <c r="AH115" s="27"/>
    </row>
    <row r="116" ht="30.0" customHeight="1">
      <c r="B116" s="47" t="s">
        <v>130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83" t="s">
        <v>174</v>
      </c>
      <c r="N116" s="27"/>
      <c r="O116" s="27"/>
      <c r="P116" s="27"/>
      <c r="Q116" s="27"/>
      <c r="R116" s="27"/>
      <c r="S116" s="27"/>
      <c r="T116" s="10" t="s">
        <v>6</v>
      </c>
      <c r="U116" s="27"/>
      <c r="V116" s="10" t="s">
        <v>6</v>
      </c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 ht="30.0" customHeight="1">
      <c r="B117" s="47" t="s">
        <v>184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10" t="s">
        <v>6</v>
      </c>
      <c r="O117" s="27"/>
      <c r="P117" s="10" t="s">
        <v>6</v>
      </c>
      <c r="Q117" s="27"/>
      <c r="R117" s="27"/>
      <c r="S117" s="27"/>
      <c r="T117" s="27"/>
      <c r="U117" s="27"/>
      <c r="V117" s="10" t="s">
        <v>6</v>
      </c>
      <c r="W117" s="27"/>
      <c r="X117" s="27"/>
      <c r="Y117" s="27"/>
      <c r="Z117" s="27"/>
      <c r="AA117" s="27"/>
      <c r="AB117" s="27"/>
      <c r="AC117" s="10" t="s">
        <v>6</v>
      </c>
      <c r="AD117" s="27"/>
      <c r="AE117" s="27"/>
      <c r="AF117" s="27"/>
      <c r="AG117" s="27"/>
      <c r="AH117" s="37">
        <v>4.0</v>
      </c>
    </row>
    <row r="118" ht="30.0" customHeight="1">
      <c r="B118" s="47" t="s">
        <v>185</v>
      </c>
      <c r="C118" s="27"/>
      <c r="D118" s="27"/>
      <c r="E118" s="27"/>
      <c r="F118" s="27"/>
      <c r="G118" s="27"/>
      <c r="H118" s="10" t="s">
        <v>6</v>
      </c>
      <c r="I118" s="27"/>
      <c r="J118" s="27"/>
      <c r="K118" s="27"/>
      <c r="L118" s="27"/>
      <c r="M118" s="10" t="s">
        <v>6</v>
      </c>
      <c r="N118" s="27"/>
      <c r="O118" s="10" t="s">
        <v>6</v>
      </c>
      <c r="P118" s="27"/>
      <c r="Q118" s="27"/>
      <c r="R118" s="27"/>
      <c r="S118" s="27"/>
      <c r="T118" s="10" t="s">
        <v>6</v>
      </c>
      <c r="U118" s="27"/>
      <c r="V118" s="10" t="s">
        <v>6</v>
      </c>
      <c r="W118" s="27"/>
      <c r="X118" s="27"/>
      <c r="Y118" s="27"/>
      <c r="Z118" s="27"/>
      <c r="AA118" s="27"/>
      <c r="AB118" s="27"/>
      <c r="AC118" s="10" t="s">
        <v>6</v>
      </c>
      <c r="AD118" s="27"/>
      <c r="AE118" s="27"/>
      <c r="AF118" s="27"/>
      <c r="AG118" s="27"/>
      <c r="AH118" s="37">
        <v>6.0</v>
      </c>
    </row>
    <row r="119" ht="30.0" customHeight="1">
      <c r="B119" s="47" t="s">
        <v>107</v>
      </c>
      <c r="C119" s="27"/>
      <c r="D119" s="27"/>
      <c r="E119" s="27"/>
      <c r="F119" s="27"/>
      <c r="G119" s="27"/>
      <c r="H119" s="40"/>
      <c r="I119" s="27"/>
      <c r="J119" s="27"/>
      <c r="K119" s="27"/>
      <c r="L119" s="27"/>
      <c r="M119" s="40"/>
      <c r="N119" s="27"/>
      <c r="O119" s="40"/>
      <c r="P119" s="27"/>
      <c r="Q119" s="10" t="s">
        <v>6</v>
      </c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 ht="30.0" customHeight="1">
      <c r="B120" s="26" t="str">
        <f>Febrero!MonthName&amp;" Total"</f>
        <v>Febrero Total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>
        <f>SUM(C120:AG120)</f>
        <v>0</v>
      </c>
    </row>
    <row r="121" ht="30.0" customHeight="1"/>
    <row r="122" ht="30.0" customHeight="1">
      <c r="B122" s="32" t="s">
        <v>161</v>
      </c>
      <c r="C122" s="80" t="s">
        <v>186</v>
      </c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38">
        <v>2025.0</v>
      </c>
    </row>
    <row r="123" ht="30.0" customHeight="1">
      <c r="B123" s="32"/>
      <c r="C123" s="16" t="str">
        <f>TEXT(WEEKDAY(DATE(CalendarioAño,2,1),1),"ddd")</f>
        <v>sáb</v>
      </c>
      <c r="D123" s="16" t="str">
        <f>TEXT(WEEKDAY(DATE(CalendarioAño,2,2),1),"ddd")</f>
        <v>dom</v>
      </c>
      <c r="E123" s="16" t="str">
        <f>TEXT(WEEKDAY(DATE(CalendarioAño,2,3),1),"ddd")</f>
        <v>lun</v>
      </c>
      <c r="F123" s="16" t="str">
        <f>TEXT(WEEKDAY(DATE(CalendarioAño,2,4),1),"ddd")</f>
        <v>mar</v>
      </c>
      <c r="G123" s="16" t="str">
        <f>TEXT(WEEKDAY(DATE(CalendarioAño,2,5),1),"ddd")</f>
        <v>mié</v>
      </c>
      <c r="H123" s="16" t="str">
        <f>TEXT(WEEKDAY(DATE(CalendarioAño,2,6),1),"ddd")</f>
        <v>jue</v>
      </c>
      <c r="I123" s="16" t="str">
        <f>TEXT(WEEKDAY(DATE(CalendarioAño,2,7),1),"ddd")</f>
        <v>vie</v>
      </c>
      <c r="J123" s="16" t="str">
        <f>TEXT(WEEKDAY(DATE(CalendarioAño,2,8),1),"ddd")</f>
        <v>sáb</v>
      </c>
      <c r="K123" s="16" t="str">
        <f>TEXT(WEEKDAY(DATE(CalendarioAño,2,9),1),"ddd")</f>
        <v>dom</v>
      </c>
      <c r="L123" s="16" t="str">
        <f>TEXT(WEEKDAY(DATE(CalendarioAño,2,10),1),"ddd")</f>
        <v>lun</v>
      </c>
      <c r="M123" s="16" t="str">
        <f>TEXT(WEEKDAY(DATE(CalendarioAño,2,11),1),"ddd")</f>
        <v>mar</v>
      </c>
      <c r="N123" s="16" t="str">
        <f>TEXT(WEEKDAY(DATE(CalendarioAño,2,12),1),"ddd")</f>
        <v>mié</v>
      </c>
      <c r="O123" s="16" t="str">
        <f>TEXT(WEEKDAY(DATE(CalendarioAño,2,13),1),"ddd")</f>
        <v>jue</v>
      </c>
      <c r="P123" s="16" t="str">
        <f>TEXT(WEEKDAY(DATE(CalendarioAño,2,14),1),"ddd")</f>
        <v>vie</v>
      </c>
      <c r="Q123" s="16" t="str">
        <f>TEXT(WEEKDAY(DATE(CalendarioAño,2,15),1),"ddd")</f>
        <v>sáb</v>
      </c>
      <c r="R123" s="16" t="str">
        <f>TEXT(WEEKDAY(DATE(CalendarioAño,2,16),1),"ddd")</f>
        <v>dom</v>
      </c>
      <c r="S123" s="16" t="str">
        <f>TEXT(WEEKDAY(DATE(CalendarioAño,2,17),1),"ddd")</f>
        <v>lun</v>
      </c>
      <c r="T123" s="16" t="str">
        <f>TEXT(WEEKDAY(DATE(CalendarioAño,2,18),1),"ddd")</f>
        <v>mar</v>
      </c>
      <c r="U123" s="16" t="str">
        <f>TEXT(WEEKDAY(DATE(CalendarioAño,2,19),1),"ddd")</f>
        <v>mié</v>
      </c>
      <c r="V123" s="16" t="str">
        <f>TEXT(WEEKDAY(DATE(CalendarioAño,2,20),1),"ddd")</f>
        <v>jue</v>
      </c>
      <c r="W123" s="16" t="str">
        <f>TEXT(WEEKDAY(DATE(CalendarioAño,2,21),1),"ddd")</f>
        <v>vie</v>
      </c>
      <c r="X123" s="16" t="str">
        <f>TEXT(WEEKDAY(DATE(CalendarioAño,2,22),1),"ddd")</f>
        <v>sáb</v>
      </c>
      <c r="Y123" s="16" t="str">
        <f>TEXT(WEEKDAY(DATE(CalendarioAño,2,23),1),"ddd")</f>
        <v>dom</v>
      </c>
      <c r="Z123" s="16" t="str">
        <f>TEXT(WEEKDAY(DATE(CalendarioAño,2,24),1),"ddd")</f>
        <v>lun</v>
      </c>
      <c r="AA123" s="16" t="str">
        <f>TEXT(WEEKDAY(DATE(CalendarioAño,2,25),1),"ddd")</f>
        <v>mar</v>
      </c>
      <c r="AB123" s="16" t="str">
        <f>TEXT(WEEKDAY(DATE(CalendarioAño,2,26),1),"ddd")</f>
        <v>mié</v>
      </c>
      <c r="AC123" s="16" t="str">
        <f>TEXT(WEEKDAY(DATE(CalendarioAño,2,27),1),"ddd")</f>
        <v>jue</v>
      </c>
      <c r="AD123" s="16" t="str">
        <f>TEXT(WEEKDAY(DATE(CalendarioAño,2,28),1),"ddd")</f>
        <v>vie</v>
      </c>
      <c r="AE123" s="16" t="str">
        <f>TEXT(WEEKDAY(DATE(CalendarioAño,2,29),1),"ddd")</f>
        <v>sáb</v>
      </c>
      <c r="AF123" s="16"/>
      <c r="AG123" s="16"/>
      <c r="AH123" s="32"/>
    </row>
    <row r="124" ht="30.0" customHeight="1">
      <c r="B124" s="33" t="s">
        <v>162</v>
      </c>
      <c r="C124" s="19" t="s">
        <v>15</v>
      </c>
      <c r="D124" s="19" t="s">
        <v>16</v>
      </c>
      <c r="E124" s="19" t="s">
        <v>17</v>
      </c>
      <c r="F124" s="19" t="s">
        <v>18</v>
      </c>
      <c r="G124" s="19" t="s">
        <v>19</v>
      </c>
      <c r="H124" s="19" t="s">
        <v>20</v>
      </c>
      <c r="I124" s="19" t="s">
        <v>21</v>
      </c>
      <c r="J124" s="19" t="s">
        <v>22</v>
      </c>
      <c r="K124" s="19" t="s">
        <v>23</v>
      </c>
      <c r="L124" s="19" t="s">
        <v>24</v>
      </c>
      <c r="M124" s="19" t="s">
        <v>25</v>
      </c>
      <c r="N124" s="19" t="s">
        <v>26</v>
      </c>
      <c r="O124" s="19" t="s">
        <v>27</v>
      </c>
      <c r="P124" s="19" t="s">
        <v>28</v>
      </c>
      <c r="Q124" s="19" t="s">
        <v>29</v>
      </c>
      <c r="R124" s="19" t="s">
        <v>30</v>
      </c>
      <c r="S124" s="19" t="s">
        <v>31</v>
      </c>
      <c r="T124" s="19" t="s">
        <v>32</v>
      </c>
      <c r="U124" s="19" t="s">
        <v>33</v>
      </c>
      <c r="V124" s="19" t="s">
        <v>34</v>
      </c>
      <c r="W124" s="19" t="s">
        <v>35</v>
      </c>
      <c r="X124" s="19" t="s">
        <v>36</v>
      </c>
      <c r="Y124" s="19" t="s">
        <v>37</v>
      </c>
      <c r="Z124" s="19" t="s">
        <v>38</v>
      </c>
      <c r="AA124" s="19" t="s">
        <v>39</v>
      </c>
      <c r="AB124" s="19" t="s">
        <v>40</v>
      </c>
      <c r="AC124" s="19" t="s">
        <v>41</v>
      </c>
      <c r="AD124" s="19" t="s">
        <v>42</v>
      </c>
      <c r="AE124" s="19" t="s">
        <v>43</v>
      </c>
      <c r="AF124" s="19" t="s">
        <v>89</v>
      </c>
      <c r="AG124" s="19" t="s">
        <v>163</v>
      </c>
      <c r="AH124" s="19" t="s">
        <v>46</v>
      </c>
    </row>
    <row r="125" ht="30.0" customHeight="1">
      <c r="B125" s="20" t="s">
        <v>138</v>
      </c>
      <c r="C125" s="21"/>
      <c r="D125" s="21"/>
      <c r="E125" s="10" t="s">
        <v>6</v>
      </c>
      <c r="F125" s="21"/>
      <c r="G125" s="21"/>
      <c r="H125" s="10" t="s">
        <v>6</v>
      </c>
      <c r="I125" s="21"/>
      <c r="J125" s="21"/>
      <c r="K125" s="21"/>
      <c r="L125" s="21"/>
      <c r="M125" s="10" t="s">
        <v>6</v>
      </c>
      <c r="N125" s="21"/>
      <c r="O125" s="21"/>
      <c r="P125" s="21"/>
      <c r="Q125" s="22"/>
      <c r="R125" s="21"/>
      <c r="S125" s="10" t="s">
        <v>6</v>
      </c>
      <c r="T125" s="21"/>
      <c r="U125" s="21"/>
      <c r="V125" s="22"/>
      <c r="W125" s="22"/>
      <c r="X125" s="22"/>
      <c r="Y125" s="22"/>
      <c r="Z125" s="10" t="s">
        <v>6</v>
      </c>
      <c r="AA125" s="21"/>
      <c r="AB125" s="21"/>
      <c r="AC125" s="10" t="s">
        <v>6</v>
      </c>
      <c r="AD125" s="21"/>
      <c r="AE125" s="21"/>
      <c r="AF125" s="21"/>
      <c r="AG125" s="21"/>
      <c r="AH125" s="36">
        <v>6.0</v>
      </c>
    </row>
    <row r="126" ht="30.0" customHeight="1">
      <c r="B126" s="39" t="s">
        <v>139</v>
      </c>
      <c r="C126" s="22"/>
      <c r="D126" s="21"/>
      <c r="E126" s="21"/>
      <c r="F126" s="10" t="s">
        <v>6</v>
      </c>
      <c r="G126" s="21"/>
      <c r="H126" s="10" t="s">
        <v>6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2"/>
      <c r="W126" s="21"/>
      <c r="X126" s="22"/>
      <c r="Y126" s="22"/>
      <c r="Z126" s="21"/>
      <c r="AA126" s="21"/>
      <c r="AB126" s="21"/>
      <c r="AC126" s="22"/>
      <c r="AD126" s="21"/>
      <c r="AE126" s="22"/>
      <c r="AF126" s="21"/>
      <c r="AG126" s="21"/>
      <c r="AH126" s="36">
        <v>2.0</v>
      </c>
    </row>
    <row r="127" ht="30.0" customHeight="1">
      <c r="B127" s="39" t="s">
        <v>140</v>
      </c>
      <c r="C127" s="22"/>
      <c r="D127" s="22"/>
      <c r="E127" s="21"/>
      <c r="F127" s="10" t="s">
        <v>6</v>
      </c>
      <c r="G127" s="21"/>
      <c r="H127" s="10" t="s">
        <v>6</v>
      </c>
      <c r="I127" s="21"/>
      <c r="J127" s="21"/>
      <c r="K127" s="22"/>
      <c r="L127" s="21"/>
      <c r="M127" s="10" t="s">
        <v>6</v>
      </c>
      <c r="N127" s="21"/>
      <c r="O127" s="10" t="s">
        <v>6</v>
      </c>
      <c r="P127" s="21"/>
      <c r="Q127" s="22"/>
      <c r="R127" s="22"/>
      <c r="S127" s="21"/>
      <c r="T127" s="10" t="s">
        <v>6</v>
      </c>
      <c r="U127" s="21"/>
      <c r="V127" s="10" t="s">
        <v>6</v>
      </c>
      <c r="W127" s="21"/>
      <c r="X127" s="22"/>
      <c r="Y127" s="22"/>
      <c r="Z127" s="21"/>
      <c r="AA127" s="10" t="s">
        <v>6</v>
      </c>
      <c r="AB127" s="21"/>
      <c r="AC127" s="21"/>
      <c r="AD127" s="21"/>
      <c r="AE127" s="22"/>
      <c r="AF127" s="21"/>
      <c r="AG127" s="21"/>
      <c r="AH127" s="36">
        <v>7.0</v>
      </c>
    </row>
    <row r="128" ht="30.0" customHeight="1">
      <c r="B128" s="57" t="s">
        <v>187</v>
      </c>
      <c r="C128" s="10" t="s">
        <v>6</v>
      </c>
      <c r="D128" s="22"/>
      <c r="E128" s="21"/>
      <c r="F128" s="21"/>
      <c r="G128" s="10" t="s">
        <v>6</v>
      </c>
      <c r="H128" s="22"/>
      <c r="I128" s="21"/>
      <c r="J128" s="10" t="s">
        <v>6</v>
      </c>
      <c r="K128" s="21"/>
      <c r="L128" s="21"/>
      <c r="M128" s="21"/>
      <c r="N128" s="10" t="s">
        <v>6</v>
      </c>
      <c r="O128" s="21"/>
      <c r="P128" s="21"/>
      <c r="Q128" s="10" t="s">
        <v>6</v>
      </c>
      <c r="R128" s="21"/>
      <c r="S128" s="21"/>
      <c r="T128" s="21"/>
      <c r="U128" s="10" t="s">
        <v>6</v>
      </c>
      <c r="V128" s="21"/>
      <c r="W128" s="21"/>
      <c r="X128" s="10" t="s">
        <v>6</v>
      </c>
      <c r="Y128" s="21"/>
      <c r="Z128" s="21"/>
      <c r="AA128" s="21"/>
      <c r="AB128" s="10" t="s">
        <v>6</v>
      </c>
      <c r="AC128" s="21"/>
      <c r="AD128" s="21"/>
      <c r="AE128" s="21"/>
      <c r="AF128" s="21"/>
      <c r="AG128" s="21"/>
      <c r="AH128" s="36">
        <v>8.0</v>
      </c>
    </row>
    <row r="129" ht="30.0" customHeight="1">
      <c r="B129" s="47" t="s">
        <v>141</v>
      </c>
      <c r="C129" s="21"/>
      <c r="D129" s="21"/>
      <c r="E129" s="21"/>
      <c r="F129" s="21"/>
      <c r="G129" s="21"/>
      <c r="H129" s="21"/>
      <c r="I129" s="21"/>
      <c r="J129" s="10" t="s">
        <v>6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36">
        <v>1.0</v>
      </c>
    </row>
    <row r="130" ht="30.0" customHeight="1">
      <c r="B130" s="47"/>
      <c r="C130" s="22"/>
      <c r="D130" s="21"/>
      <c r="E130" s="21"/>
      <c r="F130" s="21"/>
      <c r="G130" s="21"/>
      <c r="H130" s="21"/>
      <c r="I130" s="21"/>
      <c r="J130" s="22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5"/>
    </row>
    <row r="131" ht="30.0" customHeight="1">
      <c r="B131" s="47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2"/>
      <c r="W131" s="22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5"/>
    </row>
    <row r="132" ht="30.0" customHeight="1">
      <c r="B132" s="47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5"/>
    </row>
    <row r="133" ht="30.0" customHeight="1">
      <c r="B133" s="47"/>
      <c r="C133" s="21"/>
      <c r="D133" s="21"/>
      <c r="E133" s="21"/>
      <c r="F133" s="21"/>
      <c r="G133" s="21"/>
      <c r="H133" s="21"/>
      <c r="I133" s="21"/>
      <c r="J133" s="22"/>
      <c r="K133" s="21"/>
      <c r="L133" s="21"/>
      <c r="M133" s="21"/>
      <c r="N133" s="21"/>
      <c r="O133" s="21"/>
      <c r="P133" s="21"/>
      <c r="Q133" s="21"/>
      <c r="R133" s="21"/>
      <c r="S133" s="22"/>
      <c r="T133" s="21"/>
      <c r="U133" s="21"/>
      <c r="V133" s="21"/>
      <c r="W133" s="21"/>
      <c r="X133" s="22"/>
      <c r="Y133" s="21"/>
      <c r="Z133" s="21"/>
      <c r="AA133" s="21"/>
      <c r="AB133" s="21"/>
      <c r="AC133" s="21"/>
      <c r="AD133" s="21"/>
      <c r="AE133" s="21"/>
      <c r="AF133" s="21"/>
      <c r="AG133" s="21"/>
      <c r="AH133" s="25"/>
    </row>
    <row r="134" ht="30.0" customHeight="1">
      <c r="B134" s="26" t="str">
        <f>Febrero!MonthName&amp;" Total"</f>
        <v>Febrero Total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>
        <f>SUM(C134:AG134)</f>
        <v>0</v>
      </c>
    </row>
    <row r="135" ht="30.0" customHeight="1"/>
    <row r="136" ht="30.0" customHeight="1">
      <c r="B136" s="32" t="s">
        <v>161</v>
      </c>
      <c r="C136" s="80" t="s">
        <v>188</v>
      </c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38">
        <v>2025.0</v>
      </c>
    </row>
    <row r="137" ht="30.0" customHeight="1">
      <c r="B137" s="32"/>
      <c r="C137" s="16" t="str">
        <f>TEXT(WEEKDAY(DATE(CalendarioAño,2,1),1),"ddd")</f>
        <v>sáb</v>
      </c>
      <c r="D137" s="16" t="str">
        <f>TEXT(WEEKDAY(DATE(CalendarioAño,2,2),1),"ddd")</f>
        <v>dom</v>
      </c>
      <c r="E137" s="16" t="str">
        <f>TEXT(WEEKDAY(DATE(CalendarioAño,2,3),1),"ddd")</f>
        <v>lun</v>
      </c>
      <c r="F137" s="16" t="str">
        <f>TEXT(WEEKDAY(DATE(CalendarioAño,2,4),1),"ddd")</f>
        <v>mar</v>
      </c>
      <c r="G137" s="16" t="str">
        <f>TEXT(WEEKDAY(DATE(CalendarioAño,2,5),1),"ddd")</f>
        <v>mié</v>
      </c>
      <c r="H137" s="16" t="str">
        <f>TEXT(WEEKDAY(DATE(CalendarioAño,2,6),1),"ddd")</f>
        <v>jue</v>
      </c>
      <c r="I137" s="16" t="str">
        <f>TEXT(WEEKDAY(DATE(CalendarioAño,2,7),1),"ddd")</f>
        <v>vie</v>
      </c>
      <c r="J137" s="16" t="str">
        <f>TEXT(WEEKDAY(DATE(CalendarioAño,2,8),1),"ddd")</f>
        <v>sáb</v>
      </c>
      <c r="K137" s="16" t="str">
        <f>TEXT(WEEKDAY(DATE(CalendarioAño,2,9),1),"ddd")</f>
        <v>dom</v>
      </c>
      <c r="L137" s="16" t="str">
        <f>TEXT(WEEKDAY(DATE(CalendarioAño,2,10),1),"ddd")</f>
        <v>lun</v>
      </c>
      <c r="M137" s="16" t="str">
        <f>TEXT(WEEKDAY(DATE(CalendarioAño,2,11),1),"ddd")</f>
        <v>mar</v>
      </c>
      <c r="N137" s="16" t="str">
        <f>TEXT(WEEKDAY(DATE(CalendarioAño,2,12),1),"ddd")</f>
        <v>mié</v>
      </c>
      <c r="O137" s="16" t="str">
        <f>TEXT(WEEKDAY(DATE(CalendarioAño,2,13),1),"ddd")</f>
        <v>jue</v>
      </c>
      <c r="P137" s="16" t="str">
        <f>TEXT(WEEKDAY(DATE(CalendarioAño,2,14),1),"ddd")</f>
        <v>vie</v>
      </c>
      <c r="Q137" s="16" t="str">
        <f>TEXT(WEEKDAY(DATE(CalendarioAño,2,15),1),"ddd")</f>
        <v>sáb</v>
      </c>
      <c r="R137" s="16" t="str">
        <f>TEXT(WEEKDAY(DATE(CalendarioAño,2,16),1),"ddd")</f>
        <v>dom</v>
      </c>
      <c r="S137" s="16" t="str">
        <f>TEXT(WEEKDAY(DATE(CalendarioAño,2,17),1),"ddd")</f>
        <v>lun</v>
      </c>
      <c r="T137" s="16" t="str">
        <f>TEXT(WEEKDAY(DATE(CalendarioAño,2,18),1),"ddd")</f>
        <v>mar</v>
      </c>
      <c r="U137" s="16" t="str">
        <f>TEXT(WEEKDAY(DATE(CalendarioAño,2,19),1),"ddd")</f>
        <v>mié</v>
      </c>
      <c r="V137" s="16" t="str">
        <f>TEXT(WEEKDAY(DATE(CalendarioAño,2,20),1),"ddd")</f>
        <v>jue</v>
      </c>
      <c r="W137" s="16" t="str">
        <f>TEXT(WEEKDAY(DATE(CalendarioAño,2,21),1),"ddd")</f>
        <v>vie</v>
      </c>
      <c r="X137" s="16" t="str">
        <f>TEXT(WEEKDAY(DATE(CalendarioAño,2,22),1),"ddd")</f>
        <v>sáb</v>
      </c>
      <c r="Y137" s="16" t="str">
        <f>TEXT(WEEKDAY(DATE(CalendarioAño,2,23),1),"ddd")</f>
        <v>dom</v>
      </c>
      <c r="Z137" s="16" t="str">
        <f>TEXT(WEEKDAY(DATE(CalendarioAño,2,24),1),"ddd")</f>
        <v>lun</v>
      </c>
      <c r="AA137" s="16" t="str">
        <f>TEXT(WEEKDAY(DATE(CalendarioAño,2,25),1),"ddd")</f>
        <v>mar</v>
      </c>
      <c r="AB137" s="16" t="str">
        <f>TEXT(WEEKDAY(DATE(CalendarioAño,2,26),1),"ddd")</f>
        <v>mié</v>
      </c>
      <c r="AC137" s="16" t="str">
        <f>TEXT(WEEKDAY(DATE(CalendarioAño,2,27),1),"ddd")</f>
        <v>jue</v>
      </c>
      <c r="AD137" s="16" t="str">
        <f>TEXT(WEEKDAY(DATE(CalendarioAño,2,28),1),"ddd")</f>
        <v>vie</v>
      </c>
      <c r="AE137" s="16" t="str">
        <f>TEXT(WEEKDAY(DATE(CalendarioAño,2,29),1),"ddd")</f>
        <v>sáb</v>
      </c>
      <c r="AF137" s="16"/>
      <c r="AG137" s="16"/>
      <c r="AH137" s="32"/>
    </row>
    <row r="138" ht="30.0" customHeight="1">
      <c r="B138" s="33" t="s">
        <v>162</v>
      </c>
      <c r="C138" s="19" t="s">
        <v>15</v>
      </c>
      <c r="D138" s="19" t="s">
        <v>16</v>
      </c>
      <c r="E138" s="19" t="s">
        <v>17</v>
      </c>
      <c r="F138" s="19" t="s">
        <v>18</v>
      </c>
      <c r="G138" s="19" t="s">
        <v>19</v>
      </c>
      <c r="H138" s="19" t="s">
        <v>20</v>
      </c>
      <c r="I138" s="19" t="s">
        <v>21</v>
      </c>
      <c r="J138" s="19" t="s">
        <v>22</v>
      </c>
      <c r="K138" s="19" t="s">
        <v>23</v>
      </c>
      <c r="L138" s="19" t="s">
        <v>24</v>
      </c>
      <c r="M138" s="19" t="s">
        <v>25</v>
      </c>
      <c r="N138" s="19" t="s">
        <v>26</v>
      </c>
      <c r="O138" s="19" t="s">
        <v>27</v>
      </c>
      <c r="P138" s="19" t="s">
        <v>28</v>
      </c>
      <c r="Q138" s="19" t="s">
        <v>29</v>
      </c>
      <c r="R138" s="19" t="s">
        <v>30</v>
      </c>
      <c r="S138" s="19" t="s">
        <v>31</v>
      </c>
      <c r="T138" s="19" t="s">
        <v>32</v>
      </c>
      <c r="U138" s="19" t="s">
        <v>33</v>
      </c>
      <c r="V138" s="19" t="s">
        <v>34</v>
      </c>
      <c r="W138" s="19" t="s">
        <v>35</v>
      </c>
      <c r="X138" s="19" t="s">
        <v>36</v>
      </c>
      <c r="Y138" s="19" t="s">
        <v>37</v>
      </c>
      <c r="Z138" s="19" t="s">
        <v>38</v>
      </c>
      <c r="AA138" s="19" t="s">
        <v>39</v>
      </c>
      <c r="AB138" s="19" t="s">
        <v>40</v>
      </c>
      <c r="AC138" s="19" t="s">
        <v>41</v>
      </c>
      <c r="AD138" s="19" t="s">
        <v>42</v>
      </c>
      <c r="AE138" s="19" t="s">
        <v>43</v>
      </c>
      <c r="AF138" s="19" t="s">
        <v>89</v>
      </c>
      <c r="AG138" s="19" t="s">
        <v>163</v>
      </c>
      <c r="AH138" s="19" t="s">
        <v>46</v>
      </c>
    </row>
    <row r="139" ht="30.0" customHeight="1">
      <c r="B139" s="57" t="s">
        <v>147</v>
      </c>
      <c r="C139" s="21"/>
      <c r="D139" s="21"/>
      <c r="E139" s="10" t="s">
        <v>6</v>
      </c>
      <c r="F139" s="21"/>
      <c r="G139" s="21"/>
      <c r="H139" s="21"/>
      <c r="I139" s="10" t="s">
        <v>6</v>
      </c>
      <c r="J139" s="10" t="s">
        <v>6</v>
      </c>
      <c r="K139" s="21"/>
      <c r="L139" s="21"/>
      <c r="M139" s="21"/>
      <c r="N139" s="21"/>
      <c r="O139" s="21"/>
      <c r="P139" s="21"/>
      <c r="Q139" s="10" t="s">
        <v>6</v>
      </c>
      <c r="R139" s="21"/>
      <c r="S139" s="22"/>
      <c r="T139" s="21"/>
      <c r="U139" s="10" t="s">
        <v>6</v>
      </c>
      <c r="V139" s="21"/>
      <c r="W139" s="22"/>
      <c r="X139" s="10" t="s">
        <v>6</v>
      </c>
      <c r="Y139" s="22"/>
      <c r="Z139" s="21"/>
      <c r="AA139" s="21"/>
      <c r="AB139" s="10" t="s">
        <v>6</v>
      </c>
      <c r="AC139" s="21"/>
      <c r="AD139" s="21"/>
      <c r="AE139" s="21"/>
      <c r="AF139" s="21"/>
      <c r="AG139" s="21"/>
      <c r="AH139" s="36">
        <v>7.0</v>
      </c>
    </row>
    <row r="140" ht="30.0" customHeight="1">
      <c r="B140" s="57" t="s">
        <v>143</v>
      </c>
      <c r="C140" s="21"/>
      <c r="D140" s="21"/>
      <c r="E140" s="21"/>
      <c r="F140" s="21"/>
      <c r="G140" s="10" t="s">
        <v>6</v>
      </c>
      <c r="H140" s="22"/>
      <c r="I140" s="10" t="s">
        <v>6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2"/>
      <c r="W140" s="21"/>
      <c r="X140" s="10" t="s">
        <v>6</v>
      </c>
      <c r="Y140" s="22"/>
      <c r="Z140" s="21"/>
      <c r="AA140" s="21"/>
      <c r="AB140" s="21"/>
      <c r="AC140" s="22"/>
      <c r="AD140" s="21"/>
      <c r="AE140" s="22"/>
      <c r="AF140" s="21"/>
      <c r="AG140" s="21"/>
      <c r="AH140" s="36">
        <v>3.0</v>
      </c>
    </row>
    <row r="141" ht="30.0" customHeight="1">
      <c r="B141" s="57" t="s">
        <v>189</v>
      </c>
      <c r="C141" s="22"/>
      <c r="D141" s="22"/>
      <c r="E141" s="21"/>
      <c r="F141" s="21"/>
      <c r="G141" s="10" t="s">
        <v>6</v>
      </c>
      <c r="H141" s="22"/>
      <c r="I141" s="10" t="s">
        <v>6</v>
      </c>
      <c r="J141" s="21"/>
      <c r="K141" s="22"/>
      <c r="L141" s="21"/>
      <c r="M141" s="21"/>
      <c r="N141" s="10" t="s">
        <v>6</v>
      </c>
      <c r="O141" s="22"/>
      <c r="P141" s="21"/>
      <c r="Q141" s="22"/>
      <c r="R141" s="22"/>
      <c r="S141" s="21"/>
      <c r="T141" s="21"/>
      <c r="U141" s="10" t="s">
        <v>6</v>
      </c>
      <c r="V141" s="21"/>
      <c r="W141" s="10" t="s">
        <v>6</v>
      </c>
      <c r="X141" s="22"/>
      <c r="Y141" s="22"/>
      <c r="Z141" s="21"/>
      <c r="AA141" s="21"/>
      <c r="AB141" s="10" t="s">
        <v>6</v>
      </c>
      <c r="AC141" s="21"/>
      <c r="AD141" s="10" t="s">
        <v>6</v>
      </c>
      <c r="AE141" s="22"/>
      <c r="AF141" s="21"/>
      <c r="AG141" s="21"/>
      <c r="AH141" s="25"/>
    </row>
    <row r="142" ht="30.0" customHeight="1">
      <c r="B142" s="86"/>
      <c r="C142" s="21"/>
      <c r="D142" s="22"/>
      <c r="E142" s="21"/>
      <c r="F142" s="21"/>
      <c r="G142" s="21"/>
      <c r="H142" s="22"/>
      <c r="I142" s="21"/>
      <c r="J142" s="21"/>
      <c r="K142" s="21"/>
      <c r="L142" s="21"/>
      <c r="M142" s="21"/>
      <c r="N142" s="22"/>
      <c r="O142" s="21"/>
      <c r="P142" s="21"/>
      <c r="Q142" s="22"/>
      <c r="R142" s="21"/>
      <c r="S142" s="21"/>
      <c r="T142" s="21"/>
      <c r="U142" s="22"/>
      <c r="V142" s="21"/>
      <c r="W142" s="21"/>
      <c r="X142" s="22"/>
      <c r="Y142" s="21"/>
      <c r="Z142" s="21"/>
      <c r="AA142" s="21"/>
      <c r="AB142" s="21"/>
      <c r="AC142" s="21"/>
      <c r="AD142" s="21"/>
      <c r="AE142" s="21"/>
      <c r="AF142" s="21"/>
      <c r="AG142" s="21"/>
      <c r="AH142" s="25"/>
    </row>
    <row r="143" ht="30.0" customHeight="1">
      <c r="B143" s="86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5"/>
    </row>
    <row r="144" ht="30.0" customHeight="1">
      <c r="B144" s="86"/>
      <c r="C144" s="22"/>
      <c r="D144" s="21"/>
      <c r="E144" s="21"/>
      <c r="F144" s="21"/>
      <c r="G144" s="21"/>
      <c r="H144" s="21"/>
      <c r="I144" s="21"/>
      <c r="J144" s="22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5"/>
    </row>
    <row r="145" ht="30.0" customHeight="1">
      <c r="B145" s="86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2"/>
      <c r="W145" s="22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5"/>
    </row>
    <row r="146" ht="30.0" customHeight="1">
      <c r="B146" s="86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5"/>
    </row>
    <row r="147" ht="30.0" customHeight="1">
      <c r="B147" s="86"/>
      <c r="C147" s="21"/>
      <c r="D147" s="21"/>
      <c r="E147" s="21"/>
      <c r="F147" s="21"/>
      <c r="G147" s="21"/>
      <c r="H147" s="21"/>
      <c r="I147" s="21"/>
      <c r="J147" s="22"/>
      <c r="K147" s="21"/>
      <c r="L147" s="21"/>
      <c r="M147" s="21"/>
      <c r="N147" s="21"/>
      <c r="O147" s="21"/>
      <c r="P147" s="21"/>
      <c r="Q147" s="21"/>
      <c r="R147" s="21"/>
      <c r="S147" s="22"/>
      <c r="T147" s="21"/>
      <c r="U147" s="21"/>
      <c r="V147" s="21"/>
      <c r="W147" s="21"/>
      <c r="X147" s="22"/>
      <c r="Y147" s="21"/>
      <c r="Z147" s="21"/>
      <c r="AA147" s="21"/>
      <c r="AB147" s="21"/>
      <c r="AC147" s="21"/>
      <c r="AD147" s="21"/>
      <c r="AE147" s="21"/>
      <c r="AF147" s="21"/>
      <c r="AG147" s="21"/>
      <c r="AH147" s="25"/>
    </row>
    <row r="148" ht="30.0" customHeight="1">
      <c r="B148" s="26" t="str">
        <f>Febrero!MonthName&amp;" Total"</f>
        <v>Febrero Total</v>
      </c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>
        <f>SUM(C148:AG148)</f>
        <v>0</v>
      </c>
    </row>
    <row r="149" ht="30.0" customHeight="1"/>
    <row r="150" ht="30.0" customHeight="1">
      <c r="B150" s="32" t="s">
        <v>161</v>
      </c>
      <c r="C150" s="80" t="s">
        <v>190</v>
      </c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38">
        <v>2025.0</v>
      </c>
    </row>
    <row r="151" ht="30.0" customHeight="1">
      <c r="B151" s="32"/>
      <c r="C151" s="16" t="str">
        <f>TEXT(WEEKDAY(DATE(CalendarioAño,2,1),1),"ddd")</f>
        <v>sáb</v>
      </c>
      <c r="D151" s="16" t="str">
        <f>TEXT(WEEKDAY(DATE(CalendarioAño,2,2),1),"ddd")</f>
        <v>dom</v>
      </c>
      <c r="E151" s="16" t="str">
        <f>TEXT(WEEKDAY(DATE(CalendarioAño,2,3),1),"ddd")</f>
        <v>lun</v>
      </c>
      <c r="F151" s="16" t="str">
        <f>TEXT(WEEKDAY(DATE(CalendarioAño,2,4),1),"ddd")</f>
        <v>mar</v>
      </c>
      <c r="G151" s="16" t="str">
        <f>TEXT(WEEKDAY(DATE(CalendarioAño,2,5),1),"ddd")</f>
        <v>mié</v>
      </c>
      <c r="H151" s="16" t="str">
        <f>TEXT(WEEKDAY(DATE(CalendarioAño,2,6),1),"ddd")</f>
        <v>jue</v>
      </c>
      <c r="I151" s="16" t="str">
        <f>TEXT(WEEKDAY(DATE(CalendarioAño,2,7),1),"ddd")</f>
        <v>vie</v>
      </c>
      <c r="J151" s="16" t="str">
        <f>TEXT(WEEKDAY(DATE(CalendarioAño,2,8),1),"ddd")</f>
        <v>sáb</v>
      </c>
      <c r="K151" s="16" t="str">
        <f>TEXT(WEEKDAY(DATE(CalendarioAño,2,9),1),"ddd")</f>
        <v>dom</v>
      </c>
      <c r="L151" s="16" t="str">
        <f>TEXT(WEEKDAY(DATE(CalendarioAño,2,10),1),"ddd")</f>
        <v>lun</v>
      </c>
      <c r="M151" s="16" t="str">
        <f>TEXT(WEEKDAY(DATE(CalendarioAño,2,11),1),"ddd")</f>
        <v>mar</v>
      </c>
      <c r="N151" s="16" t="str">
        <f>TEXT(WEEKDAY(DATE(CalendarioAño,2,12),1),"ddd")</f>
        <v>mié</v>
      </c>
      <c r="O151" s="16" t="str">
        <f>TEXT(WEEKDAY(DATE(CalendarioAño,2,13),1),"ddd")</f>
        <v>jue</v>
      </c>
      <c r="P151" s="16" t="str">
        <f>TEXT(WEEKDAY(DATE(CalendarioAño,2,14),1),"ddd")</f>
        <v>vie</v>
      </c>
      <c r="Q151" s="16" t="str">
        <f>TEXT(WEEKDAY(DATE(CalendarioAño,2,15),1),"ddd")</f>
        <v>sáb</v>
      </c>
      <c r="R151" s="16" t="str">
        <f>TEXT(WEEKDAY(DATE(CalendarioAño,2,16),1),"ddd")</f>
        <v>dom</v>
      </c>
      <c r="S151" s="16" t="str">
        <f>TEXT(WEEKDAY(DATE(CalendarioAño,2,17),1),"ddd")</f>
        <v>lun</v>
      </c>
      <c r="T151" s="16" t="str">
        <f>TEXT(WEEKDAY(DATE(CalendarioAño,2,18),1),"ddd")</f>
        <v>mar</v>
      </c>
      <c r="U151" s="16" t="str">
        <f>TEXT(WEEKDAY(DATE(CalendarioAño,2,19),1),"ddd")</f>
        <v>mié</v>
      </c>
      <c r="V151" s="16" t="str">
        <f>TEXT(WEEKDAY(DATE(CalendarioAño,2,20),1),"ddd")</f>
        <v>jue</v>
      </c>
      <c r="W151" s="16" t="str">
        <f>TEXT(WEEKDAY(DATE(CalendarioAño,2,21),1),"ddd")</f>
        <v>vie</v>
      </c>
      <c r="X151" s="16" t="str">
        <f>TEXT(WEEKDAY(DATE(CalendarioAño,2,22),1),"ddd")</f>
        <v>sáb</v>
      </c>
      <c r="Y151" s="16" t="str">
        <f>TEXT(WEEKDAY(DATE(CalendarioAño,2,23),1),"ddd")</f>
        <v>dom</v>
      </c>
      <c r="Z151" s="16" t="str">
        <f>TEXT(WEEKDAY(DATE(CalendarioAño,2,24),1),"ddd")</f>
        <v>lun</v>
      </c>
      <c r="AA151" s="16" t="str">
        <f>TEXT(WEEKDAY(DATE(CalendarioAño,2,25),1),"ddd")</f>
        <v>mar</v>
      </c>
      <c r="AB151" s="16" t="str">
        <f>TEXT(WEEKDAY(DATE(CalendarioAño,2,26),1),"ddd")</f>
        <v>mié</v>
      </c>
      <c r="AC151" s="16" t="str">
        <f>TEXT(WEEKDAY(DATE(CalendarioAño,2,27),1),"ddd")</f>
        <v>jue</v>
      </c>
      <c r="AD151" s="16" t="str">
        <f>TEXT(WEEKDAY(DATE(CalendarioAño,2,28),1),"ddd")</f>
        <v>vie</v>
      </c>
      <c r="AE151" s="16" t="str">
        <f>TEXT(WEEKDAY(DATE(CalendarioAño,2,29),1),"ddd")</f>
        <v>sáb</v>
      </c>
      <c r="AF151" s="16"/>
      <c r="AG151" s="16"/>
      <c r="AH151" s="32"/>
    </row>
    <row r="152" ht="30.0" customHeight="1">
      <c r="B152" s="33" t="s">
        <v>162</v>
      </c>
      <c r="C152" s="19" t="s">
        <v>15</v>
      </c>
      <c r="D152" s="19" t="s">
        <v>16</v>
      </c>
      <c r="E152" s="19" t="s">
        <v>17</v>
      </c>
      <c r="F152" s="19" t="s">
        <v>18</v>
      </c>
      <c r="G152" s="19" t="s">
        <v>19</v>
      </c>
      <c r="H152" s="19" t="s">
        <v>20</v>
      </c>
      <c r="I152" s="19" t="s">
        <v>21</v>
      </c>
      <c r="J152" s="19" t="s">
        <v>22</v>
      </c>
      <c r="K152" s="19" t="s">
        <v>23</v>
      </c>
      <c r="L152" s="19" t="s">
        <v>24</v>
      </c>
      <c r="M152" s="19" t="s">
        <v>25</v>
      </c>
      <c r="N152" s="19" t="s">
        <v>26</v>
      </c>
      <c r="O152" s="19" t="s">
        <v>27</v>
      </c>
      <c r="P152" s="19" t="s">
        <v>28</v>
      </c>
      <c r="Q152" s="19" t="s">
        <v>29</v>
      </c>
      <c r="R152" s="19" t="s">
        <v>30</v>
      </c>
      <c r="S152" s="19" t="s">
        <v>31</v>
      </c>
      <c r="T152" s="19" t="s">
        <v>32</v>
      </c>
      <c r="U152" s="19" t="s">
        <v>33</v>
      </c>
      <c r="V152" s="19" t="s">
        <v>34</v>
      </c>
      <c r="W152" s="19" t="s">
        <v>35</v>
      </c>
      <c r="X152" s="19" t="s">
        <v>36</v>
      </c>
      <c r="Y152" s="19" t="s">
        <v>37</v>
      </c>
      <c r="Z152" s="19" t="s">
        <v>38</v>
      </c>
      <c r="AA152" s="19" t="s">
        <v>39</v>
      </c>
      <c r="AB152" s="19" t="s">
        <v>40</v>
      </c>
      <c r="AC152" s="19" t="s">
        <v>41</v>
      </c>
      <c r="AD152" s="19" t="s">
        <v>42</v>
      </c>
      <c r="AE152" s="19" t="s">
        <v>43</v>
      </c>
      <c r="AF152" s="19" t="s">
        <v>89</v>
      </c>
      <c r="AG152" s="19" t="s">
        <v>163</v>
      </c>
      <c r="AH152" s="19" t="s">
        <v>46</v>
      </c>
    </row>
    <row r="153" ht="30.0" customHeight="1">
      <c r="B153" s="57" t="s">
        <v>149</v>
      </c>
      <c r="C153" s="10" t="s">
        <v>6</v>
      </c>
      <c r="D153" s="21"/>
      <c r="E153" s="21"/>
      <c r="F153" s="21"/>
      <c r="G153" s="21"/>
      <c r="H153" s="21"/>
      <c r="I153" s="21"/>
      <c r="J153" s="10" t="s">
        <v>6</v>
      </c>
      <c r="K153" s="21"/>
      <c r="L153" s="21"/>
      <c r="M153" s="10" t="s">
        <v>6</v>
      </c>
      <c r="N153" s="21"/>
      <c r="O153" s="10" t="s">
        <v>6</v>
      </c>
      <c r="P153" s="21"/>
      <c r="Q153" s="10" t="s">
        <v>6</v>
      </c>
      <c r="R153" s="21"/>
      <c r="S153" s="22"/>
      <c r="T153" s="10" t="s">
        <v>6</v>
      </c>
      <c r="U153" s="21"/>
      <c r="V153" s="22"/>
      <c r="W153" s="22"/>
      <c r="X153" s="22"/>
      <c r="Y153" s="22"/>
      <c r="Z153" s="21"/>
      <c r="AA153" s="21"/>
      <c r="AB153" s="21"/>
      <c r="AC153" s="21"/>
      <c r="AD153" s="21"/>
      <c r="AE153" s="21"/>
      <c r="AF153" s="21"/>
      <c r="AG153" s="21"/>
      <c r="AH153" s="25"/>
    </row>
    <row r="154" ht="30.0" customHeight="1">
      <c r="B154" s="60" t="s">
        <v>150</v>
      </c>
      <c r="C154" s="10" t="s">
        <v>6</v>
      </c>
      <c r="D154" s="21"/>
      <c r="E154" s="21"/>
      <c r="F154" s="21"/>
      <c r="G154" s="21"/>
      <c r="H154" s="22"/>
      <c r="I154" s="21"/>
      <c r="J154" s="21"/>
      <c r="K154" s="21"/>
      <c r="L154" s="21"/>
      <c r="M154" s="21"/>
      <c r="N154" s="21"/>
      <c r="O154" s="10" t="s">
        <v>6</v>
      </c>
      <c r="P154" s="21"/>
      <c r="Q154" s="10" t="s">
        <v>6</v>
      </c>
      <c r="R154" s="21"/>
      <c r="S154" s="21"/>
      <c r="T154" s="10" t="s">
        <v>6</v>
      </c>
      <c r="U154" s="21"/>
      <c r="V154" s="22"/>
      <c r="W154" s="21"/>
      <c r="X154" s="22"/>
      <c r="Y154" s="22"/>
      <c r="Z154" s="21"/>
      <c r="AA154" s="21"/>
      <c r="AB154" s="21"/>
      <c r="AC154" s="22"/>
      <c r="AD154" s="21"/>
      <c r="AE154" s="22"/>
      <c r="AF154" s="21"/>
      <c r="AG154" s="21"/>
      <c r="AH154" s="36">
        <v>4.0</v>
      </c>
    </row>
    <row r="155" ht="30.0" customHeight="1">
      <c r="B155" s="57" t="s">
        <v>151</v>
      </c>
      <c r="C155" s="10" t="s">
        <v>6</v>
      </c>
      <c r="D155" s="22"/>
      <c r="E155" s="21"/>
      <c r="F155" s="21"/>
      <c r="G155" s="21"/>
      <c r="H155" s="10" t="s">
        <v>6</v>
      </c>
      <c r="I155" s="21"/>
      <c r="J155" s="21"/>
      <c r="K155" s="22"/>
      <c r="L155" s="21"/>
      <c r="M155" s="21"/>
      <c r="N155" s="21"/>
      <c r="O155" s="22"/>
      <c r="P155" s="21"/>
      <c r="Q155" s="22"/>
      <c r="R155" s="22"/>
      <c r="S155" s="21"/>
      <c r="T155" s="21"/>
      <c r="U155" s="21"/>
      <c r="V155" s="22"/>
      <c r="W155" s="21"/>
      <c r="X155" s="22"/>
      <c r="Y155" s="22"/>
      <c r="Z155" s="21"/>
      <c r="AA155" s="21"/>
      <c r="AB155" s="21"/>
      <c r="AC155" s="21"/>
      <c r="AD155" s="21"/>
      <c r="AE155" s="22"/>
      <c r="AF155" s="21"/>
      <c r="AG155" s="21"/>
      <c r="AH155" s="25"/>
    </row>
    <row r="156" ht="30.0" customHeight="1">
      <c r="B156" s="57" t="s">
        <v>152</v>
      </c>
      <c r="C156" s="10" t="s">
        <v>6</v>
      </c>
      <c r="D156" s="22"/>
      <c r="E156" s="21"/>
      <c r="F156" s="21"/>
      <c r="G156" s="21"/>
      <c r="H156" s="10" t="s">
        <v>6</v>
      </c>
      <c r="I156" s="21"/>
      <c r="J156" s="21"/>
      <c r="K156" s="21"/>
      <c r="L156" s="21"/>
      <c r="M156" s="21"/>
      <c r="N156" s="22"/>
      <c r="O156" s="10" t="s">
        <v>6</v>
      </c>
      <c r="P156" s="21"/>
      <c r="Q156" s="22"/>
      <c r="R156" s="21"/>
      <c r="S156" s="21"/>
      <c r="T156" s="21"/>
      <c r="U156" s="22"/>
      <c r="V156" s="10" t="s">
        <v>6</v>
      </c>
      <c r="W156" s="21"/>
      <c r="X156" s="22"/>
      <c r="Y156" s="21"/>
      <c r="Z156" s="21"/>
      <c r="AA156" s="21"/>
      <c r="AB156" s="21"/>
      <c r="AC156" s="21"/>
      <c r="AD156" s="21"/>
      <c r="AE156" s="21"/>
      <c r="AF156" s="21"/>
      <c r="AG156" s="21"/>
      <c r="AH156" s="25"/>
    </row>
    <row r="157" ht="30.0" customHeight="1">
      <c r="B157" s="57" t="s">
        <v>191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10" t="s">
        <v>6</v>
      </c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5"/>
    </row>
    <row r="158" ht="30.0" customHeight="1">
      <c r="B158" s="86"/>
      <c r="C158" s="22"/>
      <c r="D158" s="21"/>
      <c r="E158" s="21"/>
      <c r="F158" s="21"/>
      <c r="G158" s="21"/>
      <c r="H158" s="21"/>
      <c r="I158" s="21"/>
      <c r="J158" s="22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5"/>
    </row>
    <row r="159" ht="30.0" customHeight="1">
      <c r="B159" s="86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2"/>
      <c r="W159" s="22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5"/>
    </row>
    <row r="160" ht="30.0" customHeight="1">
      <c r="B160" s="86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5"/>
    </row>
    <row r="161" ht="30.0" customHeight="1">
      <c r="B161" s="86"/>
      <c r="C161" s="21"/>
      <c r="D161" s="21"/>
      <c r="E161" s="21"/>
      <c r="F161" s="21"/>
      <c r="G161" s="21"/>
      <c r="H161" s="21"/>
      <c r="I161" s="21"/>
      <c r="J161" s="22"/>
      <c r="K161" s="21"/>
      <c r="L161" s="21"/>
      <c r="M161" s="21"/>
      <c r="N161" s="21"/>
      <c r="O161" s="21"/>
      <c r="P161" s="21"/>
      <c r="Q161" s="21"/>
      <c r="R161" s="21"/>
      <c r="S161" s="22"/>
      <c r="T161" s="21"/>
      <c r="U161" s="21"/>
      <c r="V161" s="21"/>
      <c r="W161" s="21"/>
      <c r="X161" s="22"/>
      <c r="Y161" s="21"/>
      <c r="Z161" s="21"/>
      <c r="AA161" s="21"/>
      <c r="AB161" s="21"/>
      <c r="AC161" s="21"/>
      <c r="AD161" s="21"/>
      <c r="AE161" s="21"/>
      <c r="AF161" s="21"/>
      <c r="AG161" s="21"/>
      <c r="AH161" s="25"/>
    </row>
    <row r="162" ht="30.0" customHeight="1">
      <c r="B162" s="26" t="str">
        <f>Febrero!MonthName&amp;" Total"</f>
        <v>Febrero Total</v>
      </c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>
        <f>SUM(C162:AG162)</f>
        <v>0</v>
      </c>
    </row>
    <row r="163" ht="30.0" customHeight="1"/>
    <row r="164" ht="30.0" customHeight="1">
      <c r="B164" s="32" t="s">
        <v>161</v>
      </c>
      <c r="C164" s="80" t="s">
        <v>192</v>
      </c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38">
        <v>2025.0</v>
      </c>
    </row>
    <row r="165" ht="30.0" customHeight="1">
      <c r="B165" s="32"/>
      <c r="C165" s="16" t="str">
        <f>TEXT(WEEKDAY(DATE(CalendarioAño,2,1),1),"ddd")</f>
        <v>sáb</v>
      </c>
      <c r="D165" s="16" t="str">
        <f>TEXT(WEEKDAY(DATE(CalendarioAño,2,2),1),"ddd")</f>
        <v>dom</v>
      </c>
      <c r="E165" s="16" t="str">
        <f>TEXT(WEEKDAY(DATE(CalendarioAño,2,3),1),"ddd")</f>
        <v>lun</v>
      </c>
      <c r="F165" s="16" t="str">
        <f>TEXT(WEEKDAY(DATE(CalendarioAño,2,4),1),"ddd")</f>
        <v>mar</v>
      </c>
      <c r="G165" s="16" t="str">
        <f>TEXT(WEEKDAY(DATE(CalendarioAño,2,5),1),"ddd")</f>
        <v>mié</v>
      </c>
      <c r="H165" s="16" t="str">
        <f>TEXT(WEEKDAY(DATE(CalendarioAño,2,6),1),"ddd")</f>
        <v>jue</v>
      </c>
      <c r="I165" s="16" t="str">
        <f>TEXT(WEEKDAY(DATE(CalendarioAño,2,7),1),"ddd")</f>
        <v>vie</v>
      </c>
      <c r="J165" s="16" t="str">
        <f>TEXT(WEEKDAY(DATE(CalendarioAño,2,8),1),"ddd")</f>
        <v>sáb</v>
      </c>
      <c r="K165" s="16" t="str">
        <f>TEXT(WEEKDAY(DATE(CalendarioAño,2,9),1),"ddd")</f>
        <v>dom</v>
      </c>
      <c r="L165" s="16" t="str">
        <f>TEXT(WEEKDAY(DATE(CalendarioAño,2,10),1),"ddd")</f>
        <v>lun</v>
      </c>
      <c r="M165" s="16" t="str">
        <f>TEXT(WEEKDAY(DATE(CalendarioAño,2,11),1),"ddd")</f>
        <v>mar</v>
      </c>
      <c r="N165" s="16" t="str">
        <f>TEXT(WEEKDAY(DATE(CalendarioAño,2,12),1),"ddd")</f>
        <v>mié</v>
      </c>
      <c r="O165" s="16" t="str">
        <f>TEXT(WEEKDAY(DATE(CalendarioAño,2,13),1),"ddd")</f>
        <v>jue</v>
      </c>
      <c r="P165" s="16" t="str">
        <f>TEXT(WEEKDAY(DATE(CalendarioAño,2,14),1),"ddd")</f>
        <v>vie</v>
      </c>
      <c r="Q165" s="16" t="str">
        <f>TEXT(WEEKDAY(DATE(CalendarioAño,2,15),1),"ddd")</f>
        <v>sáb</v>
      </c>
      <c r="R165" s="16" t="str">
        <f>TEXT(WEEKDAY(DATE(CalendarioAño,2,16),1),"ddd")</f>
        <v>dom</v>
      </c>
      <c r="S165" s="16" t="str">
        <f>TEXT(WEEKDAY(DATE(CalendarioAño,2,17),1),"ddd")</f>
        <v>lun</v>
      </c>
      <c r="T165" s="16" t="str">
        <f>TEXT(WEEKDAY(DATE(CalendarioAño,2,18),1),"ddd")</f>
        <v>mar</v>
      </c>
      <c r="U165" s="16" t="str">
        <f>TEXT(WEEKDAY(DATE(CalendarioAño,2,19),1),"ddd")</f>
        <v>mié</v>
      </c>
      <c r="V165" s="16" t="str">
        <f>TEXT(WEEKDAY(DATE(CalendarioAño,2,20),1),"ddd")</f>
        <v>jue</v>
      </c>
      <c r="W165" s="16" t="str">
        <f>TEXT(WEEKDAY(DATE(CalendarioAño,2,21),1),"ddd")</f>
        <v>vie</v>
      </c>
      <c r="X165" s="16" t="str">
        <f>TEXT(WEEKDAY(DATE(CalendarioAño,2,22),1),"ddd")</f>
        <v>sáb</v>
      </c>
      <c r="Y165" s="16" t="str">
        <f>TEXT(WEEKDAY(DATE(CalendarioAño,2,23),1),"ddd")</f>
        <v>dom</v>
      </c>
      <c r="Z165" s="16" t="str">
        <f>TEXT(WEEKDAY(DATE(CalendarioAño,2,24),1),"ddd")</f>
        <v>lun</v>
      </c>
      <c r="AA165" s="16" t="str">
        <f>TEXT(WEEKDAY(DATE(CalendarioAño,2,25),1),"ddd")</f>
        <v>mar</v>
      </c>
      <c r="AB165" s="16" t="str">
        <f>TEXT(WEEKDAY(DATE(CalendarioAño,2,26),1),"ddd")</f>
        <v>mié</v>
      </c>
      <c r="AC165" s="16" t="str">
        <f>TEXT(WEEKDAY(DATE(CalendarioAño,2,27),1),"ddd")</f>
        <v>jue</v>
      </c>
      <c r="AD165" s="16" t="str">
        <f>TEXT(WEEKDAY(DATE(CalendarioAño,2,28),1),"ddd")</f>
        <v>vie</v>
      </c>
      <c r="AE165" s="16" t="str">
        <f>TEXT(WEEKDAY(DATE(CalendarioAño,2,29),1),"ddd")</f>
        <v>sáb</v>
      </c>
      <c r="AF165" s="16"/>
      <c r="AG165" s="16"/>
      <c r="AH165" s="32"/>
    </row>
    <row r="166" ht="30.0" customHeight="1">
      <c r="B166" s="33" t="s">
        <v>162</v>
      </c>
      <c r="C166" s="19" t="s">
        <v>15</v>
      </c>
      <c r="D166" s="19" t="s">
        <v>16</v>
      </c>
      <c r="E166" s="19" t="s">
        <v>17</v>
      </c>
      <c r="F166" s="19" t="s">
        <v>18</v>
      </c>
      <c r="G166" s="19" t="s">
        <v>19</v>
      </c>
      <c r="H166" s="19" t="s">
        <v>20</v>
      </c>
      <c r="I166" s="19" t="s">
        <v>21</v>
      </c>
      <c r="J166" s="19" t="s">
        <v>22</v>
      </c>
      <c r="K166" s="19" t="s">
        <v>23</v>
      </c>
      <c r="L166" s="19" t="s">
        <v>24</v>
      </c>
      <c r="M166" s="19" t="s">
        <v>25</v>
      </c>
      <c r="N166" s="19" t="s">
        <v>26</v>
      </c>
      <c r="O166" s="19" t="s">
        <v>27</v>
      </c>
      <c r="P166" s="19" t="s">
        <v>28</v>
      </c>
      <c r="Q166" s="19" t="s">
        <v>29</v>
      </c>
      <c r="R166" s="19" t="s">
        <v>30</v>
      </c>
      <c r="S166" s="19" t="s">
        <v>31</v>
      </c>
      <c r="T166" s="19" t="s">
        <v>32</v>
      </c>
      <c r="U166" s="19" t="s">
        <v>33</v>
      </c>
      <c r="V166" s="19" t="s">
        <v>34</v>
      </c>
      <c r="W166" s="19" t="s">
        <v>35</v>
      </c>
      <c r="X166" s="19" t="s">
        <v>36</v>
      </c>
      <c r="Y166" s="19" t="s">
        <v>37</v>
      </c>
      <c r="Z166" s="19" t="s">
        <v>38</v>
      </c>
      <c r="AA166" s="19" t="s">
        <v>39</v>
      </c>
      <c r="AB166" s="19" t="s">
        <v>40</v>
      </c>
      <c r="AC166" s="19" t="s">
        <v>41</v>
      </c>
      <c r="AD166" s="19" t="s">
        <v>42</v>
      </c>
      <c r="AE166" s="19" t="s">
        <v>43</v>
      </c>
      <c r="AF166" s="19" t="s">
        <v>89</v>
      </c>
      <c r="AG166" s="19" t="s">
        <v>163</v>
      </c>
      <c r="AH166" s="19" t="s">
        <v>46</v>
      </c>
    </row>
    <row r="167" ht="30.0" customHeight="1">
      <c r="B167" s="86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2"/>
      <c r="R167" s="21"/>
      <c r="S167" s="22"/>
      <c r="T167" s="21"/>
      <c r="U167" s="21"/>
      <c r="V167" s="22"/>
      <c r="W167" s="22"/>
      <c r="X167" s="22"/>
      <c r="Y167" s="22"/>
      <c r="Z167" s="21"/>
      <c r="AA167" s="21"/>
      <c r="AB167" s="21"/>
      <c r="AC167" s="21"/>
      <c r="AD167" s="21"/>
      <c r="AE167" s="21"/>
      <c r="AF167" s="21"/>
      <c r="AG167" s="21"/>
      <c r="AH167" s="25"/>
    </row>
    <row r="168" ht="30.0" customHeight="1">
      <c r="B168" s="86"/>
      <c r="C168" s="22"/>
      <c r="D168" s="21"/>
      <c r="E168" s="21"/>
      <c r="F168" s="21"/>
      <c r="G168" s="21"/>
      <c r="H168" s="22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2"/>
      <c r="W168" s="21"/>
      <c r="X168" s="22"/>
      <c r="Y168" s="22"/>
      <c r="Z168" s="21"/>
      <c r="AA168" s="21"/>
      <c r="AB168" s="21"/>
      <c r="AC168" s="22"/>
      <c r="AD168" s="21"/>
      <c r="AE168" s="22"/>
      <c r="AF168" s="21"/>
      <c r="AG168" s="21"/>
      <c r="AH168" s="25"/>
    </row>
    <row r="169" ht="30.0" customHeight="1">
      <c r="B169" s="86"/>
      <c r="C169" s="22"/>
      <c r="D169" s="22"/>
      <c r="E169" s="21"/>
      <c r="F169" s="21"/>
      <c r="G169" s="21"/>
      <c r="H169" s="22"/>
      <c r="I169" s="21"/>
      <c r="J169" s="21"/>
      <c r="K169" s="22"/>
      <c r="L169" s="21"/>
      <c r="M169" s="21"/>
      <c r="N169" s="21"/>
      <c r="O169" s="22"/>
      <c r="P169" s="21"/>
      <c r="Q169" s="22"/>
      <c r="R169" s="22"/>
      <c r="S169" s="21"/>
      <c r="T169" s="21"/>
      <c r="U169" s="21"/>
      <c r="V169" s="22"/>
      <c r="W169" s="21"/>
      <c r="X169" s="22"/>
      <c r="Y169" s="22"/>
      <c r="Z169" s="21"/>
      <c r="AA169" s="21"/>
      <c r="AB169" s="21"/>
      <c r="AC169" s="21"/>
      <c r="AD169" s="21"/>
      <c r="AE169" s="22"/>
      <c r="AF169" s="21"/>
      <c r="AG169" s="21"/>
      <c r="AH169" s="25"/>
    </row>
    <row r="170" ht="30.0" customHeight="1">
      <c r="B170" s="86"/>
      <c r="C170" s="21"/>
      <c r="D170" s="22"/>
      <c r="E170" s="21"/>
      <c r="F170" s="21"/>
      <c r="G170" s="21"/>
      <c r="H170" s="22"/>
      <c r="I170" s="21"/>
      <c r="J170" s="21"/>
      <c r="K170" s="21"/>
      <c r="L170" s="21"/>
      <c r="M170" s="21"/>
      <c r="N170" s="22"/>
      <c r="O170" s="21"/>
      <c r="P170" s="21"/>
      <c r="Q170" s="22"/>
      <c r="R170" s="21"/>
      <c r="S170" s="21"/>
      <c r="T170" s="21"/>
      <c r="U170" s="22"/>
      <c r="V170" s="21"/>
      <c r="W170" s="21"/>
      <c r="X170" s="22"/>
      <c r="Y170" s="21"/>
      <c r="Z170" s="21"/>
      <c r="AA170" s="21"/>
      <c r="AB170" s="21"/>
      <c r="AC170" s="21"/>
      <c r="AD170" s="21"/>
      <c r="AE170" s="21"/>
      <c r="AF170" s="21"/>
      <c r="AG170" s="21"/>
      <c r="AH170" s="25"/>
    </row>
    <row r="171" ht="30.0" customHeight="1">
      <c r="B171" s="86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5"/>
    </row>
    <row r="172" ht="30.0" customHeight="1">
      <c r="B172" s="86"/>
      <c r="C172" s="22"/>
      <c r="D172" s="21"/>
      <c r="E172" s="21"/>
      <c r="F172" s="21"/>
      <c r="G172" s="21"/>
      <c r="H172" s="21"/>
      <c r="I172" s="21"/>
      <c r="J172" s="22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5"/>
    </row>
    <row r="173" ht="30.0" customHeight="1">
      <c r="B173" s="86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2"/>
      <c r="W173" s="22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5"/>
    </row>
    <row r="174" ht="30.0" customHeight="1">
      <c r="B174" s="86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5"/>
    </row>
    <row r="175" ht="30.0" customHeight="1">
      <c r="B175" s="86"/>
      <c r="C175" s="21"/>
      <c r="D175" s="21"/>
      <c r="E175" s="21"/>
      <c r="F175" s="21"/>
      <c r="G175" s="21"/>
      <c r="H175" s="21"/>
      <c r="I175" s="21"/>
      <c r="J175" s="22"/>
      <c r="K175" s="21"/>
      <c r="L175" s="21"/>
      <c r="M175" s="21"/>
      <c r="N175" s="21"/>
      <c r="O175" s="21"/>
      <c r="P175" s="21"/>
      <c r="Q175" s="21"/>
      <c r="R175" s="21"/>
      <c r="S175" s="22"/>
      <c r="T175" s="21"/>
      <c r="U175" s="21"/>
      <c r="V175" s="21"/>
      <c r="W175" s="21"/>
      <c r="X175" s="22"/>
      <c r="Y175" s="21"/>
      <c r="Z175" s="21"/>
      <c r="AA175" s="21"/>
      <c r="AB175" s="21"/>
      <c r="AC175" s="21"/>
      <c r="AD175" s="21"/>
      <c r="AE175" s="21"/>
      <c r="AF175" s="21"/>
      <c r="AG175" s="21"/>
      <c r="AH175" s="25"/>
    </row>
    <row r="176" ht="30.0" customHeight="1">
      <c r="B176" s="26" t="str">
        <f>Febrero!MonthName&amp;" Total"</f>
        <v>Febrero Total</v>
      </c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>
        <f>SUM(C176:AG176)</f>
        <v>0</v>
      </c>
    </row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</sheetData>
  <mergeCells count="16">
    <mergeCell ref="B1:N1"/>
    <mergeCell ref="D2:F2"/>
    <mergeCell ref="H2:J2"/>
    <mergeCell ref="L2:N2"/>
    <mergeCell ref="P2:S2"/>
    <mergeCell ref="U2:X2"/>
    <mergeCell ref="C4:AG4"/>
    <mergeCell ref="C150:AG150"/>
    <mergeCell ref="C164:AG164"/>
    <mergeCell ref="C18:AG18"/>
    <mergeCell ref="C32:AG32"/>
    <mergeCell ref="C53:AG53"/>
    <mergeCell ref="C77:AG77"/>
    <mergeCell ref="C103:AG103"/>
    <mergeCell ref="C122:AG122"/>
    <mergeCell ref="C136:AG136"/>
  </mergeCells>
  <conditionalFormatting sqref="J128:J129">
    <cfRule type="expression" dxfId="5" priority="1" stopIfTrue="1">
      <formula>R58=""</formula>
    </cfRule>
  </conditionalFormatting>
  <conditionalFormatting sqref="C7:N15 P7:P15 R7:S15 U7:U15 V7 W7:W8 Y7:AC15 AD7:AD8 AE7:AG15 Q8:Q15 O9:O15 T9:T15 V9:V15 X9:X15 W10:W15 AD10:AD15 D21:G29 H21 I21:I24 K21:L29 N21:N24 O21:O23 P21:P24 R21:S29 T21 U21:U29 W21:W29 Y21:Y29 AA21:AA29 AE21:AG29 C22:C29 J22:J24 Q22:Q29 X22 Z22:Z29 AB22:AB27 AD22:AD27 T23 AC23 X24 H25:H29 M25:M26 O25:O26 T25:T29 V25:V29 AC25:AC28 I27:J29 N27:N29 P27:P29 X27:X29 M28:M29 O28:O29 AB29 AD29 C35:D50 F35:F36 G35 J35:J38 K35:K50 M35:M36 O35:O38 P35:P50 Q35:Q38 R35:R50 T35:T40 U35 V35:V38 X35:X38 Y35:Y50 AA35:AA36 AB35 AD35:AD41 AE35:AG50 H36 I36:I42 W36:W49 Z36:Z41 AC36 E37:E50 G37:G41 L37:L50 N37:N41 S37:S41 U37:U41 AB37:AB41 F38:F40 H38:H40 M38 AA38:AA40 AC38 J40:J43 M40:M41 O40 Q40:Q43 V40 X40:X48 AC40 F42:F50 O42:O45 T42 V42:V44 AA42:AA46 G43:G46 H43:H45 N43:N50 S43:S50 U43:U50 Z43:Z50 AB43:AB50 AC43:AC46 AD44:AD50 I45:J50 Q45:Q48 T47 V47:V50 AA48:AA50 T49:T50 AC49 X50 C56:C59 D56:D65 F56:F59 H56:H59 I56:I58 J56:J59 K56:K65 M56:M59 N56 O56:O59 P56 Q56:Q59 R56:R65 S56 T56:U57 V56:V59 W56:W63 X56:X59 Y56:Y65 Z56:Z58 AA56:AA59 AB56:AB63 AC56:AC59 AD56:AD63 AE56:AG65 G57:G60 L57:L58 N58:N60 P58 T59 U59:U60 E60:E65 I60:I65 L60:L65 P60:P64 S60:S65 Z60:Z65 F61:F65 H61:H62 M61:M62 O61:O62 Q61 T61:T62 V61:V62 AA61:AA65 AC61:AC65 G62:G63 N62:N64 U62:U65 J63:J65 Q63:Q65 X63 C64:C65 H64:H65 O64:O65 T64:T65 V64:V65 M65 W65:X65 D80:E100 F80:F83 G80:G84 H80:H81 I80:I82 K80:L100 M80:M83 N80:N85 O80:O81 P80:P82 R80:R100 S80:S85 T80:T83 U80:U85 V80:V83 W80:W82 X80:X81 Y80:Y100 Z80:AB83 AC80:AC81 AD80:AD82 AE80:AG100 H83:H85 O83 I84:I89 J84:J90 P84:P85 Q84:Q90 W84:W89 X84:X90 C85:C100 M85 O85 T85 V85:V86 Z85:Z89 AA85:AA93 AB85 AC85:AD86 F86:F100 G87:G100 N87:N89 P87:P91 S87:S89 T87:T92 M88 O88 U88:U96 V88 AC88:AC91 AD88:AD89 AB89:AB96 H90:H94 M90:M91 O90:O91 V90:V91 I91:I100 N91:N100 S91:S95 W91 Z91:Z100 AD91 J92:J100 Q92:Q98 X92:X95 P93:P100 W93:W96 AD93:AD95 M94 O95:O100 AA95:AA100 T96:T100 V96:V100 AC96:AC97 S97:S100 X97:X100 AD97:AD100 U98:U100 W98:W100 AB98:AB100 AC99:AC100 Q100 C106:C107 D106:D114 F106:F108 G106:G110 I106:I110 J106 K106:K114 M106:M108 N106:N110 O106:O108 Q106:Q111 R106:R114 T106:T108 U106:U110 V106:V108 X106:Y114 AA106:AA108 AB106:AB110 AC106:AC108 AD106 AE106:AG114 H107 S107:S114 Z107:Z111 E108:E114 J108:J111 L108:L114 P108:P110 W108:W110 AD108:AD110 C109:C114 O110:O113 V110:V113 AA110:AA114 AC110:AC114 F111:F112 H111:H112 M111:M114 T111:T112 N112:N114 P112:P114 U112:U114 W112:W114 AB112:AB114 G113:G114 I113:J114 Q113:Q114 Z113:Z114 AD113:AD114 F114 T114 C125:C127 D125:D133 F125 G125:G127 I125:L133 N125:N127 O125:O126 P125:P133 Q125:Q127 R125:R133 T125:T126 U125:U127 V125:V126 W125:W133 X125:X127 Y125:Y133 AA125:AA126 AB125:AB127 AD125:AG133 E126:E133 M126 S126:S133 Z126:Z133 AC126:AC133 F128:F133 H128:H133 M128:M133 O128:O133 T128:T133 V128:V133 AA128:AA133 C129:C133 G129:G133 N129:N133 Q129:Q133 U129:U133 X129:X133 AB129:AB133 C139:D147 F139:F147 G139 H139:H147 K139:M147 N139:N140 O139:P147 R139:T147 V139:V147 W139:W140 Y139:AA147 AC139:AC147 AD139:AD140 AE139:AG147 E140:E147 J140:J147 Q140:Q147 U140 AB140 X141:X147 G142:G147 I142:I147 N142:N147 U142:U147 W142:W147 AB142:AB147 AD142:AD147 D153:G161 H153:H154 I153:I161 K153:L161 N153:N161 P153:P161 R153:AG161 J154:J161 M154:M161 O155 Q155:Q161 C157:C161 H157:H161 O157:O161 C167:AG175">
    <cfRule type="expression" dxfId="5" priority="2" stopIfTrue="1">
      <formula>C7=""</formula>
    </cfRule>
  </conditionalFormatting>
  <dataValidations>
    <dataValidation type="list" allowBlank="1" showErrorMessage="1" sqref="B7:B15 B21:B29 B35:B50 B56:B74 B80:B100 B106:B119 B126:B133 B139 B155:B157">
      <formula1>'Nombres de los alumnos '!$B$4:$B$1019</formula1>
    </dataValidation>
    <dataValidation type="list" allowBlank="1" showErrorMessage="1" sqref="B125 B140:B141 B153:B154">
      <formula1>'Nombres de los alumnos '!$B$4:$B$131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9755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197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2" t="s">
        <v>200</v>
      </c>
      <c r="C4" s="80" t="s">
        <v>201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32">
        <f>CalendarioAño</f>
        <v>2025</v>
      </c>
    </row>
    <row r="5" ht="15.0" customHeight="1">
      <c r="B5" s="32"/>
      <c r="C5" s="16" t="str">
        <f>TEXT(WEEKDAY(DATE(CalendarioAño,3,1),1),"ddd")</f>
        <v>sáb</v>
      </c>
      <c r="D5" s="16" t="str">
        <f>TEXT(WEEKDAY(DATE(CalendarioAño,3,2),1),"ddd")</f>
        <v>dom</v>
      </c>
      <c r="E5" s="16" t="str">
        <f>TEXT(WEEKDAY(DATE(CalendarioAño,3,3),1),"ddd")</f>
        <v>lun</v>
      </c>
      <c r="F5" s="16" t="str">
        <f>TEXT(WEEKDAY(DATE(CalendarioAño,3,4),1),"ddd")</f>
        <v>mar</v>
      </c>
      <c r="G5" s="16" t="str">
        <f>TEXT(WEEKDAY(DATE(CalendarioAño,3,5),1),"ddd")</f>
        <v>mié</v>
      </c>
      <c r="H5" s="16" t="str">
        <f>TEXT(WEEKDAY(DATE(CalendarioAño,3,6),1),"ddd")</f>
        <v>jue</v>
      </c>
      <c r="I5" s="16" t="str">
        <f>TEXT(WEEKDAY(DATE(CalendarioAño,3,7),1),"ddd")</f>
        <v>vie</v>
      </c>
      <c r="J5" s="16" t="str">
        <f>TEXT(WEEKDAY(DATE(CalendarioAño,3,8),1),"ddd")</f>
        <v>sáb</v>
      </c>
      <c r="K5" s="16" t="str">
        <f>TEXT(WEEKDAY(DATE(CalendarioAño,3,9),1),"ddd")</f>
        <v>dom</v>
      </c>
      <c r="L5" s="16" t="str">
        <f>TEXT(WEEKDAY(DATE(CalendarioAño,3,10),1),"ddd")</f>
        <v>lun</v>
      </c>
      <c r="M5" s="16" t="str">
        <f>TEXT(WEEKDAY(DATE(CalendarioAño,3,11),1),"ddd")</f>
        <v>mar</v>
      </c>
      <c r="N5" s="16" t="str">
        <f>TEXT(WEEKDAY(DATE(CalendarioAño,3,12),1),"ddd")</f>
        <v>mié</v>
      </c>
      <c r="O5" s="16" t="str">
        <f>TEXT(WEEKDAY(DATE(CalendarioAño,3,13),1),"ddd")</f>
        <v>jue</v>
      </c>
      <c r="P5" s="16" t="str">
        <f>TEXT(WEEKDAY(DATE(CalendarioAño,3,14),1),"ddd")</f>
        <v>vie</v>
      </c>
      <c r="Q5" s="16" t="str">
        <f>TEXT(WEEKDAY(DATE(CalendarioAño,3,15),1),"ddd")</f>
        <v>sáb</v>
      </c>
      <c r="R5" s="16" t="str">
        <f>TEXT(WEEKDAY(DATE(CalendarioAño,3,16),1),"ddd")</f>
        <v>dom</v>
      </c>
      <c r="S5" s="16" t="str">
        <f>TEXT(WEEKDAY(DATE(CalendarioAño,3,17),1),"ddd")</f>
        <v>lun</v>
      </c>
      <c r="T5" s="16" t="str">
        <f>TEXT(WEEKDAY(DATE(CalendarioAño,3,18),1),"ddd")</f>
        <v>mar</v>
      </c>
      <c r="U5" s="16" t="str">
        <f>TEXT(WEEKDAY(DATE(CalendarioAño,3,19),1),"ddd")</f>
        <v>mié</v>
      </c>
      <c r="V5" s="16" t="str">
        <f>TEXT(WEEKDAY(DATE(CalendarioAño,3,20),1),"ddd")</f>
        <v>jue</v>
      </c>
      <c r="W5" s="16" t="str">
        <f>TEXT(WEEKDAY(DATE(CalendarioAño,3,21),1),"ddd")</f>
        <v>vie</v>
      </c>
      <c r="X5" s="16" t="str">
        <f>TEXT(WEEKDAY(DATE(CalendarioAño,3,22),1),"ddd")</f>
        <v>sáb</v>
      </c>
      <c r="Y5" s="16" t="str">
        <f>TEXT(WEEKDAY(DATE(CalendarioAño,3,23),1),"ddd")</f>
        <v>dom</v>
      </c>
      <c r="Z5" s="16" t="str">
        <f>TEXT(WEEKDAY(DATE(CalendarioAño,3,24),1),"ddd")</f>
        <v>lun</v>
      </c>
      <c r="AA5" s="16" t="str">
        <f>TEXT(WEEKDAY(DATE(CalendarioAño,3,25),1),"ddd")</f>
        <v>mar</v>
      </c>
      <c r="AB5" s="16" t="str">
        <f>TEXT(WEEKDAY(DATE(CalendarioAño,3,26),1),"ddd")</f>
        <v>mié</v>
      </c>
      <c r="AC5" s="16" t="str">
        <f>TEXT(WEEKDAY(DATE(CalendarioAño,3,27),1),"ddd")</f>
        <v>jue</v>
      </c>
      <c r="AD5" s="16" t="str">
        <f>TEXT(WEEKDAY(DATE(CalendarioAño,3,28),1),"ddd")</f>
        <v>vie</v>
      </c>
      <c r="AE5" s="16" t="str">
        <f>TEXT(WEEKDAY(DATE(CalendarioAño,3,29),1),"ddd")</f>
        <v>sáb</v>
      </c>
      <c r="AF5" s="16" t="str">
        <f>TEXT(WEEKDAY(DATE(CalendarioAño,3,30),1),"ddd")</f>
        <v>dom</v>
      </c>
      <c r="AG5" s="16" t="str">
        <f>TEXT(WEEKDAY(DATE(CalendarioAño,3,31),1),"ddd")</f>
        <v>lun</v>
      </c>
      <c r="AH5" s="32"/>
    </row>
    <row r="6" ht="15.0" customHeight="1">
      <c r="A6" s="17"/>
      <c r="B6" s="33" t="s">
        <v>202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</row>
    <row r="7" ht="30.0" customHeight="1">
      <c r="B7" s="20" t="s">
        <v>48</v>
      </c>
      <c r="C7" s="21"/>
      <c r="D7" s="21"/>
      <c r="E7" s="21"/>
      <c r="F7" s="10" t="s">
        <v>6</v>
      </c>
      <c r="G7" s="22"/>
      <c r="H7" s="21"/>
      <c r="I7" s="22"/>
      <c r="J7" s="10" t="s">
        <v>6</v>
      </c>
      <c r="K7" s="21"/>
      <c r="L7" s="21"/>
      <c r="M7" s="10" t="s">
        <v>6</v>
      </c>
      <c r="N7" s="22"/>
      <c r="O7" s="21"/>
      <c r="P7" s="21"/>
      <c r="Q7" s="10" t="s">
        <v>6</v>
      </c>
      <c r="R7" s="21"/>
      <c r="S7" s="21"/>
      <c r="T7" s="10" t="s">
        <v>6</v>
      </c>
      <c r="U7" s="22"/>
      <c r="V7" s="21"/>
      <c r="W7" s="22"/>
      <c r="X7" s="10" t="s">
        <v>6</v>
      </c>
      <c r="Y7" s="21"/>
      <c r="Z7" s="21"/>
      <c r="AA7" s="10" t="s">
        <v>6</v>
      </c>
      <c r="AB7" s="22"/>
      <c r="AC7" s="21"/>
      <c r="AD7" s="21"/>
      <c r="AE7" s="10" t="s">
        <v>6</v>
      </c>
      <c r="AF7" s="21"/>
      <c r="AG7" s="21"/>
      <c r="AH7" s="36">
        <v>8.0</v>
      </c>
    </row>
    <row r="8" ht="30.0" customHeight="1">
      <c r="B8" s="20" t="s">
        <v>203</v>
      </c>
      <c r="C8" s="21"/>
      <c r="D8" s="21"/>
      <c r="E8" s="21"/>
      <c r="F8" s="21"/>
      <c r="G8" s="22"/>
      <c r="H8" s="21"/>
      <c r="I8" s="22"/>
      <c r="J8" s="21"/>
      <c r="K8" s="21"/>
      <c r="L8" s="10" t="s">
        <v>6</v>
      </c>
      <c r="M8" s="21"/>
      <c r="N8" s="21"/>
      <c r="O8" s="21"/>
      <c r="P8" s="21"/>
      <c r="Q8" s="21"/>
      <c r="R8" s="21"/>
      <c r="S8" s="10" t="s">
        <v>6</v>
      </c>
      <c r="T8" s="21"/>
      <c r="U8" s="22"/>
      <c r="V8" s="21"/>
      <c r="W8" s="22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36">
        <v>2.0</v>
      </c>
    </row>
    <row r="9" ht="30.0" customHeight="1">
      <c r="B9" s="20"/>
      <c r="C9" s="22"/>
      <c r="D9" s="21"/>
      <c r="E9" s="21"/>
      <c r="F9" s="21"/>
      <c r="G9" s="22"/>
      <c r="H9" s="21"/>
      <c r="I9" s="22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5"/>
    </row>
    <row r="10" ht="30.0" customHeight="1">
      <c r="B10" s="86"/>
      <c r="C10" s="21"/>
      <c r="D10" s="21"/>
      <c r="E10" s="21"/>
      <c r="F10" s="22"/>
      <c r="G10" s="22"/>
      <c r="H10" s="22"/>
      <c r="I10" s="21"/>
      <c r="J10" s="21"/>
      <c r="K10" s="21"/>
      <c r="L10" s="21"/>
      <c r="M10" s="22"/>
      <c r="N10" s="22"/>
      <c r="O10" s="21"/>
      <c r="P10" s="22"/>
      <c r="Q10" s="21"/>
      <c r="R10" s="21"/>
      <c r="S10" s="21"/>
      <c r="T10" s="22"/>
      <c r="U10" s="21"/>
      <c r="V10" s="21"/>
      <c r="W10" s="22"/>
      <c r="X10" s="21"/>
      <c r="Y10" s="21"/>
      <c r="Z10" s="21"/>
      <c r="AA10" s="22"/>
      <c r="AB10" s="21"/>
      <c r="AC10" s="21"/>
      <c r="AD10" s="21"/>
      <c r="AE10" s="21"/>
      <c r="AF10" s="21"/>
      <c r="AG10" s="21"/>
      <c r="AH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21"/>
      <c r="AC11" s="21"/>
      <c r="AD11" s="21"/>
      <c r="AE11" s="21"/>
      <c r="AF11" s="21"/>
      <c r="AG11" s="21"/>
      <c r="AH11" s="25"/>
    </row>
    <row r="12" ht="30.0" customHeight="1">
      <c r="B12" s="86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5"/>
    </row>
    <row r="13" ht="30.0" customHeight="1">
      <c r="B13" s="86"/>
      <c r="C13" s="21"/>
      <c r="D13" s="22"/>
      <c r="E13" s="21"/>
      <c r="F13" s="21"/>
      <c r="G13" s="21"/>
      <c r="H13" s="21"/>
      <c r="I13" s="21"/>
      <c r="J13" s="21"/>
      <c r="K13" s="22"/>
      <c r="L13" s="21"/>
      <c r="M13" s="21"/>
      <c r="N13" s="21"/>
      <c r="O13" s="21"/>
      <c r="P13" s="22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1"/>
      <c r="AH13" s="25"/>
    </row>
    <row r="14" ht="30.0" customHeight="1">
      <c r="B14" s="86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5"/>
    </row>
    <row r="15" ht="30.0" customHeight="1">
      <c r="B15" s="86"/>
      <c r="C15" s="22"/>
      <c r="D15" s="22"/>
      <c r="E15" s="21"/>
      <c r="F15" s="21"/>
      <c r="G15" s="21"/>
      <c r="H15" s="21"/>
      <c r="I15" s="21"/>
      <c r="J15" s="21"/>
      <c r="K15" s="21"/>
      <c r="L15" s="21"/>
      <c r="M15" s="22"/>
      <c r="N15" s="21"/>
      <c r="O15" s="21"/>
      <c r="P15" s="22"/>
      <c r="Q15" s="21"/>
      <c r="R15" s="21"/>
      <c r="S15" s="21"/>
      <c r="T15" s="22"/>
      <c r="U15" s="21"/>
      <c r="V15" s="21"/>
      <c r="W15" s="22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5"/>
    </row>
    <row r="16" ht="30.0" customHeight="1">
      <c r="B16" s="26" t="str">
        <f>Marzo!MonthName&amp;" Total"</f>
        <v>Marzo Total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>
        <f>SUM(C16:AG16)</f>
        <v>0</v>
      </c>
    </row>
    <row r="17" ht="30.0" customHeight="1"/>
    <row r="18" ht="30.0" customHeight="1">
      <c r="B18" s="32" t="s">
        <v>200</v>
      </c>
      <c r="C18" s="80" t="s">
        <v>204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32">
        <f>CalendarioAño</f>
        <v>2025</v>
      </c>
    </row>
    <row r="19" ht="15.0" customHeight="1">
      <c r="B19" s="32"/>
      <c r="C19" s="16" t="str">
        <f>TEXT(WEEKDAY(DATE(CalendarioAño,3,1),1),"ddd")</f>
        <v>sáb</v>
      </c>
      <c r="D19" s="16" t="str">
        <f>TEXT(WEEKDAY(DATE(CalendarioAño,3,2),1),"ddd")</f>
        <v>dom</v>
      </c>
      <c r="E19" s="16" t="str">
        <f>TEXT(WEEKDAY(DATE(CalendarioAño,3,3),1),"ddd")</f>
        <v>lun</v>
      </c>
      <c r="F19" s="16" t="str">
        <f>TEXT(WEEKDAY(DATE(CalendarioAño,3,4),1),"ddd")</f>
        <v>mar</v>
      </c>
      <c r="G19" s="16" t="str">
        <f>TEXT(WEEKDAY(DATE(CalendarioAño,3,5),1),"ddd")</f>
        <v>mié</v>
      </c>
      <c r="H19" s="16" t="str">
        <f>TEXT(WEEKDAY(DATE(CalendarioAño,3,6),1),"ddd")</f>
        <v>jue</v>
      </c>
      <c r="I19" s="16" t="str">
        <f>TEXT(WEEKDAY(DATE(CalendarioAño,3,7),1),"ddd")</f>
        <v>vie</v>
      </c>
      <c r="J19" s="16" t="str">
        <f>TEXT(WEEKDAY(DATE(CalendarioAño,3,8),1),"ddd")</f>
        <v>sáb</v>
      </c>
      <c r="K19" s="16" t="str">
        <f>TEXT(WEEKDAY(DATE(CalendarioAño,3,9),1),"ddd")</f>
        <v>dom</v>
      </c>
      <c r="L19" s="16" t="str">
        <f>TEXT(WEEKDAY(DATE(CalendarioAño,3,10),1),"ddd")</f>
        <v>lun</v>
      </c>
      <c r="M19" s="16" t="str">
        <f>TEXT(WEEKDAY(DATE(CalendarioAño,3,11),1),"ddd")</f>
        <v>mar</v>
      </c>
      <c r="N19" s="16" t="str">
        <f>TEXT(WEEKDAY(DATE(CalendarioAño,3,12),1),"ddd")</f>
        <v>mié</v>
      </c>
      <c r="O19" s="16" t="str">
        <f>TEXT(WEEKDAY(DATE(CalendarioAño,3,13),1),"ddd")</f>
        <v>jue</v>
      </c>
      <c r="P19" s="16" t="str">
        <f>TEXT(WEEKDAY(DATE(CalendarioAño,3,14),1),"ddd")</f>
        <v>vie</v>
      </c>
      <c r="Q19" s="16" t="str">
        <f>TEXT(WEEKDAY(DATE(CalendarioAño,3,15),1),"ddd")</f>
        <v>sáb</v>
      </c>
      <c r="R19" s="16" t="str">
        <f>TEXT(WEEKDAY(DATE(CalendarioAño,3,16),1),"ddd")</f>
        <v>dom</v>
      </c>
      <c r="S19" s="16" t="str">
        <f>TEXT(WEEKDAY(DATE(CalendarioAño,3,17),1),"ddd")</f>
        <v>lun</v>
      </c>
      <c r="T19" s="16" t="str">
        <f>TEXT(WEEKDAY(DATE(CalendarioAño,3,18),1),"ddd")</f>
        <v>mar</v>
      </c>
      <c r="U19" s="16" t="str">
        <f>TEXT(WEEKDAY(DATE(CalendarioAño,3,19),1),"ddd")</f>
        <v>mié</v>
      </c>
      <c r="V19" s="16" t="str">
        <f>TEXT(WEEKDAY(DATE(CalendarioAño,3,20),1),"ddd")</f>
        <v>jue</v>
      </c>
      <c r="W19" s="16" t="str">
        <f>TEXT(WEEKDAY(DATE(CalendarioAño,3,21),1),"ddd")</f>
        <v>vie</v>
      </c>
      <c r="X19" s="16" t="str">
        <f>TEXT(WEEKDAY(DATE(CalendarioAño,3,22),1),"ddd")</f>
        <v>sáb</v>
      </c>
      <c r="Y19" s="16" t="str">
        <f>TEXT(WEEKDAY(DATE(CalendarioAño,3,23),1),"ddd")</f>
        <v>dom</v>
      </c>
      <c r="Z19" s="16" t="str">
        <f>TEXT(WEEKDAY(DATE(CalendarioAño,3,24),1),"ddd")</f>
        <v>lun</v>
      </c>
      <c r="AA19" s="16" t="str">
        <f>TEXT(WEEKDAY(DATE(CalendarioAño,3,25),1),"ddd")</f>
        <v>mar</v>
      </c>
      <c r="AB19" s="16" t="str">
        <f>TEXT(WEEKDAY(DATE(CalendarioAño,3,26),1),"ddd")</f>
        <v>mié</v>
      </c>
      <c r="AC19" s="16" t="str">
        <f>TEXT(WEEKDAY(DATE(CalendarioAño,3,27),1),"ddd")</f>
        <v>jue</v>
      </c>
      <c r="AD19" s="16" t="str">
        <f>TEXT(WEEKDAY(DATE(CalendarioAño,3,28),1),"ddd")</f>
        <v>vie</v>
      </c>
      <c r="AE19" s="16" t="str">
        <f>TEXT(WEEKDAY(DATE(CalendarioAño,3,29),1),"ddd")</f>
        <v>sáb</v>
      </c>
      <c r="AF19" s="16" t="str">
        <f>TEXT(WEEKDAY(DATE(CalendarioAño,3,30),1),"ddd")</f>
        <v>dom</v>
      </c>
      <c r="AG19" s="16" t="str">
        <f>TEXT(WEEKDAY(DATE(CalendarioAño,3,31),1),"ddd")</f>
        <v>lun</v>
      </c>
      <c r="AH19" s="32"/>
    </row>
    <row r="20" ht="30.0" customHeight="1">
      <c r="B20" s="33" t="s">
        <v>202</v>
      </c>
      <c r="C20" s="19" t="s">
        <v>15</v>
      </c>
      <c r="D20" s="19" t="s">
        <v>16</v>
      </c>
      <c r="E20" s="19" t="s">
        <v>17</v>
      </c>
      <c r="F20" s="19" t="s">
        <v>18</v>
      </c>
      <c r="G20" s="19" t="s">
        <v>19</v>
      </c>
      <c r="H20" s="19" t="s">
        <v>20</v>
      </c>
      <c r="I20" s="19" t="s">
        <v>21</v>
      </c>
      <c r="J20" s="19" t="s">
        <v>22</v>
      </c>
      <c r="K20" s="19" t="s">
        <v>23</v>
      </c>
      <c r="L20" s="19" t="s">
        <v>24</v>
      </c>
      <c r="M20" s="19" t="s">
        <v>25</v>
      </c>
      <c r="N20" s="19" t="s">
        <v>26</v>
      </c>
      <c r="O20" s="19" t="s">
        <v>27</v>
      </c>
      <c r="P20" s="19" t="s">
        <v>28</v>
      </c>
      <c r="Q20" s="19" t="s">
        <v>29</v>
      </c>
      <c r="R20" s="19" t="s">
        <v>30</v>
      </c>
      <c r="S20" s="19" t="s">
        <v>31</v>
      </c>
      <c r="T20" s="19" t="s">
        <v>32</v>
      </c>
      <c r="U20" s="19" t="s">
        <v>33</v>
      </c>
      <c r="V20" s="19" t="s">
        <v>34</v>
      </c>
      <c r="W20" s="19" t="s">
        <v>35</v>
      </c>
      <c r="X20" s="19" t="s">
        <v>36</v>
      </c>
      <c r="Y20" s="19" t="s">
        <v>37</v>
      </c>
      <c r="Z20" s="19" t="s">
        <v>38</v>
      </c>
      <c r="AA20" s="19" t="s">
        <v>39</v>
      </c>
      <c r="AB20" s="19" t="s">
        <v>40</v>
      </c>
      <c r="AC20" s="19" t="s">
        <v>41</v>
      </c>
      <c r="AD20" s="19" t="s">
        <v>42</v>
      </c>
      <c r="AE20" s="19" t="s">
        <v>43</v>
      </c>
      <c r="AF20" s="19" t="s">
        <v>44</v>
      </c>
      <c r="AG20" s="19" t="s">
        <v>45</v>
      </c>
      <c r="AH20" s="19" t="s">
        <v>46</v>
      </c>
    </row>
    <row r="21" ht="30.0" customHeight="1">
      <c r="B21" s="20" t="s">
        <v>50</v>
      </c>
      <c r="C21" s="21"/>
      <c r="D21" s="21"/>
      <c r="E21" s="21"/>
      <c r="F21" s="10" t="s">
        <v>6</v>
      </c>
      <c r="G21" s="22"/>
      <c r="H21" s="21"/>
      <c r="I21" s="22"/>
      <c r="J21" s="10" t="s">
        <v>6</v>
      </c>
      <c r="K21" s="21"/>
      <c r="L21" s="21"/>
      <c r="M21" s="10" t="s">
        <v>6</v>
      </c>
      <c r="N21" s="22"/>
      <c r="O21" s="21"/>
      <c r="P21" s="21"/>
      <c r="Q21" s="10" t="s">
        <v>6</v>
      </c>
      <c r="R21" s="21"/>
      <c r="S21" s="21"/>
      <c r="T21" s="21"/>
      <c r="U21" s="22"/>
      <c r="V21" s="10" t="s">
        <v>6</v>
      </c>
      <c r="W21" s="22"/>
      <c r="X21" s="10" t="s">
        <v>6</v>
      </c>
      <c r="Y21" s="21"/>
      <c r="Z21" s="21"/>
      <c r="AA21" s="21"/>
      <c r="AB21" s="22"/>
      <c r="AC21" s="21"/>
      <c r="AD21" s="21"/>
      <c r="AE21" s="21"/>
      <c r="AF21" s="21"/>
      <c r="AG21" s="21"/>
      <c r="AH21" s="25"/>
    </row>
    <row r="22" ht="30.0" customHeight="1">
      <c r="B22" s="20" t="s">
        <v>51</v>
      </c>
      <c r="C22" s="21"/>
      <c r="D22" s="21"/>
      <c r="E22" s="21"/>
      <c r="F22" s="10" t="s">
        <v>6</v>
      </c>
      <c r="G22" s="22"/>
      <c r="H22" s="10" t="s">
        <v>6</v>
      </c>
      <c r="I22" s="22"/>
      <c r="J22" s="21"/>
      <c r="K22" s="21"/>
      <c r="L22" s="21"/>
      <c r="M22" s="10" t="s">
        <v>6</v>
      </c>
      <c r="N22" s="21"/>
      <c r="O22" s="10" t="s">
        <v>6</v>
      </c>
      <c r="P22" s="21"/>
      <c r="Q22" s="21"/>
      <c r="R22" s="21"/>
      <c r="S22" s="21"/>
      <c r="T22" s="10" t="s">
        <v>6</v>
      </c>
      <c r="U22" s="22"/>
      <c r="V22" s="10" t="s">
        <v>6</v>
      </c>
      <c r="W22" s="22"/>
      <c r="X22" s="21"/>
      <c r="Y22" s="21"/>
      <c r="Z22" s="10" t="s">
        <v>6</v>
      </c>
      <c r="AA22" s="10" t="s">
        <v>6</v>
      </c>
      <c r="AB22" s="21"/>
      <c r="AC22" s="88" t="s">
        <v>6</v>
      </c>
      <c r="AD22" s="21"/>
      <c r="AE22" s="21"/>
      <c r="AF22" s="21"/>
      <c r="AG22" s="21"/>
      <c r="AH22" s="25"/>
    </row>
    <row r="23" ht="30.0" customHeight="1">
      <c r="B23" s="20" t="s">
        <v>47</v>
      </c>
      <c r="C23" s="22"/>
      <c r="D23" s="21"/>
      <c r="E23" s="21"/>
      <c r="F23" s="21"/>
      <c r="G23" s="10" t="s">
        <v>6</v>
      </c>
      <c r="H23" s="21"/>
      <c r="I23" s="22"/>
      <c r="J23" s="21"/>
      <c r="K23" s="21"/>
      <c r="L23" s="21"/>
      <c r="M23" s="21"/>
      <c r="N23" s="10" t="s">
        <v>6</v>
      </c>
      <c r="O23" s="21"/>
      <c r="P23" s="21"/>
      <c r="Q23" s="21"/>
      <c r="R23" s="21"/>
      <c r="S23" s="21"/>
      <c r="T23" s="10" t="s">
        <v>6</v>
      </c>
      <c r="U23" s="10" t="s">
        <v>6</v>
      </c>
      <c r="V23" s="10" t="s">
        <v>6</v>
      </c>
      <c r="W23" s="21"/>
      <c r="X23" s="10" t="s">
        <v>6</v>
      </c>
      <c r="Y23" s="89"/>
      <c r="Z23" s="21"/>
      <c r="AA23" s="10" t="s">
        <v>6</v>
      </c>
      <c r="AB23" s="21"/>
      <c r="AC23" s="21"/>
      <c r="AD23" s="10" t="s">
        <v>6</v>
      </c>
      <c r="AE23" s="10" t="s">
        <v>6</v>
      </c>
      <c r="AF23" s="21"/>
      <c r="AG23" s="10" t="s">
        <v>6</v>
      </c>
      <c r="AH23" s="25"/>
    </row>
    <row r="24" ht="30.0" customHeight="1">
      <c r="B24" s="20" t="s">
        <v>54</v>
      </c>
      <c r="C24" s="21"/>
      <c r="D24" s="21"/>
      <c r="E24" s="21"/>
      <c r="F24" s="22"/>
      <c r="G24" s="22"/>
      <c r="H24" s="22"/>
      <c r="I24" s="21"/>
      <c r="J24" s="21"/>
      <c r="K24" s="21"/>
      <c r="L24" s="21"/>
      <c r="M24" s="22"/>
      <c r="N24" s="22"/>
      <c r="O24" s="21"/>
      <c r="P24" s="22"/>
      <c r="Q24" s="21"/>
      <c r="R24" s="21"/>
      <c r="S24" s="21"/>
      <c r="T24" s="22"/>
      <c r="U24" s="21"/>
      <c r="V24" s="21"/>
      <c r="W24" s="22"/>
      <c r="X24" s="21"/>
      <c r="Y24" s="21"/>
      <c r="Z24" s="21"/>
      <c r="AA24" s="22"/>
      <c r="AB24" s="21"/>
      <c r="AC24" s="21"/>
      <c r="AD24" s="21"/>
      <c r="AE24" s="21"/>
      <c r="AF24" s="21"/>
      <c r="AG24" s="21"/>
      <c r="AH24" s="25"/>
    </row>
    <row r="25" ht="30.0" customHeight="1">
      <c r="B25" s="20" t="s">
        <v>60</v>
      </c>
      <c r="C25" s="21"/>
      <c r="D25" s="21"/>
      <c r="E25" s="21"/>
      <c r="F25" s="21"/>
      <c r="G25" s="21"/>
      <c r="H25" s="10" t="s">
        <v>6</v>
      </c>
      <c r="I25" s="10" t="s">
        <v>6</v>
      </c>
      <c r="J25" s="21"/>
      <c r="K25" s="21"/>
      <c r="L25" s="21"/>
      <c r="M25" s="21"/>
      <c r="N25" s="21"/>
      <c r="O25" s="21"/>
      <c r="P25" s="10" t="s">
        <v>6</v>
      </c>
      <c r="Q25" s="10" t="s">
        <v>6</v>
      </c>
      <c r="R25" s="21"/>
      <c r="S25" s="21"/>
      <c r="T25" s="10" t="s">
        <v>6</v>
      </c>
      <c r="U25" s="21"/>
      <c r="V25" s="21"/>
      <c r="W25" s="21"/>
      <c r="X25" s="21"/>
      <c r="Y25" s="21"/>
      <c r="Z25" s="21"/>
      <c r="AA25" s="22"/>
      <c r="AB25" s="21"/>
      <c r="AC25" s="21"/>
      <c r="AD25" s="21"/>
      <c r="AE25" s="10" t="s">
        <v>6</v>
      </c>
      <c r="AF25" s="21"/>
      <c r="AG25" s="21"/>
      <c r="AH25" s="25"/>
    </row>
    <row r="26" ht="30.0" customHeight="1">
      <c r="B26" s="82" t="s">
        <v>172</v>
      </c>
      <c r="C26" s="21"/>
      <c r="D26" s="21"/>
      <c r="E26" s="21"/>
      <c r="F26" s="21"/>
      <c r="G26" s="21"/>
      <c r="H26" s="10" t="s">
        <v>6</v>
      </c>
      <c r="I26" s="21"/>
      <c r="J26" s="10" t="s">
        <v>6</v>
      </c>
      <c r="K26" s="21"/>
      <c r="L26" s="10" t="s">
        <v>6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5"/>
    </row>
    <row r="27" ht="30.0" customHeight="1">
      <c r="B27" s="47" t="s">
        <v>165</v>
      </c>
      <c r="C27" s="21"/>
      <c r="D27" s="22"/>
      <c r="E27" s="21"/>
      <c r="F27" s="21"/>
      <c r="G27" s="10" t="s">
        <v>6</v>
      </c>
      <c r="H27" s="21"/>
      <c r="I27" s="10" t="s">
        <v>6</v>
      </c>
      <c r="J27" s="21"/>
      <c r="K27" s="22"/>
      <c r="L27" s="21"/>
      <c r="M27" s="21"/>
      <c r="N27" s="10" t="s">
        <v>6</v>
      </c>
      <c r="O27" s="10" t="s">
        <v>6</v>
      </c>
      <c r="P27" s="22"/>
      <c r="Q27" s="21"/>
      <c r="R27" s="21"/>
      <c r="S27" s="21"/>
      <c r="T27" s="21"/>
      <c r="U27" s="89"/>
      <c r="V27" s="21"/>
      <c r="W27" s="21"/>
      <c r="X27" s="21"/>
      <c r="Y27" s="22"/>
      <c r="Z27" s="21"/>
      <c r="AA27" s="21"/>
      <c r="AB27" s="21"/>
      <c r="AC27" s="21"/>
      <c r="AD27" s="21"/>
      <c r="AE27" s="21"/>
      <c r="AF27" s="21"/>
      <c r="AG27" s="21"/>
      <c r="AH27" s="36">
        <v>4.0</v>
      </c>
    </row>
    <row r="28" ht="30.0" customHeight="1">
      <c r="B28" s="47" t="s">
        <v>205</v>
      </c>
      <c r="C28" s="21"/>
      <c r="D28" s="21"/>
      <c r="E28" s="21"/>
      <c r="F28" s="21"/>
      <c r="G28" s="21"/>
      <c r="H28" s="21"/>
      <c r="I28" s="21"/>
      <c r="J28" s="10" t="s">
        <v>6</v>
      </c>
      <c r="K28" s="21"/>
      <c r="L28" s="21"/>
      <c r="M28" s="21"/>
      <c r="N28" s="10" t="s">
        <v>6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0" t="s">
        <v>6</v>
      </c>
      <c r="AB28" s="21"/>
      <c r="AC28" s="10" t="s">
        <v>6</v>
      </c>
      <c r="AD28" s="21"/>
      <c r="AE28" s="21"/>
      <c r="AF28" s="21"/>
      <c r="AG28" s="21"/>
      <c r="AH28" s="36">
        <v>4.0</v>
      </c>
    </row>
    <row r="29" ht="30.0" customHeight="1">
      <c r="B29" s="47" t="s">
        <v>206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10" t="s">
        <v>6</v>
      </c>
      <c r="AH29" s="25"/>
    </row>
    <row r="30" ht="30.0" customHeight="1">
      <c r="B30" s="86"/>
      <c r="C30" s="22"/>
      <c r="D30" s="22"/>
      <c r="E30" s="21"/>
      <c r="F30" s="21"/>
      <c r="G30" s="21"/>
      <c r="H30" s="21"/>
      <c r="I30" s="21"/>
      <c r="J30" s="21"/>
      <c r="K30" s="21"/>
      <c r="L30" s="21"/>
      <c r="M30" s="22"/>
      <c r="N30" s="21"/>
      <c r="O30" s="21"/>
      <c r="P30" s="22"/>
      <c r="Q30" s="21"/>
      <c r="R30" s="21"/>
      <c r="S30" s="21"/>
      <c r="T30" s="22"/>
      <c r="U30" s="21"/>
      <c r="V30" s="21"/>
      <c r="W30" s="22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5"/>
    </row>
    <row r="31" ht="30.0" customHeight="1">
      <c r="B31" s="26" t="str">
        <f>Marzo!MonthName&amp;" Total"</f>
        <v>Marzo Total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>
        <f>SUM(C31:AG31)</f>
        <v>0</v>
      </c>
    </row>
    <row r="32" ht="30.0" customHeight="1"/>
    <row r="33" ht="30.0" customHeight="1">
      <c r="B33" s="32" t="s">
        <v>200</v>
      </c>
      <c r="C33" s="80" t="s">
        <v>170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32">
        <f>CalendarioAño</f>
        <v>2025</v>
      </c>
    </row>
    <row r="34" ht="30.0" customHeight="1">
      <c r="B34" s="32"/>
      <c r="C34" s="16" t="str">
        <f>TEXT(WEEKDAY(DATE(CalendarioAño,3,1),1),"ddd")</f>
        <v>sáb</v>
      </c>
      <c r="D34" s="16" t="str">
        <f>TEXT(WEEKDAY(DATE(CalendarioAño,3,2),1),"ddd")</f>
        <v>dom</v>
      </c>
      <c r="E34" s="16" t="str">
        <f>TEXT(WEEKDAY(DATE(CalendarioAño,3,3),1),"ddd")</f>
        <v>lun</v>
      </c>
      <c r="F34" s="16" t="str">
        <f>TEXT(WEEKDAY(DATE(CalendarioAño,3,4),1),"ddd")</f>
        <v>mar</v>
      </c>
      <c r="G34" s="16" t="str">
        <f>TEXT(WEEKDAY(DATE(CalendarioAño,3,5),1),"ddd")</f>
        <v>mié</v>
      </c>
      <c r="H34" s="16" t="str">
        <f>TEXT(WEEKDAY(DATE(CalendarioAño,3,6),1),"ddd")</f>
        <v>jue</v>
      </c>
      <c r="I34" s="16" t="str">
        <f>TEXT(WEEKDAY(DATE(CalendarioAño,3,7),1),"ddd")</f>
        <v>vie</v>
      </c>
      <c r="J34" s="16" t="str">
        <f>TEXT(WEEKDAY(DATE(CalendarioAño,3,8),1),"ddd")</f>
        <v>sáb</v>
      </c>
      <c r="K34" s="16" t="str">
        <f>TEXT(WEEKDAY(DATE(CalendarioAño,3,9),1),"ddd")</f>
        <v>dom</v>
      </c>
      <c r="L34" s="16" t="str">
        <f>TEXT(WEEKDAY(DATE(CalendarioAño,3,10),1),"ddd")</f>
        <v>lun</v>
      </c>
      <c r="M34" s="16" t="str">
        <f>TEXT(WEEKDAY(DATE(CalendarioAño,3,11),1),"ddd")</f>
        <v>mar</v>
      </c>
      <c r="N34" s="16" t="str">
        <f>TEXT(WEEKDAY(DATE(CalendarioAño,3,12),1),"ddd")</f>
        <v>mié</v>
      </c>
      <c r="O34" s="16" t="str">
        <f>TEXT(WEEKDAY(DATE(CalendarioAño,3,13),1),"ddd")</f>
        <v>jue</v>
      </c>
      <c r="P34" s="16" t="str">
        <f>TEXT(WEEKDAY(DATE(CalendarioAño,3,14),1),"ddd")</f>
        <v>vie</v>
      </c>
      <c r="Q34" s="16" t="str">
        <f>TEXT(WEEKDAY(DATE(CalendarioAño,3,15),1),"ddd")</f>
        <v>sáb</v>
      </c>
      <c r="R34" s="16" t="str">
        <f>TEXT(WEEKDAY(DATE(CalendarioAño,3,16),1),"ddd")</f>
        <v>dom</v>
      </c>
      <c r="S34" s="16" t="str">
        <f>TEXT(WEEKDAY(DATE(CalendarioAño,3,17),1),"ddd")</f>
        <v>lun</v>
      </c>
      <c r="T34" s="16" t="str">
        <f>TEXT(WEEKDAY(DATE(CalendarioAño,3,18),1),"ddd")</f>
        <v>mar</v>
      </c>
      <c r="U34" s="16" t="str">
        <f>TEXT(WEEKDAY(DATE(CalendarioAño,3,19),1),"ddd")</f>
        <v>mié</v>
      </c>
      <c r="V34" s="16" t="str">
        <f>TEXT(WEEKDAY(DATE(CalendarioAño,3,20),1),"ddd")</f>
        <v>jue</v>
      </c>
      <c r="W34" s="16" t="str">
        <f>TEXT(WEEKDAY(DATE(CalendarioAño,3,21),1),"ddd")</f>
        <v>vie</v>
      </c>
      <c r="X34" s="16" t="str">
        <f>TEXT(WEEKDAY(DATE(CalendarioAño,3,22),1),"ddd")</f>
        <v>sáb</v>
      </c>
      <c r="Y34" s="16" t="str">
        <f>TEXT(WEEKDAY(DATE(CalendarioAño,3,23),1),"ddd")</f>
        <v>dom</v>
      </c>
      <c r="Z34" s="16" t="str">
        <f>TEXT(WEEKDAY(DATE(CalendarioAño,3,24),1),"ddd")</f>
        <v>lun</v>
      </c>
      <c r="AA34" s="16" t="str">
        <f>TEXT(WEEKDAY(DATE(CalendarioAño,3,25),1),"ddd")</f>
        <v>mar</v>
      </c>
      <c r="AB34" s="16" t="str">
        <f>TEXT(WEEKDAY(DATE(CalendarioAño,3,26),1),"ddd")</f>
        <v>mié</v>
      </c>
      <c r="AC34" s="16" t="str">
        <f>TEXT(WEEKDAY(DATE(CalendarioAño,3,27),1),"ddd")</f>
        <v>jue</v>
      </c>
      <c r="AD34" s="16" t="str">
        <f>TEXT(WEEKDAY(DATE(CalendarioAño,3,28),1),"ddd")</f>
        <v>vie</v>
      </c>
      <c r="AE34" s="16" t="str">
        <f>TEXT(WEEKDAY(DATE(CalendarioAño,3,29),1),"ddd")</f>
        <v>sáb</v>
      </c>
      <c r="AF34" s="16" t="str">
        <f>TEXT(WEEKDAY(DATE(CalendarioAño,3,30),1),"ddd")</f>
        <v>dom</v>
      </c>
      <c r="AG34" s="16" t="str">
        <f>TEXT(WEEKDAY(DATE(CalendarioAño,3,31),1),"ddd")</f>
        <v>lun</v>
      </c>
      <c r="AH34" s="32"/>
    </row>
    <row r="35" ht="30.0" customHeight="1">
      <c r="B35" s="33" t="s">
        <v>202</v>
      </c>
      <c r="C35" s="19" t="s">
        <v>15</v>
      </c>
      <c r="D35" s="19" t="s">
        <v>16</v>
      </c>
      <c r="E35" s="19" t="s">
        <v>17</v>
      </c>
      <c r="F35" s="19" t="s">
        <v>18</v>
      </c>
      <c r="G35" s="19" t="s">
        <v>19</v>
      </c>
      <c r="H35" s="19" t="s">
        <v>20</v>
      </c>
      <c r="I35" s="19" t="s">
        <v>21</v>
      </c>
      <c r="J35" s="19" t="s">
        <v>22</v>
      </c>
      <c r="K35" s="19" t="s">
        <v>23</v>
      </c>
      <c r="L35" s="19" t="s">
        <v>24</v>
      </c>
      <c r="M35" s="19" t="s">
        <v>25</v>
      </c>
      <c r="N35" s="19" t="s">
        <v>26</v>
      </c>
      <c r="O35" s="19" t="s">
        <v>27</v>
      </c>
      <c r="P35" s="19" t="s">
        <v>28</v>
      </c>
      <c r="Q35" s="19" t="s">
        <v>29</v>
      </c>
      <c r="R35" s="19" t="s">
        <v>30</v>
      </c>
      <c r="S35" s="19" t="s">
        <v>31</v>
      </c>
      <c r="T35" s="19" t="s">
        <v>32</v>
      </c>
      <c r="U35" s="19" t="s">
        <v>33</v>
      </c>
      <c r="V35" s="19" t="s">
        <v>34</v>
      </c>
      <c r="W35" s="19" t="s">
        <v>35</v>
      </c>
      <c r="X35" s="19" t="s">
        <v>36</v>
      </c>
      <c r="Y35" s="19" t="s">
        <v>37</v>
      </c>
      <c r="Z35" s="19" t="s">
        <v>38</v>
      </c>
      <c r="AA35" s="19" t="s">
        <v>39</v>
      </c>
      <c r="AB35" s="19" t="s">
        <v>40</v>
      </c>
      <c r="AC35" s="19" t="s">
        <v>41</v>
      </c>
      <c r="AD35" s="19" t="s">
        <v>42</v>
      </c>
      <c r="AE35" s="19" t="s">
        <v>43</v>
      </c>
      <c r="AF35" s="19" t="s">
        <v>44</v>
      </c>
      <c r="AG35" s="19" t="s">
        <v>45</v>
      </c>
      <c r="AH35" s="19" t="s">
        <v>46</v>
      </c>
    </row>
    <row r="36" ht="30.0" customHeight="1">
      <c r="B36" s="47" t="s">
        <v>169</v>
      </c>
      <c r="C36" s="21"/>
      <c r="D36" s="21"/>
      <c r="E36" s="21"/>
      <c r="F36" s="10" t="s">
        <v>6</v>
      </c>
      <c r="G36" s="22"/>
      <c r="H36" s="10" t="s">
        <v>6</v>
      </c>
      <c r="I36" s="22"/>
      <c r="J36" s="21"/>
      <c r="K36" s="21"/>
      <c r="L36" s="21"/>
      <c r="M36" s="10" t="s">
        <v>6</v>
      </c>
      <c r="N36" s="22"/>
      <c r="O36" s="10" t="s">
        <v>6</v>
      </c>
      <c r="P36" s="21"/>
      <c r="Q36" s="21"/>
      <c r="R36" s="21"/>
      <c r="S36" s="21"/>
      <c r="T36" s="10" t="s">
        <v>6</v>
      </c>
      <c r="U36" s="22"/>
      <c r="V36" s="10" t="s">
        <v>6</v>
      </c>
      <c r="W36" s="22"/>
      <c r="X36" s="21"/>
      <c r="Y36" s="21"/>
      <c r="Z36" s="21"/>
      <c r="AA36" s="10" t="s">
        <v>6</v>
      </c>
      <c r="AB36" s="22"/>
      <c r="AC36" s="10" t="s">
        <v>6</v>
      </c>
      <c r="AD36" s="21"/>
      <c r="AE36" s="21"/>
      <c r="AF36" s="21"/>
      <c r="AG36" s="21"/>
      <c r="AH36" s="36">
        <v>8.0</v>
      </c>
    </row>
    <row r="37" ht="30.0" customHeight="1">
      <c r="B37" s="20" t="s">
        <v>59</v>
      </c>
      <c r="C37" s="21"/>
      <c r="D37" s="21"/>
      <c r="E37" s="21"/>
      <c r="F37" s="10" t="s">
        <v>6</v>
      </c>
      <c r="G37" s="22"/>
      <c r="H37" s="10" t="s">
        <v>6</v>
      </c>
      <c r="I37" s="22"/>
      <c r="J37" s="21"/>
      <c r="K37" s="21"/>
      <c r="L37" s="21"/>
      <c r="M37" s="21"/>
      <c r="N37" s="21"/>
      <c r="O37" s="21"/>
      <c r="P37" s="10" t="s">
        <v>6</v>
      </c>
      <c r="Q37" s="10" t="s">
        <v>6</v>
      </c>
      <c r="R37" s="21"/>
      <c r="S37" s="21"/>
      <c r="T37" s="21"/>
      <c r="U37" s="22"/>
      <c r="V37" s="21"/>
      <c r="W37" s="10" t="s">
        <v>6</v>
      </c>
      <c r="X37" s="10" t="s">
        <v>6</v>
      </c>
      <c r="Y37" s="21"/>
      <c r="Z37" s="21"/>
      <c r="AA37" s="21"/>
      <c r="AB37" s="21"/>
      <c r="AC37" s="21"/>
      <c r="AD37" s="21"/>
      <c r="AE37" s="10" t="s">
        <v>6</v>
      </c>
      <c r="AF37" s="21"/>
      <c r="AG37" s="21"/>
      <c r="AH37" s="25"/>
    </row>
    <row r="38" ht="30.0" customHeight="1">
      <c r="B38" s="20" t="s">
        <v>61</v>
      </c>
      <c r="C38" s="22"/>
      <c r="D38" s="21"/>
      <c r="E38" s="21"/>
      <c r="F38" s="10" t="s">
        <v>6</v>
      </c>
      <c r="G38" s="22"/>
      <c r="H38" s="21"/>
      <c r="I38" s="22"/>
      <c r="J38" s="10" t="s">
        <v>6</v>
      </c>
      <c r="K38" s="21"/>
      <c r="L38" s="10" t="s">
        <v>6</v>
      </c>
      <c r="M38" s="21"/>
      <c r="N38" s="21"/>
      <c r="O38" s="10" t="s">
        <v>6</v>
      </c>
      <c r="P38" s="21"/>
      <c r="Q38" s="10" t="s">
        <v>6</v>
      </c>
      <c r="R38" s="21"/>
      <c r="S38" s="21"/>
      <c r="T38" s="21"/>
      <c r="U38" s="21"/>
      <c r="V38" s="21"/>
      <c r="W38" s="21"/>
      <c r="X38" s="10" t="s">
        <v>6</v>
      </c>
      <c r="Y38" s="21"/>
      <c r="Z38" s="21"/>
      <c r="AA38" s="10" t="s">
        <v>6</v>
      </c>
      <c r="AB38" s="21"/>
      <c r="AC38" s="21"/>
      <c r="AD38" s="21"/>
      <c r="AE38" s="21"/>
      <c r="AF38" s="21"/>
      <c r="AG38" s="21"/>
      <c r="AH38" s="25"/>
    </row>
    <row r="39" ht="30.0" customHeight="1">
      <c r="B39" s="20" t="s">
        <v>65</v>
      </c>
      <c r="C39" s="21"/>
      <c r="D39" s="21"/>
      <c r="E39" s="21"/>
      <c r="F39" s="22"/>
      <c r="G39" s="10" t="s">
        <v>6</v>
      </c>
      <c r="H39" s="10" t="s">
        <v>6</v>
      </c>
      <c r="I39" s="21"/>
      <c r="J39" s="21"/>
      <c r="K39" s="21"/>
      <c r="L39" s="10" t="s">
        <v>6</v>
      </c>
      <c r="M39" s="22"/>
      <c r="N39" s="10" t="s">
        <v>6</v>
      </c>
      <c r="O39" s="21"/>
      <c r="P39" s="22"/>
      <c r="Q39" s="21"/>
      <c r="R39" s="21"/>
      <c r="S39" s="10" t="s">
        <v>6</v>
      </c>
      <c r="T39" s="22"/>
      <c r="U39" s="10" t="s">
        <v>6</v>
      </c>
      <c r="V39" s="21"/>
      <c r="W39" s="10" t="s">
        <v>6</v>
      </c>
      <c r="X39" s="22"/>
      <c r="Y39" s="21"/>
      <c r="Z39" s="21"/>
      <c r="AA39" s="10" t="s">
        <v>6</v>
      </c>
      <c r="AB39" s="21"/>
      <c r="AC39" s="10" t="s">
        <v>6</v>
      </c>
      <c r="AD39" s="21"/>
      <c r="AE39" s="21"/>
      <c r="AF39" s="21"/>
      <c r="AG39" s="21"/>
      <c r="AH39" s="25"/>
    </row>
    <row r="40" ht="30.0" customHeight="1">
      <c r="B40" s="20" t="s">
        <v>67</v>
      </c>
      <c r="C40" s="21"/>
      <c r="D40" s="21"/>
      <c r="E40" s="21"/>
      <c r="F40" s="21"/>
      <c r="G40" s="10" t="s">
        <v>6</v>
      </c>
      <c r="H40" s="10" t="s">
        <v>6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10" t="s">
        <v>6</v>
      </c>
      <c r="T40" s="21"/>
      <c r="U40" s="10" t="s">
        <v>6</v>
      </c>
      <c r="V40" s="21"/>
      <c r="W40" s="10" t="s">
        <v>6</v>
      </c>
      <c r="X40" s="22"/>
      <c r="Y40" s="21"/>
      <c r="Z40" s="10" t="s">
        <v>6</v>
      </c>
      <c r="AA40" s="22"/>
      <c r="AB40" s="10" t="s">
        <v>6</v>
      </c>
      <c r="AC40" s="21"/>
      <c r="AD40" s="21"/>
      <c r="AE40" s="21"/>
      <c r="AF40" s="21"/>
      <c r="AG40" s="10" t="s">
        <v>6</v>
      </c>
      <c r="AH40" s="25"/>
    </row>
    <row r="41" ht="30.0" customHeight="1">
      <c r="B41" s="20" t="s">
        <v>57</v>
      </c>
      <c r="C41" s="21"/>
      <c r="D41" s="21"/>
      <c r="E41" s="21"/>
      <c r="F41" s="21"/>
      <c r="G41" s="21"/>
      <c r="H41" s="10" t="s">
        <v>6</v>
      </c>
      <c r="I41" s="21"/>
      <c r="J41" s="21"/>
      <c r="K41" s="21"/>
      <c r="L41" s="21"/>
      <c r="M41" s="10" t="s">
        <v>6</v>
      </c>
      <c r="N41" s="21"/>
      <c r="O41" s="10" t="s">
        <v>6</v>
      </c>
      <c r="P41" s="21"/>
      <c r="Q41" s="21"/>
      <c r="R41" s="21"/>
      <c r="S41" s="16"/>
      <c r="T41" s="21"/>
      <c r="U41" s="21"/>
      <c r="V41" s="10" t="s">
        <v>6</v>
      </c>
      <c r="W41" s="21"/>
      <c r="X41" s="21"/>
      <c r="Y41" s="21"/>
      <c r="Z41" s="21"/>
      <c r="AA41" s="10" t="s">
        <v>6</v>
      </c>
      <c r="AB41" s="21"/>
      <c r="AC41" s="10" t="s">
        <v>6</v>
      </c>
      <c r="AD41" s="21"/>
      <c r="AE41" s="21"/>
      <c r="AF41" s="21"/>
      <c r="AG41" s="21"/>
      <c r="AH41" s="25"/>
    </row>
    <row r="42" ht="30.0" customHeight="1">
      <c r="B42" s="47" t="s">
        <v>207</v>
      </c>
      <c r="C42" s="21"/>
      <c r="D42" s="22"/>
      <c r="E42" s="21"/>
      <c r="F42" s="21"/>
      <c r="G42" s="21"/>
      <c r="H42" s="10" t="s">
        <v>6</v>
      </c>
      <c r="I42" s="21"/>
      <c r="J42" s="10" t="s">
        <v>6</v>
      </c>
      <c r="K42" s="22"/>
      <c r="L42" s="21"/>
      <c r="M42" s="21"/>
      <c r="N42" s="21"/>
      <c r="O42" s="10" t="s">
        <v>6</v>
      </c>
      <c r="P42" s="22"/>
      <c r="Q42" s="10" t="s">
        <v>6</v>
      </c>
      <c r="R42" s="21"/>
      <c r="S42" s="21"/>
      <c r="T42" s="21"/>
      <c r="U42" s="21"/>
      <c r="V42" s="10" t="s">
        <v>6</v>
      </c>
      <c r="W42" s="10" t="s">
        <v>6</v>
      </c>
      <c r="X42" s="10" t="s">
        <v>6</v>
      </c>
      <c r="Y42" s="22"/>
      <c r="Z42" s="21"/>
      <c r="AA42" s="21"/>
      <c r="AB42" s="21"/>
      <c r="AC42" s="10" t="s">
        <v>6</v>
      </c>
      <c r="AD42" s="21"/>
      <c r="AE42" s="10" t="s">
        <v>6</v>
      </c>
      <c r="AF42" s="21"/>
      <c r="AG42" s="21"/>
      <c r="AH42" s="36">
        <v>9.0</v>
      </c>
    </row>
    <row r="43" ht="30.0" customHeight="1">
      <c r="B43" s="20" t="s">
        <v>68</v>
      </c>
      <c r="C43" s="21"/>
      <c r="D43" s="21"/>
      <c r="E43" s="21"/>
      <c r="F43" s="21"/>
      <c r="G43" s="21"/>
      <c r="H43" s="21"/>
      <c r="I43" s="10" t="s">
        <v>6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5"/>
    </row>
    <row r="44" ht="30.0" customHeight="1">
      <c r="B44" s="20" t="s">
        <v>208</v>
      </c>
      <c r="C44" s="22"/>
      <c r="D44" s="22"/>
      <c r="E44" s="21"/>
      <c r="F44" s="21"/>
      <c r="G44" s="21"/>
      <c r="H44" s="21"/>
      <c r="I44" s="21"/>
      <c r="J44" s="21"/>
      <c r="K44" s="21"/>
      <c r="L44" s="21"/>
      <c r="M44" s="22"/>
      <c r="N44" s="21"/>
      <c r="O44" s="21"/>
      <c r="P44" s="22"/>
      <c r="Q44" s="10" t="s">
        <v>6</v>
      </c>
      <c r="R44" s="21"/>
      <c r="S44" s="21"/>
      <c r="T44" s="22"/>
      <c r="U44" s="21"/>
      <c r="V44" s="21"/>
      <c r="W44" s="22"/>
      <c r="X44" s="10" t="s">
        <v>6</v>
      </c>
      <c r="Y44" s="21"/>
      <c r="Z44" s="21"/>
      <c r="AA44" s="21"/>
      <c r="AB44" s="21"/>
      <c r="AC44" s="21"/>
      <c r="AD44" s="21"/>
      <c r="AE44" s="10" t="s">
        <v>6</v>
      </c>
      <c r="AF44" s="21"/>
      <c r="AG44" s="21"/>
      <c r="AH44" s="25"/>
    </row>
    <row r="45" ht="30.0" customHeight="1">
      <c r="B45" s="20" t="s">
        <v>171</v>
      </c>
      <c r="C45" s="22"/>
      <c r="D45" s="22"/>
      <c r="E45" s="21"/>
      <c r="F45" s="21"/>
      <c r="G45" s="21"/>
      <c r="H45" s="21"/>
      <c r="I45" s="21"/>
      <c r="J45" s="21"/>
      <c r="K45" s="21"/>
      <c r="L45" s="21"/>
      <c r="M45" s="22"/>
      <c r="N45" s="21"/>
      <c r="O45" s="21"/>
      <c r="P45" s="22"/>
      <c r="Q45" s="10" t="s">
        <v>6</v>
      </c>
      <c r="R45" s="21"/>
      <c r="S45" s="21"/>
      <c r="T45" s="22"/>
      <c r="U45" s="21"/>
      <c r="V45" s="21"/>
      <c r="W45" s="22"/>
      <c r="X45" s="10" t="s">
        <v>6</v>
      </c>
      <c r="Y45" s="21"/>
      <c r="Z45" s="21"/>
      <c r="AA45" s="21"/>
      <c r="AB45" s="21"/>
      <c r="AC45" s="21"/>
      <c r="AD45" s="21"/>
      <c r="AE45" s="10" t="s">
        <v>6</v>
      </c>
      <c r="AF45" s="21"/>
      <c r="AG45" s="21"/>
      <c r="AH45" s="36">
        <v>3.0</v>
      </c>
    </row>
    <row r="46" ht="30.0" customHeight="1">
      <c r="B46" s="20" t="s">
        <v>167</v>
      </c>
      <c r="C46" s="22"/>
      <c r="D46" s="22"/>
      <c r="E46" s="21"/>
      <c r="F46" s="21"/>
      <c r="G46" s="21"/>
      <c r="H46" s="21"/>
      <c r="I46" s="21"/>
      <c r="J46" s="21"/>
      <c r="K46" s="21"/>
      <c r="L46" s="21"/>
      <c r="M46" s="22"/>
      <c r="N46" s="21"/>
      <c r="O46" s="21"/>
      <c r="P46" s="22"/>
      <c r="Q46" s="21"/>
      <c r="R46" s="21"/>
      <c r="S46" s="21"/>
      <c r="T46" s="10" t="s">
        <v>6</v>
      </c>
      <c r="U46" s="21"/>
      <c r="V46" s="10" t="s">
        <v>6</v>
      </c>
      <c r="W46" s="22"/>
      <c r="X46" s="21"/>
      <c r="Y46" s="21"/>
      <c r="Z46" s="21"/>
      <c r="AA46" s="10" t="s">
        <v>6</v>
      </c>
      <c r="AB46" s="21"/>
      <c r="AC46" s="21"/>
      <c r="AD46" s="21"/>
      <c r="AE46" s="10" t="s">
        <v>6</v>
      </c>
      <c r="AF46" s="21"/>
      <c r="AG46" s="21"/>
      <c r="AH46" s="36">
        <v>4.0</v>
      </c>
    </row>
    <row r="47" ht="30.0" customHeight="1">
      <c r="B47" s="20" t="s">
        <v>168</v>
      </c>
      <c r="C47" s="22"/>
      <c r="D47" s="22"/>
      <c r="E47" s="21"/>
      <c r="F47" s="21"/>
      <c r="G47" s="21"/>
      <c r="H47" s="21"/>
      <c r="I47" s="21"/>
      <c r="J47" s="21"/>
      <c r="K47" s="21"/>
      <c r="L47" s="21"/>
      <c r="M47" s="22"/>
      <c r="N47" s="21"/>
      <c r="O47" s="21"/>
      <c r="P47" s="22"/>
      <c r="Q47" s="21"/>
      <c r="R47" s="21"/>
      <c r="S47" s="21"/>
      <c r="T47" s="10" t="s">
        <v>6</v>
      </c>
      <c r="U47" s="21"/>
      <c r="V47" s="10" t="s">
        <v>6</v>
      </c>
      <c r="W47" s="22"/>
      <c r="X47" s="21"/>
      <c r="Y47" s="21"/>
      <c r="Z47" s="21"/>
      <c r="AA47" s="10" t="s">
        <v>6</v>
      </c>
      <c r="AB47" s="21"/>
      <c r="AC47" s="21"/>
      <c r="AD47" s="21"/>
      <c r="AE47" s="10" t="s">
        <v>6</v>
      </c>
      <c r="AF47" s="21"/>
      <c r="AG47" s="21"/>
      <c r="AH47" s="36">
        <v>4.0</v>
      </c>
    </row>
    <row r="48" ht="30.0" customHeight="1">
      <c r="B48" s="47" t="s">
        <v>209</v>
      </c>
      <c r="C48" s="22"/>
      <c r="D48" s="22"/>
      <c r="E48" s="21"/>
      <c r="F48" s="21"/>
      <c r="G48" s="21"/>
      <c r="H48" s="21"/>
      <c r="I48" s="21"/>
      <c r="J48" s="21"/>
      <c r="K48" s="21"/>
      <c r="L48" s="21"/>
      <c r="M48" s="22"/>
      <c r="N48" s="21"/>
      <c r="O48" s="21"/>
      <c r="P48" s="22"/>
      <c r="Q48" s="21"/>
      <c r="R48" s="21"/>
      <c r="S48" s="21"/>
      <c r="T48" s="22"/>
      <c r="U48" s="21"/>
      <c r="V48" s="21"/>
      <c r="W48" s="22"/>
      <c r="X48" s="10" t="s">
        <v>6</v>
      </c>
      <c r="Y48" s="21"/>
      <c r="Z48" s="21"/>
      <c r="AA48" s="21"/>
      <c r="AB48" s="10" t="s">
        <v>6</v>
      </c>
      <c r="AC48" s="21"/>
      <c r="AD48" s="21"/>
      <c r="AE48" s="10" t="s">
        <v>6</v>
      </c>
      <c r="AF48" s="21"/>
      <c r="AG48" s="21"/>
      <c r="AH48" s="36">
        <v>3.0</v>
      </c>
    </row>
    <row r="49" ht="30.0" customHeight="1">
      <c r="B49" s="86"/>
      <c r="C49" s="22"/>
      <c r="D49" s="22"/>
      <c r="E49" s="21"/>
      <c r="F49" s="21"/>
      <c r="G49" s="21"/>
      <c r="H49" s="21"/>
      <c r="I49" s="21"/>
      <c r="J49" s="21"/>
      <c r="K49" s="21"/>
      <c r="L49" s="21"/>
      <c r="M49" s="22"/>
      <c r="N49" s="21"/>
      <c r="O49" s="21"/>
      <c r="P49" s="22"/>
      <c r="Q49" s="21"/>
      <c r="R49" s="21"/>
      <c r="S49" s="21"/>
      <c r="T49" s="22"/>
      <c r="U49" s="21"/>
      <c r="V49" s="21"/>
      <c r="W49" s="22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5"/>
    </row>
    <row r="50" ht="30.0" customHeight="1">
      <c r="B50" s="20"/>
      <c r="C50" s="22"/>
      <c r="D50" s="22"/>
      <c r="E50" s="21"/>
      <c r="F50" s="21"/>
      <c r="G50" s="21"/>
      <c r="H50" s="21"/>
      <c r="I50" s="21"/>
      <c r="J50" s="21"/>
      <c r="K50" s="21"/>
      <c r="L50" s="21"/>
      <c r="M50" s="22"/>
      <c r="N50" s="21"/>
      <c r="O50" s="21"/>
      <c r="P50" s="22"/>
      <c r="Q50" s="21"/>
      <c r="R50" s="21"/>
      <c r="S50" s="21"/>
      <c r="T50" s="22"/>
      <c r="U50" s="21"/>
      <c r="V50" s="21"/>
      <c r="W50" s="22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5"/>
    </row>
    <row r="51" ht="30.0" customHeight="1">
      <c r="B51" s="26" t="str">
        <f>Marzo!MonthName&amp;" Total"</f>
        <v>Marzo Total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>
        <f>SUM(C51:AG51)</f>
        <v>0</v>
      </c>
    </row>
    <row r="52" ht="30.0" customHeight="1"/>
    <row r="53" ht="30.0" customHeight="1">
      <c r="B53" s="32" t="s">
        <v>200</v>
      </c>
      <c r="C53" s="80" t="s">
        <v>173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32">
        <f>CalendarioAño</f>
        <v>2025</v>
      </c>
    </row>
    <row r="54" ht="30.0" customHeight="1">
      <c r="B54" s="32"/>
      <c r="C54" s="16" t="str">
        <f>TEXT(WEEKDAY(DATE(CalendarioAño,3,1),1),"ddd")</f>
        <v>sáb</v>
      </c>
      <c r="D54" s="16" t="str">
        <f>TEXT(WEEKDAY(DATE(CalendarioAño,3,2),1),"ddd")</f>
        <v>dom</v>
      </c>
      <c r="E54" s="16" t="str">
        <f>TEXT(WEEKDAY(DATE(CalendarioAño,3,3),1),"ddd")</f>
        <v>lun</v>
      </c>
      <c r="F54" s="16" t="str">
        <f>TEXT(WEEKDAY(DATE(CalendarioAño,3,4),1),"ddd")</f>
        <v>mar</v>
      </c>
      <c r="G54" s="16" t="str">
        <f>TEXT(WEEKDAY(DATE(CalendarioAño,3,5),1),"ddd")</f>
        <v>mié</v>
      </c>
      <c r="H54" s="16" t="str">
        <f>TEXT(WEEKDAY(DATE(CalendarioAño,3,6),1),"ddd")</f>
        <v>jue</v>
      </c>
      <c r="I54" s="16" t="str">
        <f>TEXT(WEEKDAY(DATE(CalendarioAño,3,7),1),"ddd")</f>
        <v>vie</v>
      </c>
      <c r="J54" s="16" t="str">
        <f>TEXT(WEEKDAY(DATE(CalendarioAño,3,8),1),"ddd")</f>
        <v>sáb</v>
      </c>
      <c r="K54" s="16" t="str">
        <f>TEXT(WEEKDAY(DATE(CalendarioAño,3,9),1),"ddd")</f>
        <v>dom</v>
      </c>
      <c r="L54" s="16" t="str">
        <f>TEXT(WEEKDAY(DATE(CalendarioAño,3,10),1),"ddd")</f>
        <v>lun</v>
      </c>
      <c r="M54" s="16" t="str">
        <f>TEXT(WEEKDAY(DATE(CalendarioAño,3,11),1),"ddd")</f>
        <v>mar</v>
      </c>
      <c r="N54" s="16" t="str">
        <f>TEXT(WEEKDAY(DATE(CalendarioAño,3,12),1),"ddd")</f>
        <v>mié</v>
      </c>
      <c r="O54" s="16" t="str">
        <f>TEXT(WEEKDAY(DATE(CalendarioAño,3,13),1),"ddd")</f>
        <v>jue</v>
      </c>
      <c r="P54" s="16" t="str">
        <f>TEXT(WEEKDAY(DATE(CalendarioAño,3,14),1),"ddd")</f>
        <v>vie</v>
      </c>
      <c r="Q54" s="16" t="str">
        <f>TEXT(WEEKDAY(DATE(CalendarioAño,3,15),1),"ddd")</f>
        <v>sáb</v>
      </c>
      <c r="R54" s="16" t="str">
        <f>TEXT(WEEKDAY(DATE(CalendarioAño,3,16),1),"ddd")</f>
        <v>dom</v>
      </c>
      <c r="S54" s="16" t="str">
        <f>TEXT(WEEKDAY(DATE(CalendarioAño,3,17),1),"ddd")</f>
        <v>lun</v>
      </c>
      <c r="T54" s="16" t="str">
        <f>TEXT(WEEKDAY(DATE(CalendarioAño,3,18),1),"ddd")</f>
        <v>mar</v>
      </c>
      <c r="U54" s="16" t="str">
        <f>TEXT(WEEKDAY(DATE(CalendarioAño,3,19),1),"ddd")</f>
        <v>mié</v>
      </c>
      <c r="V54" s="16" t="str">
        <f>TEXT(WEEKDAY(DATE(CalendarioAño,3,20),1),"ddd")</f>
        <v>jue</v>
      </c>
      <c r="W54" s="16" t="str">
        <f>TEXT(WEEKDAY(DATE(CalendarioAño,3,21),1),"ddd")</f>
        <v>vie</v>
      </c>
      <c r="X54" s="16" t="str">
        <f>TEXT(WEEKDAY(DATE(CalendarioAño,3,22),1),"ddd")</f>
        <v>sáb</v>
      </c>
      <c r="Y54" s="16" t="str">
        <f>TEXT(WEEKDAY(DATE(CalendarioAño,3,23),1),"ddd")</f>
        <v>dom</v>
      </c>
      <c r="Z54" s="16" t="str">
        <f>TEXT(WEEKDAY(DATE(CalendarioAño,3,24),1),"ddd")</f>
        <v>lun</v>
      </c>
      <c r="AA54" s="16" t="str">
        <f>TEXT(WEEKDAY(DATE(CalendarioAño,3,25),1),"ddd")</f>
        <v>mar</v>
      </c>
      <c r="AB54" s="16" t="str">
        <f>TEXT(WEEKDAY(DATE(CalendarioAño,3,26),1),"ddd")</f>
        <v>mié</v>
      </c>
      <c r="AC54" s="16" t="str">
        <f>TEXT(WEEKDAY(DATE(CalendarioAño,3,27),1),"ddd")</f>
        <v>jue</v>
      </c>
      <c r="AD54" s="16" t="str">
        <f>TEXT(WEEKDAY(DATE(CalendarioAño,3,28),1),"ddd")</f>
        <v>vie</v>
      </c>
      <c r="AE54" s="16" t="str">
        <f>TEXT(WEEKDAY(DATE(CalendarioAño,3,29),1),"ddd")</f>
        <v>sáb</v>
      </c>
      <c r="AF54" s="16" t="str">
        <f>TEXT(WEEKDAY(DATE(CalendarioAño,3,30),1),"ddd")</f>
        <v>dom</v>
      </c>
      <c r="AG54" s="16" t="str">
        <f>TEXT(WEEKDAY(DATE(CalendarioAño,3,31),1),"ddd")</f>
        <v>lun</v>
      </c>
      <c r="AH54" s="32"/>
    </row>
    <row r="55" ht="30.0" customHeight="1">
      <c r="B55" s="33" t="s">
        <v>202</v>
      </c>
      <c r="C55" s="19" t="s">
        <v>15</v>
      </c>
      <c r="D55" s="19" t="s">
        <v>16</v>
      </c>
      <c r="E55" s="19" t="s">
        <v>17</v>
      </c>
      <c r="F55" s="19" t="s">
        <v>18</v>
      </c>
      <c r="G55" s="19" t="s">
        <v>19</v>
      </c>
      <c r="H55" s="19" t="s">
        <v>20</v>
      </c>
      <c r="I55" s="19" t="s">
        <v>21</v>
      </c>
      <c r="J55" s="19" t="s">
        <v>22</v>
      </c>
      <c r="K55" s="19" t="s">
        <v>23</v>
      </c>
      <c r="L55" s="19" t="s">
        <v>24</v>
      </c>
      <c r="M55" s="19" t="s">
        <v>25</v>
      </c>
      <c r="N55" s="19" t="s">
        <v>26</v>
      </c>
      <c r="O55" s="19" t="s">
        <v>27</v>
      </c>
      <c r="P55" s="19" t="s">
        <v>28</v>
      </c>
      <c r="Q55" s="19" t="s">
        <v>29</v>
      </c>
      <c r="R55" s="19" t="s">
        <v>30</v>
      </c>
      <c r="S55" s="19" t="s">
        <v>31</v>
      </c>
      <c r="T55" s="19" t="s">
        <v>32</v>
      </c>
      <c r="U55" s="19" t="s">
        <v>33</v>
      </c>
      <c r="V55" s="19" t="s">
        <v>34</v>
      </c>
      <c r="W55" s="19" t="s">
        <v>35</v>
      </c>
      <c r="X55" s="19" t="s">
        <v>36</v>
      </c>
      <c r="Y55" s="19" t="s">
        <v>37</v>
      </c>
      <c r="Z55" s="19" t="s">
        <v>38</v>
      </c>
      <c r="AA55" s="19" t="s">
        <v>39</v>
      </c>
      <c r="AB55" s="19" t="s">
        <v>40</v>
      </c>
      <c r="AC55" s="19" t="s">
        <v>41</v>
      </c>
      <c r="AD55" s="19" t="s">
        <v>42</v>
      </c>
      <c r="AE55" s="19" t="s">
        <v>43</v>
      </c>
      <c r="AF55" s="19" t="s">
        <v>44</v>
      </c>
      <c r="AG55" s="19" t="s">
        <v>45</v>
      </c>
      <c r="AH55" s="19" t="s">
        <v>46</v>
      </c>
    </row>
    <row r="56" ht="30.0" customHeight="1">
      <c r="B56" s="20" t="s">
        <v>64</v>
      </c>
      <c r="C56" s="21"/>
      <c r="D56" s="21"/>
      <c r="E56" s="21"/>
      <c r="F56" s="10" t="s">
        <v>6</v>
      </c>
      <c r="G56" s="22"/>
      <c r="H56" s="10" t="s">
        <v>6</v>
      </c>
      <c r="I56" s="22"/>
      <c r="J56" s="21"/>
      <c r="K56" s="21"/>
      <c r="L56" s="21"/>
      <c r="M56" s="83" t="s">
        <v>174</v>
      </c>
      <c r="N56" s="10" t="s">
        <v>6</v>
      </c>
      <c r="O56" s="23"/>
      <c r="P56" s="21"/>
      <c r="Q56" s="21"/>
      <c r="R56" s="21"/>
      <c r="S56" s="21"/>
      <c r="T56" s="21"/>
      <c r="U56" s="22"/>
      <c r="V56" s="21"/>
      <c r="W56" s="22"/>
      <c r="X56" s="21"/>
      <c r="Y56" s="21"/>
      <c r="Z56" s="21"/>
      <c r="AA56" s="10" t="s">
        <v>6</v>
      </c>
      <c r="AB56" s="22"/>
      <c r="AC56" s="21"/>
      <c r="AD56" s="21"/>
      <c r="AE56" s="21"/>
      <c r="AF56" s="21"/>
      <c r="AG56" s="21"/>
      <c r="AH56" s="25"/>
    </row>
    <row r="57" ht="30.0" customHeight="1">
      <c r="B57" s="20" t="s">
        <v>82</v>
      </c>
      <c r="C57" s="21"/>
      <c r="D57" s="21"/>
      <c r="E57" s="21"/>
      <c r="F57" s="10" t="s">
        <v>6</v>
      </c>
      <c r="G57" s="22"/>
      <c r="H57" s="22"/>
      <c r="I57" s="10" t="s">
        <v>6</v>
      </c>
      <c r="J57" s="21"/>
      <c r="K57" s="21"/>
      <c r="L57" s="21"/>
      <c r="M57" s="10" t="s">
        <v>6</v>
      </c>
      <c r="N57" s="21"/>
      <c r="O57" s="21"/>
      <c r="P57" s="10" t="s">
        <v>6</v>
      </c>
      <c r="Q57" s="21"/>
      <c r="R57" s="21"/>
      <c r="S57" s="21"/>
      <c r="T57" s="10" t="s">
        <v>6</v>
      </c>
      <c r="U57" s="22"/>
      <c r="V57" s="10" t="s">
        <v>6</v>
      </c>
      <c r="W57" s="22"/>
      <c r="X57" s="21"/>
      <c r="Y57" s="21"/>
      <c r="Z57" s="21"/>
      <c r="AA57" s="10" t="s">
        <v>6</v>
      </c>
      <c r="AB57" s="21"/>
      <c r="AC57" s="10" t="s">
        <v>6</v>
      </c>
      <c r="AD57" s="21"/>
      <c r="AE57" s="21"/>
      <c r="AF57" s="21"/>
      <c r="AG57" s="21"/>
      <c r="AH57" s="36">
        <v>8.0</v>
      </c>
    </row>
    <row r="58" ht="30.0" customHeight="1">
      <c r="B58" s="20" t="s">
        <v>63</v>
      </c>
      <c r="C58" s="22"/>
      <c r="D58" s="21"/>
      <c r="E58" s="21"/>
      <c r="F58" s="10" t="s">
        <v>6</v>
      </c>
      <c r="G58" s="22"/>
      <c r="H58" s="10" t="s">
        <v>6</v>
      </c>
      <c r="I58" s="22"/>
      <c r="J58" s="21"/>
      <c r="K58" s="21"/>
      <c r="L58" s="21"/>
      <c r="M58" s="10" t="s">
        <v>6</v>
      </c>
      <c r="N58" s="21"/>
      <c r="O58" s="21"/>
      <c r="P58" s="21"/>
      <c r="Q58" s="10" t="s">
        <v>6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5"/>
    </row>
    <row r="59" ht="30.0" customHeight="1">
      <c r="B59" s="20" t="s">
        <v>78</v>
      </c>
      <c r="C59" s="21"/>
      <c r="D59" s="21"/>
      <c r="E59" s="21"/>
      <c r="F59" s="10" t="s">
        <v>6</v>
      </c>
      <c r="G59" s="22"/>
      <c r="H59" s="10" t="s">
        <v>6</v>
      </c>
      <c r="I59" s="21"/>
      <c r="J59" s="21"/>
      <c r="K59" s="21"/>
      <c r="L59" s="21"/>
      <c r="M59" s="10" t="s">
        <v>6</v>
      </c>
      <c r="N59" s="22"/>
      <c r="O59" s="10" t="s">
        <v>6</v>
      </c>
      <c r="P59" s="22"/>
      <c r="Q59" s="21"/>
      <c r="R59" s="21"/>
      <c r="S59" s="21"/>
      <c r="T59" s="10" t="s">
        <v>6</v>
      </c>
      <c r="U59" s="21"/>
      <c r="V59" s="10" t="s">
        <v>6</v>
      </c>
      <c r="W59" s="22"/>
      <c r="X59" s="21"/>
      <c r="Y59" s="21"/>
      <c r="Z59" s="21"/>
      <c r="AA59" s="10" t="s">
        <v>6</v>
      </c>
      <c r="AB59" s="21"/>
      <c r="AC59" s="10" t="s">
        <v>6</v>
      </c>
      <c r="AD59" s="21"/>
      <c r="AE59" s="21"/>
      <c r="AF59" s="21"/>
      <c r="AG59" s="21"/>
      <c r="AH59" s="25"/>
    </row>
    <row r="60" ht="30.0" customHeight="1">
      <c r="B60" s="20" t="s">
        <v>76</v>
      </c>
      <c r="C60" s="21"/>
      <c r="D60" s="21"/>
      <c r="E60" s="21"/>
      <c r="F60" s="10" t="s">
        <v>6</v>
      </c>
      <c r="G60" s="21"/>
      <c r="H60" s="10" t="s">
        <v>6</v>
      </c>
      <c r="I60" s="21"/>
      <c r="J60" s="21"/>
      <c r="K60" s="21"/>
      <c r="L60" s="21"/>
      <c r="M60" s="10" t="s">
        <v>6</v>
      </c>
      <c r="N60" s="21"/>
      <c r="O60" s="10" t="s">
        <v>6</v>
      </c>
      <c r="P60" s="21"/>
      <c r="Q60" s="21"/>
      <c r="R60" s="21"/>
      <c r="S60" s="21"/>
      <c r="T60" s="10" t="s">
        <v>6</v>
      </c>
      <c r="U60" s="21"/>
      <c r="V60" s="21"/>
      <c r="W60" s="21"/>
      <c r="X60" s="21"/>
      <c r="Y60" s="21"/>
      <c r="Z60" s="21"/>
      <c r="AA60" s="22"/>
      <c r="AB60" s="21"/>
      <c r="AC60" s="21"/>
      <c r="AD60" s="21"/>
      <c r="AE60" s="21"/>
      <c r="AF60" s="21"/>
      <c r="AG60" s="21"/>
      <c r="AH60" s="25"/>
    </row>
    <row r="61" ht="30.0" customHeight="1">
      <c r="B61" s="20" t="s">
        <v>77</v>
      </c>
      <c r="C61" s="21"/>
      <c r="D61" s="21"/>
      <c r="E61" s="21"/>
      <c r="F61" s="21"/>
      <c r="G61" s="21"/>
      <c r="H61" s="10" t="s">
        <v>6</v>
      </c>
      <c r="I61" s="21"/>
      <c r="J61" s="21"/>
      <c r="K61" s="21"/>
      <c r="L61" s="21"/>
      <c r="M61" s="10" t="s">
        <v>6</v>
      </c>
      <c r="N61" s="21"/>
      <c r="O61" s="10" t="s">
        <v>6</v>
      </c>
      <c r="P61" s="21"/>
      <c r="Q61" s="21"/>
      <c r="R61" s="21"/>
      <c r="S61" s="21"/>
      <c r="T61" s="10" t="s">
        <v>6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5"/>
    </row>
    <row r="62" ht="30.0" customHeight="1">
      <c r="B62" s="20" t="s">
        <v>175</v>
      </c>
      <c r="C62" s="21"/>
      <c r="D62" s="22"/>
      <c r="E62" s="21"/>
      <c r="F62" s="10" t="s">
        <v>6</v>
      </c>
      <c r="G62" s="21"/>
      <c r="H62" s="21"/>
      <c r="I62" s="21"/>
      <c r="J62" s="21"/>
      <c r="K62" s="22"/>
      <c r="L62" s="21"/>
      <c r="M62" s="21"/>
      <c r="N62" s="21"/>
      <c r="O62" s="21"/>
      <c r="P62" s="22"/>
      <c r="Q62" s="21"/>
      <c r="R62" s="21"/>
      <c r="S62" s="21"/>
      <c r="T62" s="21"/>
      <c r="U62" s="21"/>
      <c r="V62" s="21"/>
      <c r="W62" s="21"/>
      <c r="X62" s="21"/>
      <c r="Y62" s="22"/>
      <c r="Z62" s="21"/>
      <c r="AA62" s="21"/>
      <c r="AB62" s="21"/>
      <c r="AC62" s="21"/>
      <c r="AD62" s="21"/>
      <c r="AE62" s="21"/>
      <c r="AF62" s="21"/>
      <c r="AG62" s="21"/>
      <c r="AH62" s="25"/>
    </row>
    <row r="63" ht="30.0" customHeight="1">
      <c r="B63" s="20" t="s">
        <v>79</v>
      </c>
      <c r="C63" s="21"/>
      <c r="D63" s="21"/>
      <c r="E63" s="21"/>
      <c r="F63" s="10" t="s">
        <v>6</v>
      </c>
      <c r="G63" s="21"/>
      <c r="H63" s="10" t="s">
        <v>6</v>
      </c>
      <c r="I63" s="21"/>
      <c r="J63" s="21"/>
      <c r="K63" s="21"/>
      <c r="L63" s="21"/>
      <c r="M63" s="10" t="s">
        <v>6</v>
      </c>
      <c r="N63" s="21"/>
      <c r="O63" s="10" t="s">
        <v>6</v>
      </c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10" t="s">
        <v>6</v>
      </c>
      <c r="AB63" s="21"/>
      <c r="AC63" s="21"/>
      <c r="AD63" s="10" t="s">
        <v>6</v>
      </c>
      <c r="AE63" s="21"/>
      <c r="AF63" s="21"/>
      <c r="AG63" s="21"/>
      <c r="AH63" s="36">
        <v>6.0</v>
      </c>
    </row>
    <row r="64" ht="30.0" customHeight="1">
      <c r="B64" s="20" t="s">
        <v>99</v>
      </c>
      <c r="C64" s="22"/>
      <c r="D64" s="22"/>
      <c r="E64" s="21"/>
      <c r="F64" s="21"/>
      <c r="G64" s="10" t="s">
        <v>6</v>
      </c>
      <c r="H64" s="21"/>
      <c r="I64" s="10" t="s">
        <v>6</v>
      </c>
      <c r="J64" s="21"/>
      <c r="K64" s="21"/>
      <c r="L64" s="21"/>
      <c r="M64" s="22"/>
      <c r="N64" s="10" t="s">
        <v>6</v>
      </c>
      <c r="O64" s="21"/>
      <c r="P64" s="10" t="s">
        <v>6</v>
      </c>
      <c r="Q64" s="21"/>
      <c r="R64" s="21"/>
      <c r="S64" s="21"/>
      <c r="T64" s="22"/>
      <c r="U64" s="10" t="s">
        <v>6</v>
      </c>
      <c r="V64" s="21"/>
      <c r="W64" s="22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5"/>
    </row>
    <row r="65" ht="30.0" customHeight="1">
      <c r="B65" s="20" t="s">
        <v>101</v>
      </c>
      <c r="C65" s="22"/>
      <c r="D65" s="22"/>
      <c r="E65" s="21"/>
      <c r="F65" s="21"/>
      <c r="G65" s="10" t="s">
        <v>6</v>
      </c>
      <c r="H65" s="10" t="s">
        <v>6</v>
      </c>
      <c r="I65" s="10" t="s">
        <v>6</v>
      </c>
      <c r="J65" s="21"/>
      <c r="K65" s="21"/>
      <c r="L65" s="10" t="s">
        <v>6</v>
      </c>
      <c r="M65" s="10" t="s">
        <v>6</v>
      </c>
      <c r="N65" s="10" t="s">
        <v>6</v>
      </c>
      <c r="O65" s="21"/>
      <c r="P65" s="22"/>
      <c r="Q65" s="21"/>
      <c r="R65" s="21"/>
      <c r="S65" s="21"/>
      <c r="T65" s="22"/>
      <c r="U65" s="10" t="s">
        <v>6</v>
      </c>
      <c r="V65" s="21"/>
      <c r="W65" s="22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5"/>
    </row>
    <row r="66" ht="30.0" customHeight="1">
      <c r="B66" s="20" t="s">
        <v>87</v>
      </c>
      <c r="C66" s="22"/>
      <c r="D66" s="22"/>
      <c r="E66" s="21"/>
      <c r="F66" s="21"/>
      <c r="G66" s="10" t="s">
        <v>6</v>
      </c>
      <c r="H66" s="21"/>
      <c r="I66" s="21"/>
      <c r="J66" s="21"/>
      <c r="K66" s="21"/>
      <c r="L66" s="21"/>
      <c r="M66" s="22"/>
      <c r="N66" s="21"/>
      <c r="O66" s="21"/>
      <c r="P66" s="22"/>
      <c r="Q66" s="21"/>
      <c r="R66" s="21"/>
      <c r="S66" s="21"/>
      <c r="T66" s="22"/>
      <c r="U66" s="10" t="s">
        <v>6</v>
      </c>
      <c r="V66" s="21"/>
      <c r="W66" s="22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5"/>
    </row>
    <row r="67" ht="30.0" customHeight="1">
      <c r="B67" s="20" t="s">
        <v>54</v>
      </c>
      <c r="C67" s="22"/>
      <c r="D67" s="22"/>
      <c r="E67" s="21"/>
      <c r="F67" s="21"/>
      <c r="G67" s="21"/>
      <c r="H67" s="10" t="s">
        <v>6</v>
      </c>
      <c r="I67" s="10" t="s">
        <v>6</v>
      </c>
      <c r="J67" s="21"/>
      <c r="K67" s="21"/>
      <c r="L67" s="21"/>
      <c r="M67" s="10" t="s">
        <v>6</v>
      </c>
      <c r="N67" s="21"/>
      <c r="O67" s="10" t="s">
        <v>6</v>
      </c>
      <c r="P67" s="22"/>
      <c r="Q67" s="21"/>
      <c r="R67" s="21"/>
      <c r="S67" s="21"/>
      <c r="T67" s="22"/>
      <c r="U67" s="21"/>
      <c r="V67" s="10" t="s">
        <v>6</v>
      </c>
      <c r="W67" s="22"/>
      <c r="X67" s="21"/>
      <c r="Y67" s="21"/>
      <c r="Z67" s="21"/>
      <c r="AA67" s="10" t="s">
        <v>6</v>
      </c>
      <c r="AB67" s="21"/>
      <c r="AC67" s="10" t="s">
        <v>6</v>
      </c>
      <c r="AD67" s="21"/>
      <c r="AE67" s="21"/>
      <c r="AF67" s="21"/>
      <c r="AG67" s="21"/>
      <c r="AH67" s="25"/>
    </row>
    <row r="68" ht="30.0" customHeight="1">
      <c r="B68" s="20" t="s">
        <v>85</v>
      </c>
      <c r="C68" s="22"/>
      <c r="D68" s="22"/>
      <c r="E68" s="21"/>
      <c r="F68" s="21"/>
      <c r="G68" s="21"/>
      <c r="H68" s="21"/>
      <c r="I68" s="21"/>
      <c r="J68" s="10" t="s">
        <v>6</v>
      </c>
      <c r="K68" s="21"/>
      <c r="L68" s="21"/>
      <c r="M68" s="22"/>
      <c r="N68" s="10" t="s">
        <v>6</v>
      </c>
      <c r="O68" s="21"/>
      <c r="P68" s="22"/>
      <c r="Q68" s="21"/>
      <c r="R68" s="21"/>
      <c r="S68" s="10" t="s">
        <v>6</v>
      </c>
      <c r="T68" s="22"/>
      <c r="U68" s="10" t="s">
        <v>6</v>
      </c>
      <c r="V68" s="21"/>
      <c r="W68" s="22"/>
      <c r="X68" s="21"/>
      <c r="Y68" s="21"/>
      <c r="Z68" s="21"/>
      <c r="AA68" s="21"/>
      <c r="AB68" s="10" t="s">
        <v>6</v>
      </c>
      <c r="AC68" s="21"/>
      <c r="AD68" s="21"/>
      <c r="AE68" s="10" t="s">
        <v>6</v>
      </c>
      <c r="AF68" s="21"/>
      <c r="AG68" s="21"/>
      <c r="AH68" s="25"/>
    </row>
    <row r="69" ht="30.0" customHeight="1">
      <c r="B69" s="47" t="s">
        <v>210</v>
      </c>
      <c r="C69" s="22"/>
      <c r="D69" s="22"/>
      <c r="E69" s="21"/>
      <c r="F69" s="21"/>
      <c r="G69" s="21"/>
      <c r="H69" s="21"/>
      <c r="I69" s="21"/>
      <c r="J69" s="10" t="s">
        <v>6</v>
      </c>
      <c r="K69" s="21"/>
      <c r="L69" s="21"/>
      <c r="M69" s="22"/>
      <c r="N69" s="21"/>
      <c r="O69" s="21"/>
      <c r="P69" s="22"/>
      <c r="Q69" s="10" t="s">
        <v>6</v>
      </c>
      <c r="R69" s="21"/>
      <c r="S69" s="21"/>
      <c r="T69" s="22"/>
      <c r="U69" s="21"/>
      <c r="V69" s="21"/>
      <c r="W69" s="22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36">
        <v>2.0</v>
      </c>
    </row>
    <row r="70" ht="30.0" customHeight="1">
      <c r="B70" s="47" t="s">
        <v>211</v>
      </c>
      <c r="C70" s="22"/>
      <c r="D70" s="22"/>
      <c r="E70" s="21"/>
      <c r="F70" s="21"/>
      <c r="G70" s="21"/>
      <c r="H70" s="21"/>
      <c r="I70" s="21"/>
      <c r="J70" s="21"/>
      <c r="K70" s="21"/>
      <c r="L70" s="21"/>
      <c r="M70" s="10" t="s">
        <v>6</v>
      </c>
      <c r="N70" s="21"/>
      <c r="O70" s="21"/>
      <c r="P70" s="22"/>
      <c r="Q70" s="21"/>
      <c r="R70" s="21"/>
      <c r="S70" s="10" t="s">
        <v>6</v>
      </c>
      <c r="T70" s="10" t="s">
        <v>6</v>
      </c>
      <c r="U70" s="21"/>
      <c r="V70" s="21"/>
      <c r="W70" s="22"/>
      <c r="X70" s="21"/>
      <c r="Y70" s="21"/>
      <c r="Z70" s="10" t="s">
        <v>6</v>
      </c>
      <c r="AA70" s="10" t="s">
        <v>6</v>
      </c>
      <c r="AB70" s="21"/>
      <c r="AC70" s="21"/>
      <c r="AD70" s="21"/>
      <c r="AE70" s="21"/>
      <c r="AF70" s="21"/>
      <c r="AG70" s="10" t="s">
        <v>6</v>
      </c>
      <c r="AH70" s="36">
        <v>6.0</v>
      </c>
    </row>
    <row r="71" ht="30.0" customHeight="1">
      <c r="B71" s="47" t="s">
        <v>212</v>
      </c>
      <c r="C71" s="22"/>
      <c r="D71" s="22"/>
      <c r="E71" s="21"/>
      <c r="F71" s="21"/>
      <c r="G71" s="21"/>
      <c r="H71" s="21"/>
      <c r="I71" s="21"/>
      <c r="J71" s="21"/>
      <c r="K71" s="21"/>
      <c r="L71" s="21"/>
      <c r="M71" s="22"/>
      <c r="N71" s="21"/>
      <c r="O71" s="10" t="s">
        <v>6</v>
      </c>
      <c r="P71" s="22"/>
      <c r="Q71" s="21"/>
      <c r="R71" s="21"/>
      <c r="S71" s="21"/>
      <c r="T71" s="10" t="s">
        <v>6</v>
      </c>
      <c r="U71" s="21"/>
      <c r="V71" s="10" t="s">
        <v>6</v>
      </c>
      <c r="W71" s="22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5"/>
    </row>
    <row r="72" ht="30.0" customHeight="1">
      <c r="B72" s="20" t="s">
        <v>94</v>
      </c>
      <c r="C72" s="22"/>
      <c r="D72" s="22"/>
      <c r="E72" s="21"/>
      <c r="F72" s="21"/>
      <c r="G72" s="21"/>
      <c r="H72" s="21"/>
      <c r="I72" s="21"/>
      <c r="J72" s="21"/>
      <c r="K72" s="21"/>
      <c r="L72" s="21"/>
      <c r="M72" s="22"/>
      <c r="N72" s="21"/>
      <c r="O72" s="21"/>
      <c r="P72" s="21"/>
      <c r="Q72" s="10" t="s">
        <v>6</v>
      </c>
      <c r="R72" s="21"/>
      <c r="S72" s="21"/>
      <c r="T72" s="22"/>
      <c r="U72" s="21"/>
      <c r="V72" s="21"/>
      <c r="W72" s="22"/>
      <c r="X72" s="21"/>
      <c r="Y72" s="21"/>
      <c r="Z72" s="21"/>
      <c r="AA72" s="21"/>
      <c r="AB72" s="21"/>
      <c r="AC72" s="21"/>
      <c r="AD72" s="21"/>
      <c r="AE72" s="10" t="s">
        <v>6</v>
      </c>
      <c r="AF72" s="21"/>
      <c r="AG72" s="21"/>
      <c r="AH72" s="25"/>
    </row>
    <row r="73" ht="30.0" customHeight="1">
      <c r="B73" s="20" t="s">
        <v>111</v>
      </c>
      <c r="C73" s="22"/>
      <c r="D73" s="22"/>
      <c r="E73" s="21"/>
      <c r="F73" s="21"/>
      <c r="G73" s="21"/>
      <c r="H73" s="21"/>
      <c r="I73" s="21"/>
      <c r="J73" s="21"/>
      <c r="K73" s="21"/>
      <c r="L73" s="21"/>
      <c r="M73" s="22"/>
      <c r="N73" s="21"/>
      <c r="O73" s="21"/>
      <c r="P73" s="22"/>
      <c r="Q73" s="10" t="s">
        <v>6</v>
      </c>
      <c r="R73" s="21"/>
      <c r="S73" s="21"/>
      <c r="T73" s="22"/>
      <c r="U73" s="21"/>
      <c r="V73" s="21"/>
      <c r="W73" s="22"/>
      <c r="X73" s="21"/>
      <c r="Y73" s="21"/>
      <c r="Z73" s="21"/>
      <c r="AA73" s="21"/>
      <c r="AB73" s="21"/>
      <c r="AC73" s="21"/>
      <c r="AD73" s="21"/>
      <c r="AE73" s="10" t="s">
        <v>6</v>
      </c>
      <c r="AF73" s="21"/>
      <c r="AG73" s="21"/>
      <c r="AH73" s="25"/>
    </row>
    <row r="74" ht="30.0" customHeight="1">
      <c r="B74" s="20" t="s">
        <v>123</v>
      </c>
      <c r="C74" s="22"/>
      <c r="D74" s="22"/>
      <c r="E74" s="21"/>
      <c r="F74" s="21"/>
      <c r="G74" s="21"/>
      <c r="H74" s="21"/>
      <c r="I74" s="21"/>
      <c r="J74" s="21"/>
      <c r="K74" s="21"/>
      <c r="L74" s="21"/>
      <c r="M74" s="22"/>
      <c r="N74" s="21"/>
      <c r="O74" s="21"/>
      <c r="P74" s="22"/>
      <c r="Q74" s="21"/>
      <c r="R74" s="21"/>
      <c r="S74" s="21"/>
      <c r="T74" s="21"/>
      <c r="U74" s="10" t="s">
        <v>6</v>
      </c>
      <c r="V74" s="21"/>
      <c r="W74" s="22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5"/>
    </row>
    <row r="75" ht="30.0" customHeight="1">
      <c r="B75" s="47" t="s">
        <v>213</v>
      </c>
      <c r="C75" s="22"/>
      <c r="D75" s="22"/>
      <c r="E75" s="21"/>
      <c r="F75" s="21"/>
      <c r="G75" s="21"/>
      <c r="H75" s="21"/>
      <c r="I75" s="21"/>
      <c r="J75" s="21"/>
      <c r="K75" s="21"/>
      <c r="L75" s="21"/>
      <c r="M75" s="22"/>
      <c r="N75" s="21"/>
      <c r="O75" s="21"/>
      <c r="P75" s="22"/>
      <c r="Q75" s="21"/>
      <c r="R75" s="21"/>
      <c r="S75" s="21"/>
      <c r="T75" s="22"/>
      <c r="U75" s="21"/>
      <c r="V75" s="21"/>
      <c r="W75" s="22"/>
      <c r="X75" s="21"/>
      <c r="Y75" s="21"/>
      <c r="Z75" s="21"/>
      <c r="AA75" s="10" t="s">
        <v>6</v>
      </c>
      <c r="AB75" s="21"/>
      <c r="AC75" s="21"/>
      <c r="AD75" s="10" t="s">
        <v>6</v>
      </c>
      <c r="AE75" s="21"/>
      <c r="AF75" s="21"/>
      <c r="AG75" s="21"/>
      <c r="AH75" s="25"/>
    </row>
    <row r="76" ht="30.0" customHeight="1">
      <c r="B76" s="20"/>
      <c r="C76" s="22"/>
      <c r="D76" s="22"/>
      <c r="E76" s="21"/>
      <c r="F76" s="21"/>
      <c r="G76" s="21"/>
      <c r="H76" s="21"/>
      <c r="I76" s="21"/>
      <c r="J76" s="21"/>
      <c r="K76" s="21"/>
      <c r="L76" s="21"/>
      <c r="M76" s="22"/>
      <c r="N76" s="21"/>
      <c r="O76" s="21"/>
      <c r="P76" s="22"/>
      <c r="Q76" s="21"/>
      <c r="R76" s="21"/>
      <c r="S76" s="21"/>
      <c r="T76" s="22"/>
      <c r="U76" s="21"/>
      <c r="V76" s="21"/>
      <c r="W76" s="22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5"/>
    </row>
    <row r="77" ht="30.0" customHeight="1">
      <c r="B77" s="26" t="str">
        <f>Marzo!MonthName&amp;" Total"</f>
        <v>Marzo Total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>
        <f>SUM(C77:AG77)</f>
        <v>0</v>
      </c>
    </row>
    <row r="78" ht="30.0" customHeight="1"/>
    <row r="79" ht="30.0" customHeight="1">
      <c r="B79" s="32" t="s">
        <v>200</v>
      </c>
      <c r="C79" s="80" t="s">
        <v>177</v>
      </c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</row>
    <row r="80" ht="30.0" customHeight="1">
      <c r="B80" s="32"/>
      <c r="C80" s="16" t="str">
        <f>TEXT(WEEKDAY(DATE(CalendarioAño,3,1),1),"ddd")</f>
        <v>sáb</v>
      </c>
      <c r="D80" s="16" t="str">
        <f>TEXT(WEEKDAY(DATE(CalendarioAño,3,2),1),"ddd")</f>
        <v>dom</v>
      </c>
      <c r="E80" s="16" t="str">
        <f>TEXT(WEEKDAY(DATE(CalendarioAño,3,3),1),"ddd")</f>
        <v>lun</v>
      </c>
      <c r="F80" s="16" t="str">
        <f>TEXT(WEEKDAY(DATE(CalendarioAño,3,4),1),"ddd")</f>
        <v>mar</v>
      </c>
      <c r="G80" s="16" t="str">
        <f>TEXT(WEEKDAY(DATE(CalendarioAño,3,5),1),"ddd")</f>
        <v>mié</v>
      </c>
      <c r="H80" s="16" t="str">
        <f>TEXT(WEEKDAY(DATE(CalendarioAño,3,6),1),"ddd")</f>
        <v>jue</v>
      </c>
      <c r="I80" s="16" t="str">
        <f>TEXT(WEEKDAY(DATE(CalendarioAño,3,7),1),"ddd")</f>
        <v>vie</v>
      </c>
      <c r="J80" s="16" t="str">
        <f>TEXT(WEEKDAY(DATE(CalendarioAño,3,8),1),"ddd")</f>
        <v>sáb</v>
      </c>
      <c r="K80" s="16" t="str">
        <f>TEXT(WEEKDAY(DATE(CalendarioAño,3,9),1),"ddd")</f>
        <v>dom</v>
      </c>
      <c r="L80" s="16" t="str">
        <f>TEXT(WEEKDAY(DATE(CalendarioAño,3,10),1),"ddd")</f>
        <v>lun</v>
      </c>
      <c r="M80" s="16" t="str">
        <f>TEXT(WEEKDAY(DATE(CalendarioAño,3,11),1),"ddd")</f>
        <v>mar</v>
      </c>
      <c r="N80" s="16" t="str">
        <f>TEXT(WEEKDAY(DATE(CalendarioAño,3,12),1),"ddd")</f>
        <v>mié</v>
      </c>
      <c r="O80" s="16" t="str">
        <f>TEXT(WEEKDAY(DATE(CalendarioAño,3,13),1),"ddd")</f>
        <v>jue</v>
      </c>
      <c r="P80" s="16" t="str">
        <f>TEXT(WEEKDAY(DATE(CalendarioAño,3,14),1),"ddd")</f>
        <v>vie</v>
      </c>
      <c r="Q80" s="16" t="str">
        <f>TEXT(WEEKDAY(DATE(CalendarioAño,3,15),1),"ddd")</f>
        <v>sáb</v>
      </c>
      <c r="R80" s="16" t="str">
        <f>TEXT(WEEKDAY(DATE(CalendarioAño,3,16),1),"ddd")</f>
        <v>dom</v>
      </c>
      <c r="S80" s="16" t="str">
        <f>TEXT(WEEKDAY(DATE(CalendarioAño,3,17),1),"ddd")</f>
        <v>lun</v>
      </c>
      <c r="T80" s="16" t="str">
        <f>TEXT(WEEKDAY(DATE(CalendarioAño,3,18),1),"ddd")</f>
        <v>mar</v>
      </c>
      <c r="U80" s="16" t="str">
        <f>TEXT(WEEKDAY(DATE(CalendarioAño,3,19),1),"ddd")</f>
        <v>mié</v>
      </c>
      <c r="V80" s="16" t="str">
        <f>TEXT(WEEKDAY(DATE(CalendarioAño,3,20),1),"ddd")</f>
        <v>jue</v>
      </c>
      <c r="W80" s="16" t="str">
        <f>TEXT(WEEKDAY(DATE(CalendarioAño,3,21),1),"ddd")</f>
        <v>vie</v>
      </c>
      <c r="X80" s="16" t="str">
        <f>TEXT(WEEKDAY(DATE(CalendarioAño,3,22),1),"ddd")</f>
        <v>sáb</v>
      </c>
      <c r="Y80" s="16" t="str">
        <f>TEXT(WEEKDAY(DATE(CalendarioAño,3,23),1),"ddd")</f>
        <v>dom</v>
      </c>
      <c r="Z80" s="16" t="str">
        <f>TEXT(WEEKDAY(DATE(CalendarioAño,3,24),1),"ddd")</f>
        <v>lun</v>
      </c>
      <c r="AA80" s="16" t="str">
        <f>TEXT(WEEKDAY(DATE(CalendarioAño,3,25),1),"ddd")</f>
        <v>mar</v>
      </c>
      <c r="AB80" s="16" t="str">
        <f>TEXT(WEEKDAY(DATE(CalendarioAño,3,26),1),"ddd")</f>
        <v>mié</v>
      </c>
      <c r="AC80" s="16" t="str">
        <f>TEXT(WEEKDAY(DATE(CalendarioAño,3,27),1),"ddd")</f>
        <v>jue</v>
      </c>
      <c r="AD80" s="16" t="str">
        <f>TEXT(WEEKDAY(DATE(CalendarioAño,3,28),1),"ddd")</f>
        <v>vie</v>
      </c>
      <c r="AE80" s="16" t="str">
        <f>TEXT(WEEKDAY(DATE(CalendarioAño,3,29),1),"ddd")</f>
        <v>sáb</v>
      </c>
      <c r="AF80" s="16" t="str">
        <f>TEXT(WEEKDAY(DATE(CalendarioAño,3,30),1),"ddd")</f>
        <v>dom</v>
      </c>
      <c r="AG80" s="16" t="str">
        <f>TEXT(WEEKDAY(DATE(CalendarioAño,3,31),1),"ddd")</f>
        <v>lun</v>
      </c>
    </row>
    <row r="81" ht="30.0" customHeight="1">
      <c r="B81" s="33" t="s">
        <v>202</v>
      </c>
      <c r="C81" s="19" t="s">
        <v>15</v>
      </c>
      <c r="D81" s="19" t="s">
        <v>16</v>
      </c>
      <c r="E81" s="19" t="s">
        <v>17</v>
      </c>
      <c r="F81" s="19" t="s">
        <v>18</v>
      </c>
      <c r="G81" s="19" t="s">
        <v>19</v>
      </c>
      <c r="H81" s="19" t="s">
        <v>20</v>
      </c>
      <c r="I81" s="19" t="s">
        <v>21</v>
      </c>
      <c r="J81" s="19" t="s">
        <v>22</v>
      </c>
      <c r="K81" s="19" t="s">
        <v>23</v>
      </c>
      <c r="L81" s="19" t="s">
        <v>24</v>
      </c>
      <c r="M81" s="19" t="s">
        <v>25</v>
      </c>
      <c r="N81" s="19" t="s">
        <v>26</v>
      </c>
      <c r="O81" s="19" t="s">
        <v>27</v>
      </c>
      <c r="P81" s="19" t="s">
        <v>28</v>
      </c>
      <c r="Q81" s="19" t="s">
        <v>29</v>
      </c>
      <c r="R81" s="19" t="s">
        <v>30</v>
      </c>
      <c r="S81" s="19" t="s">
        <v>31</v>
      </c>
      <c r="T81" s="19" t="s">
        <v>32</v>
      </c>
      <c r="U81" s="19" t="s">
        <v>33</v>
      </c>
      <c r="V81" s="19" t="s">
        <v>34</v>
      </c>
      <c r="W81" s="19" t="s">
        <v>35</v>
      </c>
      <c r="X81" s="19" t="s">
        <v>36</v>
      </c>
      <c r="Y81" s="19" t="s">
        <v>37</v>
      </c>
      <c r="Z81" s="19" t="s">
        <v>38</v>
      </c>
      <c r="AA81" s="19" t="s">
        <v>39</v>
      </c>
      <c r="AB81" s="19" t="s">
        <v>40</v>
      </c>
      <c r="AC81" s="19" t="s">
        <v>41</v>
      </c>
      <c r="AD81" s="19" t="s">
        <v>42</v>
      </c>
      <c r="AE81" s="19" t="s">
        <v>43</v>
      </c>
      <c r="AF81" s="19" t="s">
        <v>44</v>
      </c>
      <c r="AG81" s="19" t="s">
        <v>45</v>
      </c>
      <c r="AH81" s="90"/>
    </row>
    <row r="82" ht="30.0" customHeight="1">
      <c r="B82" s="20" t="s">
        <v>110</v>
      </c>
      <c r="C82" s="21"/>
      <c r="D82" s="21"/>
      <c r="E82" s="21"/>
      <c r="F82" s="10" t="s">
        <v>6</v>
      </c>
      <c r="G82" s="22"/>
      <c r="H82" s="10" t="s">
        <v>6</v>
      </c>
      <c r="I82" s="22"/>
      <c r="J82" s="21"/>
      <c r="K82" s="21"/>
      <c r="L82" s="21"/>
      <c r="M82" s="10" t="s">
        <v>6</v>
      </c>
      <c r="N82" s="22"/>
      <c r="O82" s="21"/>
      <c r="P82" s="21"/>
      <c r="Q82" s="21"/>
      <c r="R82" s="21"/>
      <c r="S82" s="21"/>
      <c r="T82" s="10" t="s">
        <v>6</v>
      </c>
      <c r="U82" s="22"/>
      <c r="V82" s="10" t="s">
        <v>6</v>
      </c>
      <c r="W82" s="22"/>
      <c r="X82" s="21"/>
      <c r="Y82" s="21"/>
      <c r="Z82" s="21"/>
      <c r="AA82" s="10" t="s">
        <v>6</v>
      </c>
      <c r="AB82" s="22"/>
      <c r="AC82" s="10" t="s">
        <v>6</v>
      </c>
      <c r="AD82" s="21"/>
      <c r="AE82" s="21"/>
      <c r="AF82" s="21"/>
      <c r="AG82" s="10" t="s">
        <v>6</v>
      </c>
      <c r="AH82" s="91"/>
    </row>
    <row r="83" ht="30.0" customHeight="1">
      <c r="B83" s="20" t="s">
        <v>105</v>
      </c>
      <c r="C83" s="21"/>
      <c r="D83" s="21"/>
      <c r="E83" s="21"/>
      <c r="F83" s="10" t="s">
        <v>6</v>
      </c>
      <c r="G83" s="22"/>
      <c r="H83" s="10" t="s">
        <v>6</v>
      </c>
      <c r="I83" s="10" t="s">
        <v>6</v>
      </c>
      <c r="J83" s="21"/>
      <c r="K83" s="21"/>
      <c r="L83" s="21"/>
      <c r="M83" s="10" t="s">
        <v>6</v>
      </c>
      <c r="N83" s="21"/>
      <c r="O83" s="10" t="s">
        <v>6</v>
      </c>
      <c r="P83" s="21"/>
      <c r="Q83" s="21"/>
      <c r="R83" s="21"/>
      <c r="S83" s="21"/>
      <c r="T83" s="10" t="s">
        <v>6</v>
      </c>
      <c r="U83" s="22"/>
      <c r="V83" s="10" t="s">
        <v>6</v>
      </c>
      <c r="W83" s="22"/>
      <c r="X83" s="21"/>
      <c r="Y83" s="21"/>
      <c r="Z83" s="21"/>
      <c r="AA83" s="21"/>
      <c r="AB83" s="10" t="s">
        <v>6</v>
      </c>
      <c r="AC83" s="21"/>
      <c r="AD83" s="10" t="s">
        <v>6</v>
      </c>
      <c r="AE83" s="21"/>
      <c r="AF83" s="21"/>
      <c r="AG83" s="21"/>
      <c r="AH83" s="91"/>
    </row>
    <row r="84" ht="30.0" customHeight="1">
      <c r="B84" s="20" t="s">
        <v>179</v>
      </c>
      <c r="C84" s="22"/>
      <c r="D84" s="21"/>
      <c r="E84" s="21"/>
      <c r="F84" s="10" t="s">
        <v>6</v>
      </c>
      <c r="G84" s="22"/>
      <c r="H84" s="21"/>
      <c r="I84" s="10" t="s">
        <v>6</v>
      </c>
      <c r="J84" s="10" t="s">
        <v>6</v>
      </c>
      <c r="K84" s="21"/>
      <c r="L84" s="83" t="s">
        <v>174</v>
      </c>
      <c r="M84" s="21"/>
      <c r="N84" s="10" t="s">
        <v>6</v>
      </c>
      <c r="O84" s="21"/>
      <c r="P84" s="21"/>
      <c r="Q84" s="10" t="s">
        <v>6</v>
      </c>
      <c r="R84" s="21"/>
      <c r="S84" s="10" t="s">
        <v>6</v>
      </c>
      <c r="T84" s="21"/>
      <c r="U84" s="10" t="s">
        <v>6</v>
      </c>
      <c r="V84" s="21"/>
      <c r="W84" s="21"/>
      <c r="X84" s="21"/>
      <c r="Y84" s="21"/>
      <c r="Z84" s="21"/>
      <c r="AA84" s="21"/>
      <c r="AB84" s="10" t="s">
        <v>6</v>
      </c>
      <c r="AC84" s="21"/>
      <c r="AD84" s="21"/>
      <c r="AE84" s="21"/>
      <c r="AF84" s="21"/>
      <c r="AG84" s="83" t="s">
        <v>174</v>
      </c>
      <c r="AH84" s="91"/>
    </row>
    <row r="85" ht="30.0" customHeight="1">
      <c r="B85" s="20" t="s">
        <v>106</v>
      </c>
      <c r="C85" s="21"/>
      <c r="D85" s="21"/>
      <c r="E85" s="21"/>
      <c r="F85" s="10" t="s">
        <v>6</v>
      </c>
      <c r="G85" s="22"/>
      <c r="H85" s="10" t="s">
        <v>6</v>
      </c>
      <c r="I85" s="21"/>
      <c r="J85" s="21"/>
      <c r="K85" s="21"/>
      <c r="L85" s="10" t="s">
        <v>6</v>
      </c>
      <c r="M85" s="10" t="s">
        <v>6</v>
      </c>
      <c r="N85" s="22"/>
      <c r="O85" s="10" t="s">
        <v>6</v>
      </c>
      <c r="P85" s="22"/>
      <c r="Q85" s="21"/>
      <c r="R85" s="21"/>
      <c r="S85" s="21"/>
      <c r="T85" s="10" t="s">
        <v>6</v>
      </c>
      <c r="U85" s="21"/>
      <c r="V85" s="10" t="s">
        <v>6</v>
      </c>
      <c r="W85" s="22"/>
      <c r="X85" s="21"/>
      <c r="Y85" s="21"/>
      <c r="Z85" s="21"/>
      <c r="AA85" s="10" t="s">
        <v>6</v>
      </c>
      <c r="AB85" s="21"/>
      <c r="AC85" s="10" t="s">
        <v>6</v>
      </c>
      <c r="AD85" s="21"/>
      <c r="AE85" s="21"/>
      <c r="AF85" s="21"/>
      <c r="AG85" s="21"/>
      <c r="AH85" s="91"/>
    </row>
    <row r="86" ht="30.0" customHeight="1">
      <c r="B86" s="47" t="s">
        <v>181</v>
      </c>
      <c r="C86" s="21"/>
      <c r="D86" s="21"/>
      <c r="E86" s="21"/>
      <c r="F86" s="10" t="s">
        <v>6</v>
      </c>
      <c r="G86" s="21"/>
      <c r="H86" s="10" t="s">
        <v>6</v>
      </c>
      <c r="I86" s="21"/>
      <c r="J86" s="21"/>
      <c r="K86" s="21"/>
      <c r="L86" s="21"/>
      <c r="M86" s="10" t="s">
        <v>6</v>
      </c>
      <c r="N86" s="21"/>
      <c r="O86" s="10" t="s">
        <v>6</v>
      </c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10" t="s">
        <v>6</v>
      </c>
      <c r="AA86" s="10" t="s">
        <v>6</v>
      </c>
      <c r="AB86" s="21"/>
      <c r="AC86" s="21"/>
      <c r="AD86" s="21"/>
      <c r="AE86" s="21"/>
      <c r="AF86" s="21"/>
      <c r="AG86" s="10" t="s">
        <v>6</v>
      </c>
      <c r="AH86" s="91"/>
    </row>
    <row r="87" ht="30.0" customHeight="1">
      <c r="B87" s="20" t="s">
        <v>178</v>
      </c>
      <c r="C87" s="21"/>
      <c r="D87" s="22"/>
      <c r="E87" s="21"/>
      <c r="F87" s="10" t="s">
        <v>6</v>
      </c>
      <c r="G87" s="21"/>
      <c r="H87" s="21"/>
      <c r="I87" s="21"/>
      <c r="J87" s="21"/>
      <c r="K87" s="22"/>
      <c r="L87" s="21"/>
      <c r="M87" s="10" t="s">
        <v>6</v>
      </c>
      <c r="N87" s="21"/>
      <c r="O87" s="21"/>
      <c r="P87" s="22"/>
      <c r="Q87" s="21"/>
      <c r="R87" s="21"/>
      <c r="S87" s="21"/>
      <c r="T87" s="10" t="s">
        <v>6</v>
      </c>
      <c r="U87" s="21"/>
      <c r="V87" s="21"/>
      <c r="W87" s="10" t="s">
        <v>6</v>
      </c>
      <c r="X87" s="21"/>
      <c r="Y87" s="22"/>
      <c r="Z87" s="21"/>
      <c r="AA87" s="10" t="s">
        <v>6</v>
      </c>
      <c r="AB87" s="21"/>
      <c r="AC87" s="21"/>
      <c r="AD87" s="10" t="s">
        <v>6</v>
      </c>
      <c r="AE87" s="21"/>
      <c r="AF87" s="21"/>
      <c r="AG87" s="21"/>
      <c r="AH87" s="23">
        <v>6.0</v>
      </c>
    </row>
    <row r="88" ht="30.0" customHeight="1">
      <c r="B88" s="20" t="s">
        <v>180</v>
      </c>
      <c r="C88" s="21"/>
      <c r="D88" s="21"/>
      <c r="E88" s="21"/>
      <c r="F88" s="21"/>
      <c r="G88" s="10" t="s">
        <v>6</v>
      </c>
      <c r="H88" s="21"/>
      <c r="I88" s="21"/>
      <c r="J88" s="21"/>
      <c r="K88" s="21"/>
      <c r="L88" s="21"/>
      <c r="M88" s="21"/>
      <c r="N88" s="10" t="s">
        <v>6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91"/>
    </row>
    <row r="89" ht="30.0" customHeight="1">
      <c r="B89" s="20" t="s">
        <v>184</v>
      </c>
      <c r="C89" s="21"/>
      <c r="D89" s="21"/>
      <c r="E89" s="21"/>
      <c r="F89" s="21"/>
      <c r="G89" s="10" t="s">
        <v>6</v>
      </c>
      <c r="H89" s="21"/>
      <c r="I89" s="21"/>
      <c r="J89" s="21"/>
      <c r="K89" s="21"/>
      <c r="L89" s="21"/>
      <c r="M89" s="10" t="s">
        <v>6</v>
      </c>
      <c r="N89" s="21"/>
      <c r="O89" s="10" t="s">
        <v>6</v>
      </c>
      <c r="P89" s="21"/>
      <c r="Q89" s="21"/>
      <c r="R89" s="21"/>
      <c r="S89" s="21"/>
      <c r="T89" s="10" t="s">
        <v>6</v>
      </c>
      <c r="U89" s="21"/>
      <c r="V89" s="10" t="s">
        <v>6</v>
      </c>
      <c r="W89" s="21"/>
      <c r="X89" s="21"/>
      <c r="Y89" s="21"/>
      <c r="Z89" s="21"/>
      <c r="AA89" s="21"/>
      <c r="AB89" s="21"/>
      <c r="AC89" s="10" t="s">
        <v>6</v>
      </c>
      <c r="AD89" s="10" t="s">
        <v>6</v>
      </c>
      <c r="AE89" s="21"/>
      <c r="AF89" s="21"/>
      <c r="AG89" s="21"/>
      <c r="AH89" s="23">
        <v>7.0</v>
      </c>
    </row>
    <row r="90" ht="30.0" customHeight="1">
      <c r="B90" s="20" t="s">
        <v>124</v>
      </c>
      <c r="C90" s="21"/>
      <c r="D90" s="21"/>
      <c r="E90" s="21"/>
      <c r="F90" s="21"/>
      <c r="G90" s="21"/>
      <c r="H90" s="10" t="s">
        <v>6</v>
      </c>
      <c r="I90" s="21"/>
      <c r="J90" s="10" t="s">
        <v>6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89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3">
        <v>2.0</v>
      </c>
    </row>
    <row r="91" ht="30.0" customHeight="1">
      <c r="B91" s="20" t="s">
        <v>83</v>
      </c>
      <c r="C91" s="21"/>
      <c r="D91" s="21"/>
      <c r="E91" s="21"/>
      <c r="F91" s="21"/>
      <c r="G91" s="21"/>
      <c r="H91" s="10" t="s">
        <v>6</v>
      </c>
      <c r="I91" s="10" t="s">
        <v>6</v>
      </c>
      <c r="J91" s="21"/>
      <c r="K91" s="21"/>
      <c r="L91" s="21"/>
      <c r="M91" s="10" t="s">
        <v>6</v>
      </c>
      <c r="N91" s="10" t="s">
        <v>6</v>
      </c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10" t="s">
        <v>6</v>
      </c>
      <c r="AA91" s="21"/>
      <c r="AB91" s="21"/>
      <c r="AC91" s="21"/>
      <c r="AD91" s="21"/>
      <c r="AE91" s="10" t="s">
        <v>6</v>
      </c>
      <c r="AF91" s="21"/>
      <c r="AG91" s="21"/>
      <c r="AH91" s="91"/>
    </row>
    <row r="92" ht="30.0" customHeight="1">
      <c r="B92" s="20" t="s">
        <v>114</v>
      </c>
      <c r="C92" s="21"/>
      <c r="D92" s="21"/>
      <c r="E92" s="21"/>
      <c r="F92" s="21"/>
      <c r="G92" s="21"/>
      <c r="H92" s="10" t="s">
        <v>6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91"/>
    </row>
    <row r="93" ht="30.0" customHeight="1">
      <c r="B93" s="20" t="s">
        <v>176</v>
      </c>
      <c r="C93" s="21"/>
      <c r="D93" s="21"/>
      <c r="E93" s="21"/>
      <c r="F93" s="21"/>
      <c r="G93" s="21"/>
      <c r="H93" s="21"/>
      <c r="I93" s="10" t="s">
        <v>6</v>
      </c>
      <c r="J93" s="21"/>
      <c r="K93" s="21"/>
      <c r="L93" s="10" t="s">
        <v>6</v>
      </c>
      <c r="M93" s="21"/>
      <c r="N93" s="21"/>
      <c r="O93" s="21"/>
      <c r="P93" s="10" t="s">
        <v>6</v>
      </c>
      <c r="Q93" s="21"/>
      <c r="R93" s="21"/>
      <c r="S93" s="10" t="s">
        <v>6</v>
      </c>
      <c r="T93" s="21"/>
      <c r="U93" s="21"/>
      <c r="V93" s="21"/>
      <c r="W93" s="10" t="s">
        <v>6</v>
      </c>
      <c r="X93" s="21"/>
      <c r="Y93" s="21"/>
      <c r="Z93" s="10" t="s">
        <v>6</v>
      </c>
      <c r="AA93" s="21"/>
      <c r="AB93" s="21"/>
      <c r="AC93" s="21"/>
      <c r="AD93" s="21"/>
      <c r="AE93" s="21"/>
      <c r="AF93" s="21"/>
      <c r="AG93" s="10" t="s">
        <v>6</v>
      </c>
      <c r="AH93" s="23">
        <v>7.0</v>
      </c>
    </row>
    <row r="94" ht="30.0" customHeight="1">
      <c r="B94" s="20" t="s">
        <v>115</v>
      </c>
      <c r="C94" s="22"/>
      <c r="D94" s="22"/>
      <c r="E94" s="21"/>
      <c r="F94" s="21"/>
      <c r="G94" s="21"/>
      <c r="H94" s="21"/>
      <c r="I94" s="10" t="s">
        <v>6</v>
      </c>
      <c r="J94" s="10" t="s">
        <v>6</v>
      </c>
      <c r="K94" s="21"/>
      <c r="L94" s="21"/>
      <c r="M94" s="22"/>
      <c r="N94" s="21"/>
      <c r="O94" s="21"/>
      <c r="P94" s="10" t="s">
        <v>6</v>
      </c>
      <c r="Q94" s="10" t="s">
        <v>6</v>
      </c>
      <c r="R94" s="21"/>
      <c r="S94" s="21"/>
      <c r="T94" s="22"/>
      <c r="U94" s="21"/>
      <c r="V94" s="21"/>
      <c r="W94" s="10" t="s">
        <v>6</v>
      </c>
      <c r="X94" s="21"/>
      <c r="Y94" s="21"/>
      <c r="Z94" s="21"/>
      <c r="AA94" s="21"/>
      <c r="AB94" s="21"/>
      <c r="AC94" s="21"/>
      <c r="AD94" s="10" t="s">
        <v>6</v>
      </c>
      <c r="AE94" s="10" t="s">
        <v>6</v>
      </c>
      <c r="AF94" s="21"/>
      <c r="AG94" s="21"/>
      <c r="AH94" s="91"/>
    </row>
    <row r="95" ht="30.0" customHeight="1">
      <c r="B95" s="20" t="s">
        <v>121</v>
      </c>
      <c r="C95" s="22"/>
      <c r="D95" s="22"/>
      <c r="E95" s="21"/>
      <c r="F95" s="21"/>
      <c r="G95" s="21"/>
      <c r="H95" s="21"/>
      <c r="I95" s="21"/>
      <c r="J95" s="10" t="s">
        <v>6</v>
      </c>
      <c r="K95" s="21"/>
      <c r="L95" s="21"/>
      <c r="M95" s="22"/>
      <c r="N95" s="21"/>
      <c r="O95" s="21"/>
      <c r="P95" s="22"/>
      <c r="Q95" s="10" t="s">
        <v>6</v>
      </c>
      <c r="R95" s="21"/>
      <c r="S95" s="21"/>
      <c r="T95" s="22"/>
      <c r="U95" s="21"/>
      <c r="V95" s="21"/>
      <c r="W95" s="22"/>
      <c r="X95" s="21"/>
      <c r="Y95" s="21"/>
      <c r="Z95" s="21"/>
      <c r="AA95" s="21"/>
      <c r="AB95" s="21"/>
      <c r="AC95" s="21"/>
      <c r="AD95" s="21"/>
      <c r="AE95" s="10" t="s">
        <v>6</v>
      </c>
      <c r="AF95" s="21"/>
      <c r="AG95" s="21"/>
      <c r="AH95" s="91"/>
    </row>
    <row r="96" ht="30.0" customHeight="1">
      <c r="B96" s="20" t="s">
        <v>122</v>
      </c>
      <c r="C96" s="22"/>
      <c r="D96" s="22"/>
      <c r="E96" s="21"/>
      <c r="F96" s="21"/>
      <c r="G96" s="21"/>
      <c r="H96" s="21"/>
      <c r="I96" s="21"/>
      <c r="J96" s="10" t="s">
        <v>6</v>
      </c>
      <c r="K96" s="21"/>
      <c r="L96" s="21"/>
      <c r="M96" s="22"/>
      <c r="N96" s="21"/>
      <c r="O96" s="21"/>
      <c r="P96" s="22"/>
      <c r="Q96" s="10" t="s">
        <v>6</v>
      </c>
      <c r="R96" s="21"/>
      <c r="S96" s="21"/>
      <c r="T96" s="22"/>
      <c r="U96" s="21"/>
      <c r="V96" s="21"/>
      <c r="W96" s="22"/>
      <c r="X96" s="21"/>
      <c r="Y96" s="21"/>
      <c r="Z96" s="21"/>
      <c r="AA96" s="21"/>
      <c r="AB96" s="21"/>
      <c r="AC96" s="21"/>
      <c r="AD96" s="21"/>
      <c r="AE96" s="10" t="s">
        <v>6</v>
      </c>
      <c r="AF96" s="21"/>
      <c r="AG96" s="21"/>
      <c r="AH96" s="91"/>
    </row>
    <row r="97" ht="30.0" customHeight="1">
      <c r="B97" s="20" t="s">
        <v>80</v>
      </c>
      <c r="C97" s="22"/>
      <c r="D97" s="22"/>
      <c r="E97" s="21"/>
      <c r="F97" s="21"/>
      <c r="G97" s="21"/>
      <c r="H97" s="21"/>
      <c r="I97" s="21"/>
      <c r="J97" s="10" t="s">
        <v>6</v>
      </c>
      <c r="K97" s="21"/>
      <c r="L97" s="21"/>
      <c r="M97" s="10" t="s">
        <v>6</v>
      </c>
      <c r="N97" s="21"/>
      <c r="O97" s="21"/>
      <c r="P97" s="22"/>
      <c r="Q97" s="21"/>
      <c r="R97" s="21"/>
      <c r="S97" s="21"/>
      <c r="T97" s="10" t="s">
        <v>6</v>
      </c>
      <c r="U97" s="10" t="s">
        <v>6</v>
      </c>
      <c r="V97" s="21"/>
      <c r="W97" s="22"/>
      <c r="X97" s="21"/>
      <c r="Y97" s="21"/>
      <c r="Z97" s="21"/>
      <c r="AA97" s="21"/>
      <c r="AB97" s="10" t="s">
        <v>6</v>
      </c>
      <c r="AC97" s="10" t="s">
        <v>6</v>
      </c>
      <c r="AD97" s="21"/>
      <c r="AE97" s="10" t="s">
        <v>6</v>
      </c>
      <c r="AF97" s="21"/>
      <c r="AG97" s="21"/>
      <c r="AH97" s="23">
        <v>7.0</v>
      </c>
    </row>
    <row r="98" ht="30.0" customHeight="1">
      <c r="B98" s="20" t="s">
        <v>113</v>
      </c>
      <c r="C98" s="22"/>
      <c r="D98" s="22"/>
      <c r="E98" s="21"/>
      <c r="F98" s="21"/>
      <c r="G98" s="21"/>
      <c r="H98" s="21"/>
      <c r="I98" s="21"/>
      <c r="J98" s="21"/>
      <c r="K98" s="21"/>
      <c r="L98" s="10" t="s">
        <v>6</v>
      </c>
      <c r="M98" s="22"/>
      <c r="N98" s="21"/>
      <c r="O98" s="21"/>
      <c r="P98" s="10" t="s">
        <v>6</v>
      </c>
      <c r="Q98" s="10" t="s">
        <v>6</v>
      </c>
      <c r="R98" s="21"/>
      <c r="S98" s="10" t="s">
        <v>6</v>
      </c>
      <c r="T98" s="22"/>
      <c r="U98" s="89"/>
      <c r="V98" s="21"/>
      <c r="W98" s="22"/>
      <c r="X98" s="21"/>
      <c r="Y98" s="21"/>
      <c r="Z98" s="21"/>
      <c r="AA98" s="21"/>
      <c r="AB98" s="21"/>
      <c r="AC98" s="21"/>
      <c r="AD98" s="10" t="s">
        <v>6</v>
      </c>
      <c r="AE98" s="10" t="s">
        <v>6</v>
      </c>
      <c r="AF98" s="21"/>
      <c r="AG98" s="21"/>
      <c r="AH98" s="91"/>
    </row>
    <row r="99" ht="30.0" customHeight="1">
      <c r="B99" s="20" t="s">
        <v>120</v>
      </c>
      <c r="C99" s="22"/>
      <c r="D99" s="22"/>
      <c r="E99" s="21"/>
      <c r="F99" s="21"/>
      <c r="G99" s="21"/>
      <c r="H99" s="21"/>
      <c r="I99" s="21"/>
      <c r="J99" s="21"/>
      <c r="K99" s="21"/>
      <c r="L99" s="21"/>
      <c r="M99" s="22"/>
      <c r="N99" s="21"/>
      <c r="O99" s="21"/>
      <c r="P99" s="22"/>
      <c r="Q99" s="10" t="s">
        <v>6</v>
      </c>
      <c r="R99" s="21"/>
      <c r="S99" s="21"/>
      <c r="T99" s="22"/>
      <c r="U99" s="21"/>
      <c r="V99" s="21"/>
      <c r="W99" s="22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91"/>
    </row>
    <row r="100" ht="30.0" customHeight="1">
      <c r="B100" s="20" t="s">
        <v>116</v>
      </c>
      <c r="C100" s="22"/>
      <c r="D100" s="22"/>
      <c r="E100" s="21"/>
      <c r="F100" s="21"/>
      <c r="G100" s="21"/>
      <c r="H100" s="21"/>
      <c r="I100" s="21"/>
      <c r="J100" s="21"/>
      <c r="K100" s="21"/>
      <c r="L100" s="21"/>
      <c r="M100" s="22"/>
      <c r="N100" s="21"/>
      <c r="O100" s="21"/>
      <c r="P100" s="22"/>
      <c r="Q100" s="10" t="s">
        <v>6</v>
      </c>
      <c r="R100" s="21"/>
      <c r="S100" s="21"/>
      <c r="T100" s="22"/>
      <c r="U100" s="21"/>
      <c r="V100" s="21"/>
      <c r="W100" s="22"/>
      <c r="X100" s="21"/>
      <c r="Y100" s="21"/>
      <c r="Z100" s="21"/>
      <c r="AA100" s="21"/>
      <c r="AB100" s="21"/>
      <c r="AC100" s="21"/>
      <c r="AD100" s="21"/>
      <c r="AE100" s="10" t="s">
        <v>6</v>
      </c>
      <c r="AF100" s="21"/>
      <c r="AG100" s="21"/>
      <c r="AH100" s="91"/>
    </row>
    <row r="101" ht="30.0" customHeight="1">
      <c r="B101" s="20" t="s">
        <v>131</v>
      </c>
      <c r="C101" s="22"/>
      <c r="D101" s="22"/>
      <c r="E101" s="21"/>
      <c r="F101" s="21"/>
      <c r="G101" s="21"/>
      <c r="H101" s="21"/>
      <c r="I101" s="21"/>
      <c r="J101" s="21"/>
      <c r="K101" s="21"/>
      <c r="L101" s="21"/>
      <c r="M101" s="22"/>
      <c r="N101" s="21"/>
      <c r="O101" s="21"/>
      <c r="P101" s="22"/>
      <c r="Q101" s="21"/>
      <c r="R101" s="21"/>
      <c r="S101" s="21"/>
      <c r="T101" s="22"/>
      <c r="U101" s="21"/>
      <c r="V101" s="21"/>
      <c r="W101" s="22"/>
      <c r="X101" s="21"/>
      <c r="Y101" s="21"/>
      <c r="Z101" s="21"/>
      <c r="AA101" s="21"/>
      <c r="AB101" s="21"/>
      <c r="AC101" s="89"/>
      <c r="AD101" s="21"/>
      <c r="AE101" s="21"/>
      <c r="AF101" s="21"/>
      <c r="AG101" s="21"/>
      <c r="AH101" s="91"/>
    </row>
    <row r="102" ht="30.0" customHeight="1">
      <c r="B102" s="20" t="s">
        <v>108</v>
      </c>
      <c r="C102" s="22"/>
      <c r="D102" s="22"/>
      <c r="E102" s="21"/>
      <c r="F102" s="21"/>
      <c r="G102" s="21"/>
      <c r="H102" s="21"/>
      <c r="I102" s="21"/>
      <c r="J102" s="21"/>
      <c r="K102" s="21"/>
      <c r="L102" s="21"/>
      <c r="M102" s="22"/>
      <c r="N102" s="21"/>
      <c r="O102" s="21"/>
      <c r="P102" s="22"/>
      <c r="Q102" s="21"/>
      <c r="R102" s="21"/>
      <c r="S102" s="21"/>
      <c r="T102" s="22"/>
      <c r="U102" s="21"/>
      <c r="V102" s="21"/>
      <c r="W102" s="22"/>
      <c r="X102" s="21"/>
      <c r="Y102" s="21"/>
      <c r="Z102" s="21"/>
      <c r="AA102" s="10" t="s">
        <v>6</v>
      </c>
      <c r="AB102" s="10" t="s">
        <v>6</v>
      </c>
      <c r="AC102" s="10" t="s">
        <v>6</v>
      </c>
      <c r="AD102" s="10" t="s">
        <v>6</v>
      </c>
      <c r="AE102" s="21"/>
      <c r="AF102" s="21"/>
      <c r="AG102" s="10" t="s">
        <v>6</v>
      </c>
      <c r="AH102" s="91"/>
    </row>
    <row r="103" ht="30.0" customHeight="1">
      <c r="B103" s="20" t="s">
        <v>100</v>
      </c>
      <c r="C103" s="22"/>
      <c r="D103" s="22"/>
      <c r="E103" s="21"/>
      <c r="F103" s="21"/>
      <c r="G103" s="21"/>
      <c r="H103" s="21"/>
      <c r="I103" s="21"/>
      <c r="J103" s="21"/>
      <c r="K103" s="21"/>
      <c r="L103" s="21"/>
      <c r="M103" s="22"/>
      <c r="N103" s="21"/>
      <c r="O103" s="21"/>
      <c r="P103" s="22"/>
      <c r="Q103" s="21"/>
      <c r="R103" s="21"/>
      <c r="S103" s="21"/>
      <c r="T103" s="22"/>
      <c r="U103" s="21"/>
      <c r="V103" s="21"/>
      <c r="W103" s="22"/>
      <c r="X103" s="21"/>
      <c r="Y103" s="21"/>
      <c r="Z103" s="21"/>
      <c r="AA103" s="21"/>
      <c r="AB103" s="10" t="s">
        <v>6</v>
      </c>
      <c r="AC103" s="21"/>
      <c r="AD103" s="10" t="s">
        <v>6</v>
      </c>
      <c r="AE103" s="21"/>
      <c r="AF103" s="21"/>
      <c r="AG103" s="10" t="s">
        <v>6</v>
      </c>
      <c r="AH103" s="23">
        <v>3.0</v>
      </c>
    </row>
    <row r="104" ht="30.0" customHeight="1">
      <c r="B104" s="86"/>
      <c r="C104" s="22"/>
      <c r="D104" s="22"/>
      <c r="E104" s="21"/>
      <c r="F104" s="21"/>
      <c r="G104" s="21"/>
      <c r="H104" s="21"/>
      <c r="I104" s="21"/>
      <c r="J104" s="21"/>
      <c r="K104" s="21"/>
      <c r="L104" s="21"/>
      <c r="M104" s="22"/>
      <c r="N104" s="21"/>
      <c r="O104" s="21"/>
      <c r="P104" s="22"/>
      <c r="Q104" s="21"/>
      <c r="R104" s="21"/>
      <c r="S104" s="21"/>
      <c r="T104" s="22"/>
      <c r="U104" s="21"/>
      <c r="V104" s="21"/>
      <c r="W104" s="22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91"/>
    </row>
    <row r="105" ht="30.0" customHeight="1">
      <c r="B105" s="20"/>
      <c r="C105" s="22"/>
      <c r="D105" s="22"/>
      <c r="E105" s="21"/>
      <c r="F105" s="21"/>
      <c r="G105" s="21"/>
      <c r="H105" s="21"/>
      <c r="I105" s="21"/>
      <c r="J105" s="21"/>
      <c r="K105" s="21"/>
      <c r="L105" s="21"/>
      <c r="M105" s="22"/>
      <c r="N105" s="21"/>
      <c r="O105" s="21"/>
      <c r="P105" s="22"/>
      <c r="Q105" s="21"/>
      <c r="R105" s="21"/>
      <c r="S105" s="21"/>
      <c r="T105" s="22"/>
      <c r="U105" s="21"/>
      <c r="V105" s="21"/>
      <c r="W105" s="22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91"/>
    </row>
    <row r="106" ht="30.0" customHeight="1">
      <c r="B106" s="26" t="str">
        <f>Marzo!MonthName&amp;" Total"</f>
        <v>Marzo Total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91"/>
    </row>
    <row r="107" ht="30.0" customHeight="1"/>
    <row r="108" ht="30.0" customHeight="1">
      <c r="B108" s="32" t="s">
        <v>200</v>
      </c>
      <c r="C108" s="80" t="s">
        <v>182</v>
      </c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</row>
    <row r="109" ht="30.0" customHeight="1">
      <c r="B109" s="32"/>
      <c r="C109" s="16" t="str">
        <f>TEXT(WEEKDAY(DATE(CalendarioAño,3,1),1),"ddd")</f>
        <v>sáb</v>
      </c>
      <c r="D109" s="16" t="str">
        <f>TEXT(WEEKDAY(DATE(CalendarioAño,3,2),1),"ddd")</f>
        <v>dom</v>
      </c>
      <c r="E109" s="16" t="str">
        <f>TEXT(WEEKDAY(DATE(CalendarioAño,3,3),1),"ddd")</f>
        <v>lun</v>
      </c>
      <c r="F109" s="16" t="str">
        <f>TEXT(WEEKDAY(DATE(CalendarioAño,3,4),1),"ddd")</f>
        <v>mar</v>
      </c>
      <c r="G109" s="16" t="str">
        <f>TEXT(WEEKDAY(DATE(CalendarioAño,3,5),1),"ddd")</f>
        <v>mié</v>
      </c>
      <c r="H109" s="16" t="str">
        <f>TEXT(WEEKDAY(DATE(CalendarioAño,3,6),1),"ddd")</f>
        <v>jue</v>
      </c>
      <c r="I109" s="16" t="str">
        <f>TEXT(WEEKDAY(DATE(CalendarioAño,3,7),1),"ddd")</f>
        <v>vie</v>
      </c>
      <c r="J109" s="16" t="str">
        <f>TEXT(WEEKDAY(DATE(CalendarioAño,3,8),1),"ddd")</f>
        <v>sáb</v>
      </c>
      <c r="K109" s="16" t="str">
        <f>TEXT(WEEKDAY(DATE(CalendarioAño,3,9),1),"ddd")</f>
        <v>dom</v>
      </c>
      <c r="L109" s="16" t="str">
        <f>TEXT(WEEKDAY(DATE(CalendarioAño,3,10),1),"ddd")</f>
        <v>lun</v>
      </c>
      <c r="M109" s="16" t="str">
        <f>TEXT(WEEKDAY(DATE(CalendarioAño,3,11),1),"ddd")</f>
        <v>mar</v>
      </c>
      <c r="N109" s="16" t="str">
        <f>TEXT(WEEKDAY(DATE(CalendarioAño,3,12),1),"ddd")</f>
        <v>mié</v>
      </c>
      <c r="O109" s="16" t="str">
        <f>TEXT(WEEKDAY(DATE(CalendarioAño,3,13),1),"ddd")</f>
        <v>jue</v>
      </c>
      <c r="P109" s="16" t="str">
        <f>TEXT(WEEKDAY(DATE(CalendarioAño,3,14),1),"ddd")</f>
        <v>vie</v>
      </c>
      <c r="Q109" s="16" t="str">
        <f>TEXT(WEEKDAY(DATE(CalendarioAño,3,15),1),"ddd")</f>
        <v>sáb</v>
      </c>
      <c r="R109" s="16" t="str">
        <f>TEXT(WEEKDAY(DATE(CalendarioAño,3,16),1),"ddd")</f>
        <v>dom</v>
      </c>
      <c r="S109" s="16" t="str">
        <f>TEXT(WEEKDAY(DATE(CalendarioAño,3,17),1),"ddd")</f>
        <v>lun</v>
      </c>
      <c r="T109" s="16" t="str">
        <f>TEXT(WEEKDAY(DATE(CalendarioAño,3,18),1),"ddd")</f>
        <v>mar</v>
      </c>
      <c r="U109" s="16" t="str">
        <f>TEXT(WEEKDAY(DATE(CalendarioAño,3,19),1),"ddd")</f>
        <v>mié</v>
      </c>
      <c r="V109" s="16" t="str">
        <f>TEXT(WEEKDAY(DATE(CalendarioAño,3,20),1),"ddd")</f>
        <v>jue</v>
      </c>
      <c r="W109" s="16" t="str">
        <f>TEXT(WEEKDAY(DATE(CalendarioAño,3,21),1),"ddd")</f>
        <v>vie</v>
      </c>
      <c r="X109" s="16" t="str">
        <f>TEXT(WEEKDAY(DATE(CalendarioAño,3,22),1),"ddd")</f>
        <v>sáb</v>
      </c>
      <c r="Y109" s="16" t="str">
        <f>TEXT(WEEKDAY(DATE(CalendarioAño,3,23),1),"ddd")</f>
        <v>dom</v>
      </c>
      <c r="Z109" s="16" t="str">
        <f>TEXT(WEEKDAY(DATE(CalendarioAño,3,24),1),"ddd")</f>
        <v>lun</v>
      </c>
      <c r="AA109" s="16" t="str">
        <f>TEXT(WEEKDAY(DATE(CalendarioAño,3,25),1),"ddd")</f>
        <v>mar</v>
      </c>
      <c r="AB109" s="16" t="str">
        <f>TEXT(WEEKDAY(DATE(CalendarioAño,3,26),1),"ddd")</f>
        <v>mié</v>
      </c>
      <c r="AC109" s="16" t="str">
        <f>TEXT(WEEKDAY(DATE(CalendarioAño,3,27),1),"ddd")</f>
        <v>jue</v>
      </c>
      <c r="AD109" s="16" t="str">
        <f>TEXT(WEEKDAY(DATE(CalendarioAño,3,28),1),"ddd")</f>
        <v>vie</v>
      </c>
      <c r="AE109" s="16" t="str">
        <f>TEXT(WEEKDAY(DATE(CalendarioAño,3,29),1),"ddd")</f>
        <v>sáb</v>
      </c>
      <c r="AF109" s="16" t="str">
        <f>TEXT(WEEKDAY(DATE(CalendarioAño,3,30),1),"ddd")</f>
        <v>dom</v>
      </c>
      <c r="AG109" s="16" t="str">
        <f>TEXT(WEEKDAY(DATE(CalendarioAño,3,31),1),"ddd")</f>
        <v>lun</v>
      </c>
    </row>
    <row r="110" ht="30.0" customHeight="1">
      <c r="B110" s="33" t="s">
        <v>202</v>
      </c>
      <c r="C110" s="19" t="s">
        <v>15</v>
      </c>
      <c r="D110" s="19" t="s">
        <v>16</v>
      </c>
      <c r="E110" s="19" t="s">
        <v>17</v>
      </c>
      <c r="F110" s="19" t="s">
        <v>18</v>
      </c>
      <c r="G110" s="19" t="s">
        <v>19</v>
      </c>
      <c r="H110" s="19" t="s">
        <v>20</v>
      </c>
      <c r="I110" s="19" t="s">
        <v>21</v>
      </c>
      <c r="J110" s="19" t="s">
        <v>22</v>
      </c>
      <c r="K110" s="19" t="s">
        <v>23</v>
      </c>
      <c r="L110" s="19" t="s">
        <v>24</v>
      </c>
      <c r="M110" s="19" t="s">
        <v>25</v>
      </c>
      <c r="N110" s="19" t="s">
        <v>26</v>
      </c>
      <c r="O110" s="19" t="s">
        <v>27</v>
      </c>
      <c r="P110" s="19" t="s">
        <v>28</v>
      </c>
      <c r="Q110" s="19" t="s">
        <v>29</v>
      </c>
      <c r="R110" s="19" t="s">
        <v>30</v>
      </c>
      <c r="S110" s="19" t="s">
        <v>31</v>
      </c>
      <c r="T110" s="19" t="s">
        <v>32</v>
      </c>
      <c r="U110" s="19" t="s">
        <v>33</v>
      </c>
      <c r="V110" s="19" t="s">
        <v>34</v>
      </c>
      <c r="W110" s="19" t="s">
        <v>35</v>
      </c>
      <c r="X110" s="19" t="s">
        <v>36</v>
      </c>
      <c r="Y110" s="19" t="s">
        <v>37</v>
      </c>
      <c r="Z110" s="19" t="s">
        <v>38</v>
      </c>
      <c r="AA110" s="19" t="s">
        <v>39</v>
      </c>
      <c r="AB110" s="19" t="s">
        <v>40</v>
      </c>
      <c r="AC110" s="19" t="s">
        <v>41</v>
      </c>
      <c r="AD110" s="19" t="s">
        <v>42</v>
      </c>
      <c r="AE110" s="19" t="s">
        <v>43</v>
      </c>
      <c r="AF110" s="19" t="s">
        <v>44</v>
      </c>
      <c r="AG110" s="19" t="s">
        <v>45</v>
      </c>
      <c r="AH110" s="90"/>
    </row>
    <row r="111" ht="30.0" customHeight="1">
      <c r="B111" s="92" t="s">
        <v>185</v>
      </c>
      <c r="C111" s="21"/>
      <c r="D111" s="21"/>
      <c r="E111" s="21"/>
      <c r="F111" s="10" t="s">
        <v>6</v>
      </c>
      <c r="G111" s="22"/>
      <c r="H111" s="21"/>
      <c r="I111" s="22"/>
      <c r="J111" s="21"/>
      <c r="K111" s="21"/>
      <c r="L111" s="21"/>
      <c r="M111" s="21"/>
      <c r="N111" s="22"/>
      <c r="O111" s="21"/>
      <c r="P111" s="21"/>
      <c r="Q111" s="21"/>
      <c r="R111" s="21"/>
      <c r="S111" s="21"/>
      <c r="T111" s="83" t="s">
        <v>174</v>
      </c>
      <c r="U111" s="22"/>
      <c r="V111" s="21"/>
      <c r="W111" s="22"/>
      <c r="X111" s="21"/>
      <c r="Y111" s="21"/>
      <c r="Z111" s="21"/>
      <c r="AA111" s="83" t="s">
        <v>174</v>
      </c>
      <c r="AB111" s="22"/>
      <c r="AC111" s="21"/>
      <c r="AD111" s="21"/>
      <c r="AE111" s="21"/>
      <c r="AF111" s="21"/>
      <c r="AG111" s="83" t="s">
        <v>174</v>
      </c>
      <c r="AH111" s="93">
        <v>7.0</v>
      </c>
    </row>
    <row r="112" ht="30.0" customHeight="1">
      <c r="B112" s="20" t="s">
        <v>214</v>
      </c>
      <c r="C112" s="21"/>
      <c r="D112" s="21"/>
      <c r="E112" s="21"/>
      <c r="F112" s="10" t="s">
        <v>6</v>
      </c>
      <c r="G112" s="22"/>
      <c r="H112" s="10" t="s">
        <v>6</v>
      </c>
      <c r="I112" s="22"/>
      <c r="J112" s="21"/>
      <c r="K112" s="21"/>
      <c r="L112" s="21"/>
      <c r="M112" s="10" t="s">
        <v>6</v>
      </c>
      <c r="N112" s="21"/>
      <c r="O112" s="10" t="s">
        <v>6</v>
      </c>
      <c r="P112" s="21"/>
      <c r="Q112" s="21"/>
      <c r="R112" s="21"/>
      <c r="S112" s="21"/>
      <c r="T112" s="10" t="s">
        <v>6</v>
      </c>
      <c r="U112" s="22"/>
      <c r="V112" s="10" t="s">
        <v>6</v>
      </c>
      <c r="W112" s="22"/>
      <c r="X112" s="21"/>
      <c r="Y112" s="21"/>
      <c r="Z112" s="21"/>
      <c r="AA112" s="10" t="s">
        <v>6</v>
      </c>
      <c r="AB112" s="21"/>
      <c r="AC112" s="10" t="s">
        <v>6</v>
      </c>
      <c r="AD112" s="21"/>
      <c r="AE112" s="21"/>
      <c r="AF112" s="21"/>
      <c r="AG112" s="21"/>
      <c r="AH112" s="23">
        <v>8.0</v>
      </c>
    </row>
    <row r="113" ht="30.0" customHeight="1">
      <c r="B113" s="20" t="s">
        <v>215</v>
      </c>
      <c r="C113" s="22"/>
      <c r="D113" s="21"/>
      <c r="E113" s="21"/>
      <c r="F113" s="10" t="s">
        <v>6</v>
      </c>
      <c r="G113" s="22"/>
      <c r="H113" s="21"/>
      <c r="I113" s="10" t="s">
        <v>6</v>
      </c>
      <c r="J113" s="21"/>
      <c r="K113" s="21"/>
      <c r="L113" s="10" t="s">
        <v>6</v>
      </c>
      <c r="M113" s="21"/>
      <c r="N113" s="21"/>
      <c r="O113" s="21"/>
      <c r="P113" s="10" t="s">
        <v>6</v>
      </c>
      <c r="Q113" s="21"/>
      <c r="R113" s="21"/>
      <c r="S113" s="21"/>
      <c r="T113" s="21"/>
      <c r="U113" s="10" t="s">
        <v>6</v>
      </c>
      <c r="V113" s="21"/>
      <c r="W113" s="10" t="s">
        <v>6</v>
      </c>
      <c r="X113" s="21"/>
      <c r="Y113" s="21"/>
      <c r="Z113" s="21"/>
      <c r="AA113" s="21"/>
      <c r="AB113" s="21"/>
      <c r="AC113" s="10" t="s">
        <v>6</v>
      </c>
      <c r="AD113" s="10" t="s">
        <v>6</v>
      </c>
      <c r="AE113" s="21"/>
      <c r="AF113" s="21"/>
      <c r="AG113" s="10" t="s">
        <v>6</v>
      </c>
      <c r="AH113" s="94"/>
    </row>
    <row r="114" ht="30.0" customHeight="1">
      <c r="B114" s="20" t="s">
        <v>126</v>
      </c>
      <c r="C114" s="21"/>
      <c r="D114" s="21"/>
      <c r="E114" s="21"/>
      <c r="F114" s="10" t="s">
        <v>6</v>
      </c>
      <c r="G114" s="10" t="s">
        <v>6</v>
      </c>
      <c r="H114" s="10" t="s">
        <v>6</v>
      </c>
      <c r="I114" s="21"/>
      <c r="J114" s="21"/>
      <c r="K114" s="21"/>
      <c r="L114" s="10" t="s">
        <v>6</v>
      </c>
      <c r="M114" s="22"/>
      <c r="N114" s="10" t="s">
        <v>6</v>
      </c>
      <c r="O114" s="10" t="s">
        <v>6</v>
      </c>
      <c r="P114" s="22"/>
      <c r="Q114" s="21"/>
      <c r="R114" s="21"/>
      <c r="S114" s="10" t="s">
        <v>6</v>
      </c>
      <c r="T114" s="22"/>
      <c r="U114" s="10" t="s">
        <v>6</v>
      </c>
      <c r="V114" s="10" t="s">
        <v>6</v>
      </c>
      <c r="W114" s="22"/>
      <c r="X114" s="21"/>
      <c r="Y114" s="21"/>
      <c r="Z114" s="10" t="s">
        <v>6</v>
      </c>
      <c r="AA114" s="22"/>
      <c r="AB114" s="10" t="s">
        <v>6</v>
      </c>
      <c r="AC114" s="10" t="s">
        <v>6</v>
      </c>
      <c r="AD114" s="21"/>
      <c r="AE114" s="21"/>
      <c r="AF114" s="21"/>
      <c r="AG114" s="83" t="s">
        <v>174</v>
      </c>
      <c r="AH114" s="95"/>
    </row>
    <row r="115" ht="30.0" customHeight="1">
      <c r="B115" s="20" t="s">
        <v>134</v>
      </c>
      <c r="C115" s="21"/>
      <c r="D115" s="21"/>
      <c r="E115" s="21"/>
      <c r="F115" s="21"/>
      <c r="G115" s="21"/>
      <c r="H115" s="21"/>
      <c r="I115" s="10" t="s">
        <v>6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2"/>
      <c r="AB115" s="21"/>
      <c r="AC115" s="21"/>
      <c r="AD115" s="21"/>
      <c r="AE115" s="21"/>
      <c r="AF115" s="21"/>
      <c r="AG115" s="21"/>
      <c r="AH115" s="91"/>
    </row>
    <row r="116" ht="30.0" customHeight="1">
      <c r="B116" s="20" t="s">
        <v>133</v>
      </c>
      <c r="C116" s="21"/>
      <c r="D116" s="21"/>
      <c r="E116" s="21"/>
      <c r="F116" s="21"/>
      <c r="G116" s="83" t="s">
        <v>174</v>
      </c>
      <c r="H116" s="21"/>
      <c r="I116" s="10" t="s">
        <v>6</v>
      </c>
      <c r="J116" s="21"/>
      <c r="K116" s="21"/>
      <c r="L116" s="21"/>
      <c r="M116" s="21"/>
      <c r="N116" s="10" t="s">
        <v>6</v>
      </c>
      <c r="O116" s="21"/>
      <c r="P116" s="10" t="s">
        <v>6</v>
      </c>
      <c r="Q116" s="21"/>
      <c r="R116" s="21"/>
      <c r="S116" s="21"/>
      <c r="T116" s="21"/>
      <c r="U116" s="10" t="s">
        <v>6</v>
      </c>
      <c r="V116" s="21"/>
      <c r="W116" s="88" t="s">
        <v>6</v>
      </c>
      <c r="X116" s="21"/>
      <c r="Y116" s="21"/>
      <c r="Z116" s="21"/>
      <c r="AA116" s="21"/>
      <c r="AB116" s="10" t="s">
        <v>6</v>
      </c>
      <c r="AC116" s="21"/>
      <c r="AD116" s="21"/>
      <c r="AE116" s="21"/>
      <c r="AF116" s="21"/>
      <c r="AG116" s="21"/>
      <c r="AH116" s="91"/>
    </row>
    <row r="117" ht="30.0" customHeight="1">
      <c r="B117" s="47" t="s">
        <v>216</v>
      </c>
      <c r="C117" s="21"/>
      <c r="D117" s="22"/>
      <c r="E117" s="21"/>
      <c r="F117" s="21"/>
      <c r="G117" s="21"/>
      <c r="H117" s="21"/>
      <c r="I117" s="21"/>
      <c r="J117" s="21"/>
      <c r="K117" s="22"/>
      <c r="L117" s="10" t="s">
        <v>6</v>
      </c>
      <c r="M117" s="21"/>
      <c r="N117" s="21"/>
      <c r="O117" s="10" t="s">
        <v>6</v>
      </c>
      <c r="P117" s="22"/>
      <c r="Q117" s="21"/>
      <c r="R117" s="21"/>
      <c r="S117" s="10" t="s">
        <v>6</v>
      </c>
      <c r="T117" s="21"/>
      <c r="U117" s="21"/>
      <c r="V117" s="10" t="s">
        <v>6</v>
      </c>
      <c r="W117" s="21"/>
      <c r="X117" s="21"/>
      <c r="Y117" s="22"/>
      <c r="Z117" s="10" t="s">
        <v>6</v>
      </c>
      <c r="AA117" s="21"/>
      <c r="AB117" s="21"/>
      <c r="AC117" s="10" t="s">
        <v>6</v>
      </c>
      <c r="AD117" s="21"/>
      <c r="AE117" s="21"/>
      <c r="AF117" s="21"/>
      <c r="AG117" s="10" t="s">
        <v>6</v>
      </c>
      <c r="AH117" s="94"/>
    </row>
    <row r="118" ht="30.0" customHeight="1">
      <c r="B118" s="47" t="s">
        <v>217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10" t="s">
        <v>6</v>
      </c>
      <c r="AA118" s="21"/>
      <c r="AB118" s="10" t="s">
        <v>6</v>
      </c>
      <c r="AC118" s="21"/>
      <c r="AD118" s="21"/>
      <c r="AE118" s="21"/>
      <c r="AF118" s="21"/>
      <c r="AG118" s="10" t="s">
        <v>6</v>
      </c>
      <c r="AH118" s="94"/>
    </row>
    <row r="119" ht="30.0" customHeight="1">
      <c r="B119" s="86"/>
      <c r="C119" s="22"/>
      <c r="D119" s="22"/>
      <c r="E119" s="21"/>
      <c r="F119" s="21"/>
      <c r="G119" s="21"/>
      <c r="H119" s="21"/>
      <c r="I119" s="21"/>
      <c r="J119" s="21"/>
      <c r="K119" s="21"/>
      <c r="L119" s="21"/>
      <c r="M119" s="22"/>
      <c r="N119" s="21"/>
      <c r="O119" s="21"/>
      <c r="P119" s="22"/>
      <c r="Q119" s="21"/>
      <c r="R119" s="21"/>
      <c r="S119" s="21"/>
      <c r="T119" s="22"/>
      <c r="U119" s="21"/>
      <c r="V119" s="21"/>
      <c r="W119" s="22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91"/>
    </row>
    <row r="120" ht="30.0" customHeight="1">
      <c r="B120" s="26" t="str">
        <f>Marzo!MonthName&amp;" Total"</f>
        <v>Marzo Total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91"/>
    </row>
    <row r="121" ht="30.0" customHeight="1"/>
    <row r="122" ht="30.0" customHeight="1">
      <c r="B122" s="32" t="s">
        <v>200</v>
      </c>
      <c r="C122" s="80" t="s">
        <v>186</v>
      </c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</row>
    <row r="123" ht="30.0" customHeight="1">
      <c r="B123" s="32"/>
      <c r="C123" s="16" t="str">
        <f>TEXT(WEEKDAY(DATE(CalendarioAño,3,1),1),"ddd")</f>
        <v>sáb</v>
      </c>
      <c r="D123" s="16" t="str">
        <f>TEXT(WEEKDAY(DATE(CalendarioAño,3,2),1),"ddd")</f>
        <v>dom</v>
      </c>
      <c r="E123" s="16" t="str">
        <f>TEXT(WEEKDAY(DATE(CalendarioAño,3,3),1),"ddd")</f>
        <v>lun</v>
      </c>
      <c r="F123" s="16" t="str">
        <f>TEXT(WEEKDAY(DATE(CalendarioAño,3,4),1),"ddd")</f>
        <v>mar</v>
      </c>
      <c r="G123" s="16" t="str">
        <f>TEXT(WEEKDAY(DATE(CalendarioAño,3,5),1),"ddd")</f>
        <v>mié</v>
      </c>
      <c r="H123" s="16" t="str">
        <f>TEXT(WEEKDAY(DATE(CalendarioAño,3,6),1),"ddd")</f>
        <v>jue</v>
      </c>
      <c r="I123" s="16" t="str">
        <f>TEXT(WEEKDAY(DATE(CalendarioAño,3,7),1),"ddd")</f>
        <v>vie</v>
      </c>
      <c r="J123" s="16" t="str">
        <f>TEXT(WEEKDAY(DATE(CalendarioAño,3,8),1),"ddd")</f>
        <v>sáb</v>
      </c>
      <c r="K123" s="16" t="str">
        <f>TEXT(WEEKDAY(DATE(CalendarioAño,3,9),1),"ddd")</f>
        <v>dom</v>
      </c>
      <c r="L123" s="16" t="str">
        <f>TEXT(WEEKDAY(DATE(CalendarioAño,3,10),1),"ddd")</f>
        <v>lun</v>
      </c>
      <c r="M123" s="16" t="str">
        <f>TEXT(WEEKDAY(DATE(CalendarioAño,3,11),1),"ddd")</f>
        <v>mar</v>
      </c>
      <c r="N123" s="16" t="str">
        <f>TEXT(WEEKDAY(DATE(CalendarioAño,3,12),1),"ddd")</f>
        <v>mié</v>
      </c>
      <c r="O123" s="16" t="str">
        <f>TEXT(WEEKDAY(DATE(CalendarioAño,3,13),1),"ddd")</f>
        <v>jue</v>
      </c>
      <c r="P123" s="16" t="str">
        <f>TEXT(WEEKDAY(DATE(CalendarioAño,3,14),1),"ddd")</f>
        <v>vie</v>
      </c>
      <c r="Q123" s="16" t="str">
        <f>TEXT(WEEKDAY(DATE(CalendarioAño,3,15),1),"ddd")</f>
        <v>sáb</v>
      </c>
      <c r="R123" s="16" t="str">
        <f>TEXT(WEEKDAY(DATE(CalendarioAño,3,16),1),"ddd")</f>
        <v>dom</v>
      </c>
      <c r="S123" s="16" t="str">
        <f>TEXT(WEEKDAY(DATE(CalendarioAño,3,17),1),"ddd")</f>
        <v>lun</v>
      </c>
      <c r="T123" s="16" t="str">
        <f>TEXT(WEEKDAY(DATE(CalendarioAño,3,18),1),"ddd")</f>
        <v>mar</v>
      </c>
      <c r="U123" s="16" t="str">
        <f>TEXT(WEEKDAY(DATE(CalendarioAño,3,19),1),"ddd")</f>
        <v>mié</v>
      </c>
      <c r="V123" s="16" t="str">
        <f>TEXT(WEEKDAY(DATE(CalendarioAño,3,20),1),"ddd")</f>
        <v>jue</v>
      </c>
      <c r="W123" s="16" t="str">
        <f>TEXT(WEEKDAY(DATE(CalendarioAño,3,21),1),"ddd")</f>
        <v>vie</v>
      </c>
      <c r="X123" s="16" t="str">
        <f>TEXT(WEEKDAY(DATE(CalendarioAño,3,22),1),"ddd")</f>
        <v>sáb</v>
      </c>
      <c r="Y123" s="16" t="str">
        <f>TEXT(WEEKDAY(DATE(CalendarioAño,3,23),1),"ddd")</f>
        <v>dom</v>
      </c>
      <c r="Z123" s="16" t="str">
        <f>TEXT(WEEKDAY(DATE(CalendarioAño,3,24),1),"ddd")</f>
        <v>lun</v>
      </c>
      <c r="AA123" s="16" t="str">
        <f>TEXT(WEEKDAY(DATE(CalendarioAño,3,25),1),"ddd")</f>
        <v>mar</v>
      </c>
      <c r="AB123" s="16" t="str">
        <f>TEXT(WEEKDAY(DATE(CalendarioAño,3,26),1),"ddd")</f>
        <v>mié</v>
      </c>
      <c r="AC123" s="16" t="str">
        <f>TEXT(WEEKDAY(DATE(CalendarioAño,3,27),1),"ddd")</f>
        <v>jue</v>
      </c>
      <c r="AD123" s="16" t="str">
        <f>TEXT(WEEKDAY(DATE(CalendarioAño,3,28),1),"ddd")</f>
        <v>vie</v>
      </c>
      <c r="AE123" s="16" t="str">
        <f>TEXT(WEEKDAY(DATE(CalendarioAño,3,29),1),"ddd")</f>
        <v>sáb</v>
      </c>
      <c r="AF123" s="16" t="str">
        <f>TEXT(WEEKDAY(DATE(CalendarioAño,3,30),1),"ddd")</f>
        <v>dom</v>
      </c>
      <c r="AG123" s="16" t="str">
        <f>TEXT(WEEKDAY(DATE(CalendarioAño,3,31),1),"ddd")</f>
        <v>lun</v>
      </c>
    </row>
    <row r="124" ht="30.0" customHeight="1">
      <c r="B124" s="33" t="s">
        <v>202</v>
      </c>
      <c r="C124" s="19" t="s">
        <v>15</v>
      </c>
      <c r="D124" s="19" t="s">
        <v>16</v>
      </c>
      <c r="E124" s="19" t="s">
        <v>17</v>
      </c>
      <c r="F124" s="19" t="s">
        <v>18</v>
      </c>
      <c r="G124" s="19" t="s">
        <v>19</v>
      </c>
      <c r="H124" s="19" t="s">
        <v>20</v>
      </c>
      <c r="I124" s="19" t="s">
        <v>21</v>
      </c>
      <c r="J124" s="19" t="s">
        <v>22</v>
      </c>
      <c r="K124" s="19" t="s">
        <v>23</v>
      </c>
      <c r="L124" s="19" t="s">
        <v>24</v>
      </c>
      <c r="M124" s="19" t="s">
        <v>25</v>
      </c>
      <c r="N124" s="19" t="s">
        <v>26</v>
      </c>
      <c r="O124" s="19" t="s">
        <v>27</v>
      </c>
      <c r="P124" s="19" t="s">
        <v>28</v>
      </c>
      <c r="Q124" s="19" t="s">
        <v>29</v>
      </c>
      <c r="R124" s="19" t="s">
        <v>30</v>
      </c>
      <c r="S124" s="19" t="s">
        <v>31</v>
      </c>
      <c r="T124" s="19" t="s">
        <v>32</v>
      </c>
      <c r="U124" s="19" t="s">
        <v>33</v>
      </c>
      <c r="V124" s="19" t="s">
        <v>34</v>
      </c>
      <c r="W124" s="19" t="s">
        <v>35</v>
      </c>
      <c r="X124" s="19" t="s">
        <v>36</v>
      </c>
      <c r="Y124" s="19" t="s">
        <v>37</v>
      </c>
      <c r="Z124" s="19" t="s">
        <v>38</v>
      </c>
      <c r="AA124" s="19" t="s">
        <v>39</v>
      </c>
      <c r="AB124" s="19" t="s">
        <v>40</v>
      </c>
      <c r="AC124" s="19" t="s">
        <v>41</v>
      </c>
      <c r="AD124" s="19" t="s">
        <v>42</v>
      </c>
      <c r="AE124" s="19" t="s">
        <v>43</v>
      </c>
      <c r="AF124" s="19" t="s">
        <v>44</v>
      </c>
      <c r="AG124" s="19" t="s">
        <v>45</v>
      </c>
      <c r="AH124" s="90"/>
    </row>
    <row r="125" ht="30.0" customHeight="1">
      <c r="B125" s="20" t="s">
        <v>75</v>
      </c>
      <c r="C125" s="21"/>
      <c r="D125" s="21"/>
      <c r="E125" s="21"/>
      <c r="F125" s="10" t="s">
        <v>6</v>
      </c>
      <c r="G125" s="22"/>
      <c r="H125" s="10" t="s">
        <v>6</v>
      </c>
      <c r="I125" s="22"/>
      <c r="J125" s="21"/>
      <c r="K125" s="21"/>
      <c r="L125" s="21"/>
      <c r="M125" s="10" t="s">
        <v>6</v>
      </c>
      <c r="N125" s="22"/>
      <c r="O125" s="10" t="s">
        <v>6</v>
      </c>
      <c r="P125" s="21"/>
      <c r="Q125" s="21"/>
      <c r="R125" s="21"/>
      <c r="S125" s="21"/>
      <c r="T125" s="10" t="s">
        <v>6</v>
      </c>
      <c r="U125" s="22"/>
      <c r="V125" s="21"/>
      <c r="W125" s="22"/>
      <c r="X125" s="21"/>
      <c r="Y125" s="21"/>
      <c r="Z125" s="21"/>
      <c r="AA125" s="10" t="s">
        <v>6</v>
      </c>
      <c r="AB125" s="10" t="s">
        <v>6</v>
      </c>
      <c r="AC125" s="88" t="s">
        <v>6</v>
      </c>
      <c r="AD125" s="21"/>
      <c r="AE125" s="21"/>
      <c r="AF125" s="21"/>
      <c r="AG125" s="10" t="s">
        <v>6</v>
      </c>
      <c r="AH125" s="94"/>
    </row>
    <row r="126" ht="30.0" customHeight="1">
      <c r="B126" s="20" t="s">
        <v>139</v>
      </c>
      <c r="C126" s="21"/>
      <c r="D126" s="21"/>
      <c r="E126" s="21"/>
      <c r="F126" s="10" t="s">
        <v>6</v>
      </c>
      <c r="G126" s="22"/>
      <c r="H126" s="10" t="s">
        <v>6</v>
      </c>
      <c r="I126" s="22"/>
      <c r="J126" s="21"/>
      <c r="K126" s="21"/>
      <c r="L126" s="21"/>
      <c r="M126" s="21"/>
      <c r="N126" s="10" t="s">
        <v>6</v>
      </c>
      <c r="O126" s="10" t="s">
        <v>6</v>
      </c>
      <c r="P126" s="21"/>
      <c r="Q126" s="21"/>
      <c r="R126" s="21"/>
      <c r="S126" s="21"/>
      <c r="T126" s="10" t="s">
        <v>6</v>
      </c>
      <c r="U126" s="22"/>
      <c r="V126" s="10" t="s">
        <v>6</v>
      </c>
      <c r="W126" s="22"/>
      <c r="X126" s="21"/>
      <c r="Y126" s="21"/>
      <c r="Z126" s="21"/>
      <c r="AA126" s="10" t="s">
        <v>6</v>
      </c>
      <c r="AB126" s="21"/>
      <c r="AC126" s="88" t="s">
        <v>6</v>
      </c>
      <c r="AD126" s="21"/>
      <c r="AE126" s="21"/>
      <c r="AF126" s="21"/>
      <c r="AG126" s="21"/>
      <c r="AH126" s="23">
        <v>8.0</v>
      </c>
    </row>
    <row r="127" ht="30.0" customHeight="1">
      <c r="B127" s="20" t="s">
        <v>187</v>
      </c>
      <c r="C127" s="22"/>
      <c r="D127" s="21"/>
      <c r="E127" s="21"/>
      <c r="F127" s="21"/>
      <c r="G127" s="10" t="s">
        <v>6</v>
      </c>
      <c r="H127" s="21"/>
      <c r="I127" s="22"/>
      <c r="J127" s="10" t="s">
        <v>6</v>
      </c>
      <c r="K127" s="21"/>
      <c r="L127" s="21"/>
      <c r="M127" s="21"/>
      <c r="N127" s="21"/>
      <c r="O127" s="21"/>
      <c r="P127" s="21"/>
      <c r="Q127" s="10" t="s">
        <v>6</v>
      </c>
      <c r="R127" s="21"/>
      <c r="S127" s="21"/>
      <c r="T127" s="21"/>
      <c r="U127" s="21"/>
      <c r="V127" s="21"/>
      <c r="W127" s="21"/>
      <c r="X127" s="10" t="s">
        <v>6</v>
      </c>
      <c r="Y127" s="21"/>
      <c r="Z127" s="21"/>
      <c r="AA127" s="21"/>
      <c r="AB127" s="21"/>
      <c r="AC127" s="21"/>
      <c r="AD127" s="21"/>
      <c r="AE127" s="10" t="s">
        <v>6</v>
      </c>
      <c r="AF127" s="21"/>
      <c r="AG127" s="21"/>
      <c r="AH127" s="23">
        <v>5.0</v>
      </c>
    </row>
    <row r="128" ht="30.0" customHeight="1">
      <c r="B128" s="20" t="s">
        <v>138</v>
      </c>
      <c r="C128" s="21"/>
      <c r="D128" s="21"/>
      <c r="E128" s="21"/>
      <c r="F128" s="22"/>
      <c r="G128" s="22"/>
      <c r="H128" s="22"/>
      <c r="I128" s="10" t="s">
        <v>6</v>
      </c>
      <c r="J128" s="10" t="s">
        <v>6</v>
      </c>
      <c r="K128" s="21"/>
      <c r="L128" s="21"/>
      <c r="M128" s="22"/>
      <c r="N128" s="10" t="s">
        <v>6</v>
      </c>
      <c r="O128" s="21"/>
      <c r="P128" s="22"/>
      <c r="Q128" s="21"/>
      <c r="R128" s="21"/>
      <c r="S128" s="21"/>
      <c r="T128" s="22"/>
      <c r="U128" s="21"/>
      <c r="V128" s="21"/>
      <c r="W128" s="22"/>
      <c r="X128" s="21"/>
      <c r="Y128" s="21"/>
      <c r="Z128" s="21"/>
      <c r="AA128" s="22"/>
      <c r="AB128" s="21"/>
      <c r="AC128" s="21"/>
      <c r="AD128" s="10" t="s">
        <v>6</v>
      </c>
      <c r="AE128" s="21"/>
      <c r="AF128" s="21"/>
      <c r="AG128" s="21"/>
      <c r="AH128" s="91"/>
    </row>
    <row r="129" ht="30.0" customHeight="1">
      <c r="B129" s="86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2"/>
      <c r="AB129" s="21"/>
      <c r="AC129" s="21"/>
      <c r="AD129" s="21"/>
      <c r="AE129" s="21"/>
      <c r="AF129" s="21"/>
      <c r="AG129" s="21"/>
      <c r="AH129" s="91"/>
    </row>
    <row r="130" ht="30.0" customHeight="1">
      <c r="B130" s="86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91"/>
    </row>
    <row r="131" ht="30.0" customHeight="1">
      <c r="B131" s="86"/>
      <c r="C131" s="21"/>
      <c r="D131" s="22"/>
      <c r="E131" s="21"/>
      <c r="F131" s="21"/>
      <c r="G131" s="21"/>
      <c r="H131" s="21"/>
      <c r="I131" s="21"/>
      <c r="J131" s="21"/>
      <c r="K131" s="22"/>
      <c r="L131" s="21"/>
      <c r="M131" s="21"/>
      <c r="N131" s="21"/>
      <c r="O131" s="21"/>
      <c r="P131" s="22"/>
      <c r="Q131" s="21"/>
      <c r="R131" s="21"/>
      <c r="S131" s="21"/>
      <c r="T131" s="21"/>
      <c r="U131" s="21"/>
      <c r="V131" s="21"/>
      <c r="W131" s="21"/>
      <c r="X131" s="21"/>
      <c r="Y131" s="22"/>
      <c r="Z131" s="21"/>
      <c r="AA131" s="21"/>
      <c r="AB131" s="21"/>
      <c r="AC131" s="21"/>
      <c r="AD131" s="21"/>
      <c r="AE131" s="21"/>
      <c r="AF131" s="21"/>
      <c r="AG131" s="21"/>
      <c r="AH131" s="91"/>
    </row>
    <row r="132" ht="30.0" customHeight="1">
      <c r="B132" s="86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91"/>
    </row>
    <row r="133" ht="30.0" customHeight="1">
      <c r="B133" s="86"/>
      <c r="C133" s="22"/>
      <c r="D133" s="22"/>
      <c r="E133" s="21"/>
      <c r="F133" s="21"/>
      <c r="G133" s="21"/>
      <c r="H133" s="21"/>
      <c r="I133" s="21"/>
      <c r="J133" s="21"/>
      <c r="K133" s="21"/>
      <c r="L133" s="21"/>
      <c r="M133" s="22"/>
      <c r="N133" s="21"/>
      <c r="O133" s="21"/>
      <c r="P133" s="22"/>
      <c r="Q133" s="21"/>
      <c r="R133" s="21"/>
      <c r="S133" s="21"/>
      <c r="T133" s="22"/>
      <c r="U133" s="21"/>
      <c r="V133" s="21"/>
      <c r="W133" s="22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91"/>
    </row>
    <row r="134" ht="30.0" customHeight="1">
      <c r="B134" s="26" t="str">
        <f>Marzo!MonthName&amp;" Total"</f>
        <v>Marzo Total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91"/>
    </row>
    <row r="135" ht="30.0" customHeight="1"/>
    <row r="136" ht="30.0" customHeight="1">
      <c r="B136" s="32" t="s">
        <v>200</v>
      </c>
      <c r="C136" s="80" t="s">
        <v>188</v>
      </c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</row>
    <row r="137" ht="30.0" customHeight="1">
      <c r="B137" s="32"/>
      <c r="C137" s="16" t="str">
        <f>TEXT(WEEKDAY(DATE(CalendarioAño,3,1),1),"ddd")</f>
        <v>sáb</v>
      </c>
      <c r="D137" s="16" t="str">
        <f>TEXT(WEEKDAY(DATE(CalendarioAño,3,2),1),"ddd")</f>
        <v>dom</v>
      </c>
      <c r="E137" s="16" t="str">
        <f>TEXT(WEEKDAY(DATE(CalendarioAño,3,3),1),"ddd")</f>
        <v>lun</v>
      </c>
      <c r="F137" s="16" t="str">
        <f>TEXT(WEEKDAY(DATE(CalendarioAño,3,4),1),"ddd")</f>
        <v>mar</v>
      </c>
      <c r="G137" s="16" t="str">
        <f>TEXT(WEEKDAY(DATE(CalendarioAño,3,5),1),"ddd")</f>
        <v>mié</v>
      </c>
      <c r="H137" s="16" t="str">
        <f>TEXT(WEEKDAY(DATE(CalendarioAño,3,6),1),"ddd")</f>
        <v>jue</v>
      </c>
      <c r="I137" s="16" t="str">
        <f>TEXT(WEEKDAY(DATE(CalendarioAño,3,7),1),"ddd")</f>
        <v>vie</v>
      </c>
      <c r="J137" s="16" t="str">
        <f>TEXT(WEEKDAY(DATE(CalendarioAño,3,8),1),"ddd")</f>
        <v>sáb</v>
      </c>
      <c r="K137" s="16" t="str">
        <f>TEXT(WEEKDAY(DATE(CalendarioAño,3,9),1),"ddd")</f>
        <v>dom</v>
      </c>
      <c r="L137" s="16" t="str">
        <f>TEXT(WEEKDAY(DATE(CalendarioAño,3,10),1),"ddd")</f>
        <v>lun</v>
      </c>
      <c r="M137" s="16" t="str">
        <f>TEXT(WEEKDAY(DATE(CalendarioAño,3,11),1),"ddd")</f>
        <v>mar</v>
      </c>
      <c r="N137" s="16" t="str">
        <f>TEXT(WEEKDAY(DATE(CalendarioAño,3,12),1),"ddd")</f>
        <v>mié</v>
      </c>
      <c r="O137" s="16" t="str">
        <f>TEXT(WEEKDAY(DATE(CalendarioAño,3,13),1),"ddd")</f>
        <v>jue</v>
      </c>
      <c r="P137" s="16" t="str">
        <f>TEXT(WEEKDAY(DATE(CalendarioAño,3,14),1),"ddd")</f>
        <v>vie</v>
      </c>
      <c r="Q137" s="16" t="str">
        <f>TEXT(WEEKDAY(DATE(CalendarioAño,3,15),1),"ddd")</f>
        <v>sáb</v>
      </c>
      <c r="R137" s="16" t="str">
        <f>TEXT(WEEKDAY(DATE(CalendarioAño,3,16),1),"ddd")</f>
        <v>dom</v>
      </c>
      <c r="S137" s="16" t="str">
        <f>TEXT(WEEKDAY(DATE(CalendarioAño,3,17),1),"ddd")</f>
        <v>lun</v>
      </c>
      <c r="T137" s="16" t="str">
        <f>TEXT(WEEKDAY(DATE(CalendarioAño,3,18),1),"ddd")</f>
        <v>mar</v>
      </c>
      <c r="U137" s="16" t="str">
        <f>TEXT(WEEKDAY(DATE(CalendarioAño,3,19),1),"ddd")</f>
        <v>mié</v>
      </c>
      <c r="V137" s="16" t="str">
        <f>TEXT(WEEKDAY(DATE(CalendarioAño,3,20),1),"ddd")</f>
        <v>jue</v>
      </c>
      <c r="W137" s="16" t="str">
        <f>TEXT(WEEKDAY(DATE(CalendarioAño,3,21),1),"ddd")</f>
        <v>vie</v>
      </c>
      <c r="X137" s="16" t="str">
        <f>TEXT(WEEKDAY(DATE(CalendarioAño,3,22),1),"ddd")</f>
        <v>sáb</v>
      </c>
      <c r="Y137" s="16" t="str">
        <f>TEXT(WEEKDAY(DATE(CalendarioAño,3,23),1),"ddd")</f>
        <v>dom</v>
      </c>
      <c r="Z137" s="16" t="str">
        <f>TEXT(WEEKDAY(DATE(CalendarioAño,3,24),1),"ddd")</f>
        <v>lun</v>
      </c>
      <c r="AA137" s="16" t="str">
        <f>TEXT(WEEKDAY(DATE(CalendarioAño,3,25),1),"ddd")</f>
        <v>mar</v>
      </c>
      <c r="AB137" s="16" t="str">
        <f>TEXT(WEEKDAY(DATE(CalendarioAño,3,26),1),"ddd")</f>
        <v>mié</v>
      </c>
      <c r="AC137" s="16" t="str">
        <f>TEXT(WEEKDAY(DATE(CalendarioAño,3,27),1),"ddd")</f>
        <v>jue</v>
      </c>
      <c r="AD137" s="16" t="str">
        <f>TEXT(WEEKDAY(DATE(CalendarioAño,3,28),1),"ddd")</f>
        <v>vie</v>
      </c>
      <c r="AE137" s="16" t="str">
        <f>TEXT(WEEKDAY(DATE(CalendarioAño,3,29),1),"ddd")</f>
        <v>sáb</v>
      </c>
      <c r="AF137" s="16" t="str">
        <f>TEXT(WEEKDAY(DATE(CalendarioAño,3,30),1),"ddd")</f>
        <v>dom</v>
      </c>
      <c r="AG137" s="16" t="str">
        <f>TEXT(WEEKDAY(DATE(CalendarioAño,3,31),1),"ddd")</f>
        <v>lun</v>
      </c>
    </row>
    <row r="138" ht="30.0" customHeight="1">
      <c r="B138" s="33" t="s">
        <v>202</v>
      </c>
      <c r="C138" s="19" t="s">
        <v>15</v>
      </c>
      <c r="D138" s="19" t="s">
        <v>16</v>
      </c>
      <c r="E138" s="19" t="s">
        <v>17</v>
      </c>
      <c r="F138" s="19" t="s">
        <v>18</v>
      </c>
      <c r="G138" s="19" t="s">
        <v>19</v>
      </c>
      <c r="H138" s="19" t="s">
        <v>20</v>
      </c>
      <c r="I138" s="19" t="s">
        <v>21</v>
      </c>
      <c r="J138" s="19" t="s">
        <v>22</v>
      </c>
      <c r="K138" s="19" t="s">
        <v>23</v>
      </c>
      <c r="L138" s="19" t="s">
        <v>24</v>
      </c>
      <c r="M138" s="19" t="s">
        <v>25</v>
      </c>
      <c r="N138" s="19" t="s">
        <v>26</v>
      </c>
      <c r="O138" s="19" t="s">
        <v>27</v>
      </c>
      <c r="P138" s="19" t="s">
        <v>28</v>
      </c>
      <c r="Q138" s="19" t="s">
        <v>29</v>
      </c>
      <c r="R138" s="19" t="s">
        <v>30</v>
      </c>
      <c r="S138" s="19" t="s">
        <v>31</v>
      </c>
      <c r="T138" s="19" t="s">
        <v>32</v>
      </c>
      <c r="U138" s="19" t="s">
        <v>33</v>
      </c>
      <c r="V138" s="19" t="s">
        <v>34</v>
      </c>
      <c r="W138" s="19" t="s">
        <v>35</v>
      </c>
      <c r="X138" s="19" t="s">
        <v>36</v>
      </c>
      <c r="Y138" s="19" t="s">
        <v>37</v>
      </c>
      <c r="Z138" s="19" t="s">
        <v>38</v>
      </c>
      <c r="AA138" s="19" t="s">
        <v>39</v>
      </c>
      <c r="AB138" s="19" t="s">
        <v>40</v>
      </c>
      <c r="AC138" s="19" t="s">
        <v>41</v>
      </c>
      <c r="AD138" s="19" t="s">
        <v>42</v>
      </c>
      <c r="AE138" s="19" t="s">
        <v>43</v>
      </c>
      <c r="AF138" s="19" t="s">
        <v>44</v>
      </c>
      <c r="AG138" s="19" t="s">
        <v>45</v>
      </c>
      <c r="AH138" s="90"/>
    </row>
    <row r="139" ht="30.0" customHeight="1">
      <c r="B139" s="20" t="s">
        <v>143</v>
      </c>
      <c r="C139" s="21"/>
      <c r="D139" s="21"/>
      <c r="E139" s="21"/>
      <c r="F139" s="21"/>
      <c r="G139" s="22"/>
      <c r="H139" s="21"/>
      <c r="I139" s="10" t="s">
        <v>6</v>
      </c>
      <c r="J139" s="10" t="s">
        <v>6</v>
      </c>
      <c r="K139" s="21"/>
      <c r="L139" s="21"/>
      <c r="M139" s="21"/>
      <c r="N139" s="22"/>
      <c r="O139" s="21"/>
      <c r="P139" s="10" t="s">
        <v>6</v>
      </c>
      <c r="Q139" s="10" t="s">
        <v>6</v>
      </c>
      <c r="R139" s="21"/>
      <c r="S139" s="21"/>
      <c r="T139" s="21"/>
      <c r="U139" s="22"/>
      <c r="V139" s="21"/>
      <c r="W139" s="10" t="s">
        <v>6</v>
      </c>
      <c r="X139" s="21"/>
      <c r="Y139" s="21"/>
      <c r="Z139" s="21"/>
      <c r="AA139" s="21"/>
      <c r="AB139" s="22"/>
      <c r="AC139" s="21"/>
      <c r="AD139" s="10" t="s">
        <v>6</v>
      </c>
      <c r="AE139" s="21"/>
      <c r="AF139" s="21"/>
      <c r="AG139" s="21"/>
      <c r="AH139" s="23">
        <v>6.0</v>
      </c>
    </row>
    <row r="140" ht="30.0" customHeight="1">
      <c r="B140" s="20" t="s">
        <v>147</v>
      </c>
      <c r="C140" s="21"/>
      <c r="D140" s="21"/>
      <c r="E140" s="21"/>
      <c r="F140" s="21"/>
      <c r="G140" s="22"/>
      <c r="H140" s="21"/>
      <c r="I140" s="22"/>
      <c r="J140" s="10" t="s">
        <v>6</v>
      </c>
      <c r="K140" s="21"/>
      <c r="L140" s="21"/>
      <c r="M140" s="21"/>
      <c r="N140" s="21"/>
      <c r="O140" s="21"/>
      <c r="P140" s="10" t="s">
        <v>6</v>
      </c>
      <c r="Q140" s="21"/>
      <c r="R140" s="21"/>
      <c r="S140" s="21"/>
      <c r="T140" s="21"/>
      <c r="U140" s="10" t="s">
        <v>6</v>
      </c>
      <c r="V140" s="21"/>
      <c r="W140" s="10" t="s">
        <v>6</v>
      </c>
      <c r="X140" s="21"/>
      <c r="Y140" s="21"/>
      <c r="Z140" s="10" t="s">
        <v>6</v>
      </c>
      <c r="AA140" s="21"/>
      <c r="AB140" s="21"/>
      <c r="AC140" s="21"/>
      <c r="AD140" s="21"/>
      <c r="AE140" s="10" t="s">
        <v>6</v>
      </c>
      <c r="AF140" s="21"/>
      <c r="AG140" s="21"/>
      <c r="AH140" s="91"/>
    </row>
    <row r="141" ht="30.0" customHeight="1">
      <c r="B141" s="20" t="s">
        <v>189</v>
      </c>
      <c r="C141" s="22"/>
      <c r="D141" s="21"/>
      <c r="E141" s="21"/>
      <c r="F141" s="21"/>
      <c r="G141" s="22"/>
      <c r="H141" s="21"/>
      <c r="I141" s="22"/>
      <c r="J141" s="21"/>
      <c r="K141" s="21"/>
      <c r="L141" s="21"/>
      <c r="M141" s="21"/>
      <c r="N141" s="10" t="s">
        <v>6</v>
      </c>
      <c r="O141" s="21"/>
      <c r="P141" s="10" t="s">
        <v>6</v>
      </c>
      <c r="Q141" s="21"/>
      <c r="R141" s="21"/>
      <c r="S141" s="21"/>
      <c r="T141" s="21"/>
      <c r="U141" s="21"/>
      <c r="V141" s="21"/>
      <c r="W141" s="10" t="s">
        <v>6</v>
      </c>
      <c r="X141" s="21"/>
      <c r="Y141" s="21"/>
      <c r="Z141" s="21"/>
      <c r="AA141" s="21"/>
      <c r="AB141" s="10" t="s">
        <v>6</v>
      </c>
      <c r="AC141" s="21"/>
      <c r="AD141" s="21"/>
      <c r="AE141" s="21"/>
      <c r="AF141" s="21"/>
      <c r="AG141" s="21"/>
      <c r="AH141" s="23">
        <v>4.0</v>
      </c>
    </row>
    <row r="142" ht="30.0" customHeight="1">
      <c r="B142" s="86"/>
      <c r="C142" s="21"/>
      <c r="D142" s="21"/>
      <c r="E142" s="21"/>
      <c r="F142" s="22"/>
      <c r="G142" s="22"/>
      <c r="H142" s="22"/>
      <c r="I142" s="21"/>
      <c r="J142" s="21"/>
      <c r="K142" s="21"/>
      <c r="L142" s="21"/>
      <c r="M142" s="22"/>
      <c r="N142" s="22"/>
      <c r="O142" s="21"/>
      <c r="P142" s="22"/>
      <c r="Q142" s="21"/>
      <c r="R142" s="21"/>
      <c r="S142" s="21"/>
      <c r="T142" s="22"/>
      <c r="U142" s="21"/>
      <c r="V142" s="21"/>
      <c r="W142" s="22"/>
      <c r="X142" s="21"/>
      <c r="Y142" s="21"/>
      <c r="Z142" s="21"/>
      <c r="AA142" s="22"/>
      <c r="AB142" s="21"/>
      <c r="AC142" s="21"/>
      <c r="AD142" s="21"/>
      <c r="AE142" s="21"/>
      <c r="AF142" s="21"/>
      <c r="AG142" s="21"/>
      <c r="AH142" s="91"/>
    </row>
    <row r="143" ht="30.0" customHeight="1">
      <c r="B143" s="86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2"/>
      <c r="AB143" s="21"/>
      <c r="AC143" s="21"/>
      <c r="AD143" s="21"/>
      <c r="AE143" s="21"/>
      <c r="AF143" s="21"/>
      <c r="AG143" s="21"/>
      <c r="AH143" s="91"/>
    </row>
    <row r="144" ht="30.0" customHeight="1">
      <c r="B144" s="86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91"/>
    </row>
    <row r="145" ht="30.0" customHeight="1">
      <c r="B145" s="86"/>
      <c r="C145" s="21"/>
      <c r="D145" s="22"/>
      <c r="E145" s="21"/>
      <c r="F145" s="21"/>
      <c r="G145" s="21"/>
      <c r="H145" s="21"/>
      <c r="I145" s="21"/>
      <c r="J145" s="21"/>
      <c r="K145" s="22"/>
      <c r="L145" s="21"/>
      <c r="M145" s="21"/>
      <c r="N145" s="21"/>
      <c r="O145" s="21"/>
      <c r="P145" s="22"/>
      <c r="Q145" s="21"/>
      <c r="R145" s="21"/>
      <c r="S145" s="21"/>
      <c r="T145" s="21"/>
      <c r="U145" s="21"/>
      <c r="V145" s="21"/>
      <c r="W145" s="21"/>
      <c r="X145" s="21"/>
      <c r="Y145" s="22"/>
      <c r="Z145" s="21"/>
      <c r="AA145" s="21"/>
      <c r="AB145" s="21"/>
      <c r="AC145" s="21"/>
      <c r="AD145" s="21"/>
      <c r="AE145" s="21"/>
      <c r="AF145" s="21"/>
      <c r="AG145" s="21"/>
      <c r="AH145" s="91"/>
    </row>
    <row r="146" ht="30.0" customHeight="1">
      <c r="B146" s="86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91"/>
    </row>
    <row r="147" ht="30.0" customHeight="1">
      <c r="B147" s="86"/>
      <c r="C147" s="22"/>
      <c r="D147" s="22"/>
      <c r="E147" s="21"/>
      <c r="F147" s="21"/>
      <c r="G147" s="21"/>
      <c r="H147" s="21"/>
      <c r="I147" s="21"/>
      <c r="J147" s="21"/>
      <c r="K147" s="21"/>
      <c r="L147" s="21"/>
      <c r="M147" s="22"/>
      <c r="N147" s="21"/>
      <c r="O147" s="21"/>
      <c r="P147" s="22"/>
      <c r="Q147" s="21"/>
      <c r="R147" s="21"/>
      <c r="S147" s="21"/>
      <c r="T147" s="22"/>
      <c r="U147" s="21"/>
      <c r="V147" s="21"/>
      <c r="W147" s="22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91"/>
    </row>
    <row r="148" ht="30.0" customHeight="1">
      <c r="B148" s="26" t="str">
        <f>Marzo!MonthName&amp;" Total"</f>
        <v>Marzo Total</v>
      </c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91"/>
    </row>
    <row r="149" ht="30.0" customHeight="1"/>
    <row r="150" ht="30.0" customHeight="1">
      <c r="B150" s="32" t="s">
        <v>200</v>
      </c>
      <c r="C150" s="80" t="s">
        <v>190</v>
      </c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</row>
    <row r="151" ht="30.0" customHeight="1">
      <c r="B151" s="32"/>
      <c r="C151" s="16" t="str">
        <f>TEXT(WEEKDAY(DATE(CalendarioAño,3,1),1),"ddd")</f>
        <v>sáb</v>
      </c>
      <c r="D151" s="16" t="str">
        <f>TEXT(WEEKDAY(DATE(CalendarioAño,3,2),1),"ddd")</f>
        <v>dom</v>
      </c>
      <c r="E151" s="16" t="str">
        <f>TEXT(WEEKDAY(DATE(CalendarioAño,3,3),1),"ddd")</f>
        <v>lun</v>
      </c>
      <c r="F151" s="16" t="str">
        <f>TEXT(WEEKDAY(DATE(CalendarioAño,3,4),1),"ddd")</f>
        <v>mar</v>
      </c>
      <c r="G151" s="16" t="str">
        <f>TEXT(WEEKDAY(DATE(CalendarioAño,3,5),1),"ddd")</f>
        <v>mié</v>
      </c>
      <c r="H151" s="16" t="str">
        <f>TEXT(WEEKDAY(DATE(CalendarioAño,3,6),1),"ddd")</f>
        <v>jue</v>
      </c>
      <c r="I151" s="16" t="str">
        <f>TEXT(WEEKDAY(DATE(CalendarioAño,3,7),1),"ddd")</f>
        <v>vie</v>
      </c>
      <c r="J151" s="16" t="str">
        <f>TEXT(WEEKDAY(DATE(CalendarioAño,3,8),1),"ddd")</f>
        <v>sáb</v>
      </c>
      <c r="K151" s="16" t="str">
        <f>TEXT(WEEKDAY(DATE(CalendarioAño,3,9),1),"ddd")</f>
        <v>dom</v>
      </c>
      <c r="L151" s="16" t="str">
        <f>TEXT(WEEKDAY(DATE(CalendarioAño,3,10),1),"ddd")</f>
        <v>lun</v>
      </c>
      <c r="M151" s="16" t="str">
        <f>TEXT(WEEKDAY(DATE(CalendarioAño,3,11),1),"ddd")</f>
        <v>mar</v>
      </c>
      <c r="N151" s="16" t="str">
        <f>TEXT(WEEKDAY(DATE(CalendarioAño,3,12),1),"ddd")</f>
        <v>mié</v>
      </c>
      <c r="O151" s="16" t="str">
        <f>TEXT(WEEKDAY(DATE(CalendarioAño,3,13),1),"ddd")</f>
        <v>jue</v>
      </c>
      <c r="P151" s="16" t="str">
        <f>TEXT(WEEKDAY(DATE(CalendarioAño,3,14),1),"ddd")</f>
        <v>vie</v>
      </c>
      <c r="Q151" s="16" t="str">
        <f>TEXT(WEEKDAY(DATE(CalendarioAño,3,15),1),"ddd")</f>
        <v>sáb</v>
      </c>
      <c r="R151" s="16" t="str">
        <f>TEXT(WEEKDAY(DATE(CalendarioAño,3,16),1),"ddd")</f>
        <v>dom</v>
      </c>
      <c r="S151" s="16" t="str">
        <f>TEXT(WEEKDAY(DATE(CalendarioAño,3,17),1),"ddd")</f>
        <v>lun</v>
      </c>
      <c r="T151" s="16" t="str">
        <f>TEXT(WEEKDAY(DATE(CalendarioAño,3,18),1),"ddd")</f>
        <v>mar</v>
      </c>
      <c r="U151" s="16" t="str">
        <f>TEXT(WEEKDAY(DATE(CalendarioAño,3,19),1),"ddd")</f>
        <v>mié</v>
      </c>
      <c r="V151" s="16" t="str">
        <f>TEXT(WEEKDAY(DATE(CalendarioAño,3,20),1),"ddd")</f>
        <v>jue</v>
      </c>
      <c r="W151" s="16" t="str">
        <f>TEXT(WEEKDAY(DATE(CalendarioAño,3,21),1),"ddd")</f>
        <v>vie</v>
      </c>
      <c r="X151" s="16" t="str">
        <f>TEXT(WEEKDAY(DATE(CalendarioAño,3,22),1),"ddd")</f>
        <v>sáb</v>
      </c>
      <c r="Y151" s="16" t="str">
        <f>TEXT(WEEKDAY(DATE(CalendarioAño,3,23),1),"ddd")</f>
        <v>dom</v>
      </c>
      <c r="Z151" s="16" t="str">
        <f>TEXT(WEEKDAY(DATE(CalendarioAño,3,24),1),"ddd")</f>
        <v>lun</v>
      </c>
      <c r="AA151" s="16" t="str">
        <f>TEXT(WEEKDAY(DATE(CalendarioAño,3,25),1),"ddd")</f>
        <v>mar</v>
      </c>
      <c r="AB151" s="16" t="str">
        <f>TEXT(WEEKDAY(DATE(CalendarioAño,3,26),1),"ddd")</f>
        <v>mié</v>
      </c>
      <c r="AC151" s="16" t="str">
        <f>TEXT(WEEKDAY(DATE(CalendarioAño,3,27),1),"ddd")</f>
        <v>jue</v>
      </c>
      <c r="AD151" s="16" t="str">
        <f>TEXT(WEEKDAY(DATE(CalendarioAño,3,28),1),"ddd")</f>
        <v>vie</v>
      </c>
      <c r="AE151" s="16" t="str">
        <f>TEXT(WEEKDAY(DATE(CalendarioAño,3,29),1),"ddd")</f>
        <v>sáb</v>
      </c>
      <c r="AF151" s="16" t="str">
        <f>TEXT(WEEKDAY(DATE(CalendarioAño,3,30),1),"ddd")</f>
        <v>dom</v>
      </c>
      <c r="AG151" s="16" t="str">
        <f>TEXT(WEEKDAY(DATE(CalendarioAño,3,31),1),"ddd")</f>
        <v>lun</v>
      </c>
    </row>
    <row r="152" ht="30.0" customHeight="1">
      <c r="B152" s="33" t="s">
        <v>202</v>
      </c>
      <c r="C152" s="19" t="s">
        <v>15</v>
      </c>
      <c r="D152" s="19" t="s">
        <v>16</v>
      </c>
      <c r="E152" s="19" t="s">
        <v>17</v>
      </c>
      <c r="F152" s="19" t="s">
        <v>18</v>
      </c>
      <c r="G152" s="19" t="s">
        <v>19</v>
      </c>
      <c r="H152" s="19" t="s">
        <v>20</v>
      </c>
      <c r="I152" s="19" t="s">
        <v>21</v>
      </c>
      <c r="J152" s="19" t="s">
        <v>22</v>
      </c>
      <c r="K152" s="19" t="s">
        <v>23</v>
      </c>
      <c r="L152" s="19" t="s">
        <v>24</v>
      </c>
      <c r="M152" s="19" t="s">
        <v>25</v>
      </c>
      <c r="N152" s="19" t="s">
        <v>26</v>
      </c>
      <c r="O152" s="19" t="s">
        <v>27</v>
      </c>
      <c r="P152" s="19" t="s">
        <v>28</v>
      </c>
      <c r="Q152" s="19" t="s">
        <v>29</v>
      </c>
      <c r="R152" s="19" t="s">
        <v>30</v>
      </c>
      <c r="S152" s="19" t="s">
        <v>31</v>
      </c>
      <c r="T152" s="19" t="s">
        <v>32</v>
      </c>
      <c r="U152" s="19" t="s">
        <v>33</v>
      </c>
      <c r="V152" s="19" t="s">
        <v>34</v>
      </c>
      <c r="W152" s="19" t="s">
        <v>35</v>
      </c>
      <c r="X152" s="19" t="s">
        <v>36</v>
      </c>
      <c r="Y152" s="19" t="s">
        <v>37</v>
      </c>
      <c r="Z152" s="19" t="s">
        <v>38</v>
      </c>
      <c r="AA152" s="19" t="s">
        <v>39</v>
      </c>
      <c r="AB152" s="19" t="s">
        <v>40</v>
      </c>
      <c r="AC152" s="19" t="s">
        <v>41</v>
      </c>
      <c r="AD152" s="19" t="s">
        <v>42</v>
      </c>
      <c r="AE152" s="19" t="s">
        <v>43</v>
      </c>
      <c r="AF152" s="19" t="s">
        <v>44</v>
      </c>
      <c r="AG152" s="19" t="s">
        <v>45</v>
      </c>
    </row>
    <row r="153" ht="30.0" customHeight="1">
      <c r="B153" s="20" t="s">
        <v>149</v>
      </c>
      <c r="C153" s="21"/>
      <c r="D153" s="21"/>
      <c r="E153" s="21"/>
      <c r="F153" s="10" t="s">
        <v>6</v>
      </c>
      <c r="G153" s="22"/>
      <c r="H153" s="10" t="s">
        <v>6</v>
      </c>
      <c r="I153" s="22"/>
      <c r="J153" s="21"/>
      <c r="K153" s="21"/>
      <c r="L153" s="21"/>
      <c r="M153" s="21"/>
      <c r="N153" s="22"/>
      <c r="O153" s="21"/>
      <c r="P153" s="21"/>
      <c r="Q153" s="10" t="s">
        <v>6</v>
      </c>
      <c r="R153" s="21"/>
      <c r="S153" s="21"/>
      <c r="T153" s="10" t="s">
        <v>6</v>
      </c>
      <c r="U153" s="22"/>
      <c r="V153" s="10" t="s">
        <v>6</v>
      </c>
      <c r="W153" s="22"/>
      <c r="X153" s="21"/>
      <c r="Y153" s="21"/>
      <c r="Z153" s="21"/>
      <c r="AA153" s="10" t="s">
        <v>6</v>
      </c>
      <c r="AB153" s="22"/>
      <c r="AC153" s="10" t="s">
        <v>6</v>
      </c>
      <c r="AD153" s="21"/>
      <c r="AE153" s="21"/>
      <c r="AF153" s="21"/>
      <c r="AG153" s="21"/>
    </row>
    <row r="154" ht="30.0" customHeight="1">
      <c r="B154" s="20" t="s">
        <v>150</v>
      </c>
      <c r="C154" s="21"/>
      <c r="D154" s="21"/>
      <c r="E154" s="21"/>
      <c r="F154" s="10" t="s">
        <v>6</v>
      </c>
      <c r="G154" s="22"/>
      <c r="H154" s="10" t="s">
        <v>6</v>
      </c>
      <c r="I154" s="22"/>
      <c r="J154" s="10" t="s">
        <v>6</v>
      </c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2"/>
      <c r="V154" s="21"/>
      <c r="W154" s="22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ht="30.0" customHeight="1">
      <c r="B155" s="20" t="s">
        <v>191</v>
      </c>
      <c r="C155" s="22"/>
      <c r="D155" s="21"/>
      <c r="E155" s="21"/>
      <c r="F155" s="10" t="s">
        <v>6</v>
      </c>
      <c r="G155" s="22"/>
      <c r="H155" s="21"/>
      <c r="I155" s="22"/>
      <c r="J155" s="10" t="s">
        <v>6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10" t="s">
        <v>6</v>
      </c>
      <c r="AB155" s="21"/>
      <c r="AC155" s="21"/>
      <c r="AD155" s="21"/>
      <c r="AE155" s="21"/>
      <c r="AF155" s="21"/>
      <c r="AG155" s="21"/>
    </row>
    <row r="156" ht="30.0" customHeight="1">
      <c r="B156" s="20" t="s">
        <v>152</v>
      </c>
      <c r="C156" s="21"/>
      <c r="D156" s="21"/>
      <c r="E156" s="21"/>
      <c r="F156" s="22"/>
      <c r="G156" s="22"/>
      <c r="H156" s="22"/>
      <c r="I156" s="21"/>
      <c r="J156" s="10" t="s">
        <v>6</v>
      </c>
      <c r="K156" s="21"/>
      <c r="L156" s="21"/>
      <c r="M156" s="22"/>
      <c r="N156" s="22"/>
      <c r="O156" s="21"/>
      <c r="P156" s="22"/>
      <c r="Q156" s="10" t="s">
        <v>6</v>
      </c>
      <c r="R156" s="21"/>
      <c r="S156" s="21"/>
      <c r="T156" s="22"/>
      <c r="U156" s="21"/>
      <c r="V156" s="21"/>
      <c r="W156" s="22"/>
      <c r="X156" s="21"/>
      <c r="Y156" s="21"/>
      <c r="Z156" s="21"/>
      <c r="AA156" s="22"/>
      <c r="AB156" s="21"/>
      <c r="AC156" s="21"/>
      <c r="AD156" s="21"/>
      <c r="AE156" s="10" t="s">
        <v>6</v>
      </c>
      <c r="AF156" s="21"/>
      <c r="AG156" s="21"/>
    </row>
    <row r="157" ht="30.0" customHeight="1">
      <c r="B157" s="86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2"/>
      <c r="AB157" s="21"/>
      <c r="AC157" s="21"/>
      <c r="AD157" s="21"/>
      <c r="AE157" s="21"/>
      <c r="AF157" s="21"/>
      <c r="AG157" s="21"/>
    </row>
    <row r="158" ht="30.0" customHeight="1">
      <c r="B158" s="86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ht="30.0" customHeight="1">
      <c r="B159" s="86"/>
      <c r="C159" s="21"/>
      <c r="D159" s="22"/>
      <c r="E159" s="21"/>
      <c r="F159" s="21"/>
      <c r="G159" s="21"/>
      <c r="H159" s="21"/>
      <c r="I159" s="21"/>
      <c r="J159" s="21"/>
      <c r="K159" s="22"/>
      <c r="L159" s="21"/>
      <c r="M159" s="21"/>
      <c r="N159" s="21"/>
      <c r="O159" s="21"/>
      <c r="P159" s="22"/>
      <c r="Q159" s="21"/>
      <c r="R159" s="21"/>
      <c r="S159" s="21"/>
      <c r="T159" s="21"/>
      <c r="U159" s="21"/>
      <c r="V159" s="21"/>
      <c r="W159" s="21"/>
      <c r="X159" s="21"/>
      <c r="Y159" s="22"/>
      <c r="Z159" s="21"/>
      <c r="AA159" s="21"/>
      <c r="AB159" s="21"/>
      <c r="AC159" s="21"/>
      <c r="AD159" s="21"/>
      <c r="AE159" s="21"/>
      <c r="AF159" s="21"/>
      <c r="AG159" s="21"/>
    </row>
    <row r="160" ht="30.0" customHeight="1">
      <c r="B160" s="86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ht="30.0" customHeight="1">
      <c r="B161" s="86"/>
      <c r="C161" s="22"/>
      <c r="D161" s="22"/>
      <c r="E161" s="21"/>
      <c r="F161" s="21"/>
      <c r="G161" s="21"/>
      <c r="H161" s="21"/>
      <c r="I161" s="21"/>
      <c r="J161" s="21"/>
      <c r="K161" s="21"/>
      <c r="L161" s="21"/>
      <c r="M161" s="22"/>
      <c r="N161" s="21"/>
      <c r="O161" s="21"/>
      <c r="P161" s="22"/>
      <c r="Q161" s="21"/>
      <c r="R161" s="21"/>
      <c r="S161" s="21"/>
      <c r="T161" s="22"/>
      <c r="U161" s="21"/>
      <c r="V161" s="21"/>
      <c r="W161" s="22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ht="30.0" customHeight="1">
      <c r="B162" s="26" t="str">
        <f>Marzo!MonthName&amp;" Total"</f>
        <v>Marzo Total</v>
      </c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</row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</sheetData>
  <mergeCells count="15">
    <mergeCell ref="C18:AG18"/>
    <mergeCell ref="C33:AG33"/>
    <mergeCell ref="C53:AG53"/>
    <mergeCell ref="C79:AG79"/>
    <mergeCell ref="C108:AG108"/>
    <mergeCell ref="C122:AG122"/>
    <mergeCell ref="C136:AG136"/>
    <mergeCell ref="C150:AG150"/>
    <mergeCell ref="B1:N1"/>
    <mergeCell ref="D2:F2"/>
    <mergeCell ref="H2:J2"/>
    <mergeCell ref="L2:N2"/>
    <mergeCell ref="P2:S2"/>
    <mergeCell ref="U2:X2"/>
    <mergeCell ref="C4:AG4"/>
  </mergeCells>
  <conditionalFormatting sqref="C7:E15 G7:I15 K7:W15 Y7:Z15 AB7:AD15 AF7:AG15 F8:F15 J8:J15 X8:X15 AA8:AA15 AE8:AE15 C21:E30 G21:G22 H21 I21:I24 K21:K30 L21:L25 M21:M30 N21:N27 O21:W30 Y21:Y30 Z21:AA21 AB21:AC30 AD21:AE22 AF21:AF30 AG21:AG22 J22:J25 X22 F23:F30 H23:H24 Z23:Z30 G24:G26 X24:X30 AA24:AA27 AD24:AD30 AE24 AG24:AG30 I26 AE26:AE30 H27:H30 J27 L27:L30 G28:G30 I28:I30 J29:J30 N29:N30 AA29:AA30 C36:E50 G36:G38 I36:I42 J36:J37 K36:K50 L36:L37 M36:W50 X36 Y36:Y50 Z36:Z39 AB36:AB39 AC36:AD50 AE36 AF36:AG50 AA37 H38 AE38:AE41 F39:F50 J39:J41 X39:X41 L40:L50 AA40 G41:G50 Z41:Z50 AB41:AB47 AA42:AA45 H43:H50 J43:J50 X43 AE43 I44:I50 X46:X47 AA48:AA50 X49:X50 AB49:AB50 AE49:AE50 C56:E76 G56:G63 I56 J56:J67 K56:K76 L56:L64 M56:M59 N56:N63 O56:O58 P56:Y76 Z56:Z69 AB56:AB67 AC56:AC76 AD56:AD62 AE56:AE67 AF56:AG76 H57 I58:I63 AA58 AA60:AA62 F61 H62 M62:M69 O62 F64:F76 H64 O64:O66 AA64:AA66 AD64:AD74 H66:I66 L66:L76 N66:N67 G67:G76 H68:I76 O68:O70 AA68:AA69 N69:N76 AB69:AB76 AE69:AE71 J70:J76 M71:M76 Z71:Z76 AA71:AA74 O72:O76 AE74:AE76 AA76 AD76 C82:E105 G82:G87 I82:I90 J82:J89 K82:K105 L82:L83 N82:N83 O82 P82:Y105 Z82:Z85 AB82 AC82:AC105 AD82 AE82:AE90 AF82:AG105 AA83:AA84 H84 M84 O84 AD84:AD86 N85:N87 AB85:AB96 L86:L92 H87:H89 O87:O88 Z87:Z90 F88:F105 M88 AA88:AA101 AD88 N89:N90 G90:G105 M90 O90:O105 AD90:AD93 J91:J93 I92 M92:M96 N92:N105 Z92 AE92:AE93 H93:H105 I94:I105 L94:L97 Z94:Z105 AD95:AD97 J97:J105 M98:M105 AB98:AB101 L99:L105 AD99:AD101 AE99 AE101:AE105 AA103:AA105 AB104:AB105 AD104:AD105 C111:E119 G111:G115 H111 I111:I112 J111:K119 L111:L112 M111 N111:N113 O111 P111:Y119 Z111:Z113 AA111 AB111:AB113 AC111:AC119 AD111:AD112 AE111:AG119 H113 M113:M119 O113 AA113:AA119 I114 AD114:AD119 F115:F119 H115:H119 L115:L116 N115 O115:O116 Z115:Z116 AB115 G117:G119 I117:I119 N117:N119 AB117 L118:L119 O118:O119 Z119 AB119 C125:E133 G125:G133 I125:I127 J125:L133 N125:W133 X125:X126 Y125:Z133 AC125:AC133 AD125:AD127 AE125:AE126 AF125:AG133 M126:M133 AB126:AB133 F127:F133 H127:H133 AA127:AA133 X128:X133 AE128:AE133 I129:I133 AD129:AD133 C139:H147 J139:Y147 Z139 AA139:AA147 AB139:AB140 AC139:AC147 AE139 AF139:AG147 I140:I147 AD140:AD147 Z141:Z147 AE141:AE147 AB142:AB147 C153:E161 G153:G161 I153:P161 R153:Z161 AB153:AD161 AE153:AE155 AF153:AG161 Q154:Q155 AA154 H155:H161 F156:F161 AA156:AA161 Q157:Q161 AE157:AE161">
    <cfRule type="expression" dxfId="5" priority="1" stopIfTrue="1">
      <formula>C7=""</formula>
    </cfRule>
  </conditionalFormatting>
  <conditionalFormatting sqref="A19:AH19">
    <cfRule type="notContainsBlanks" dxfId="6" priority="2">
      <formula>LEN(TRIM(A19))&gt;0</formula>
    </cfRule>
  </conditionalFormatting>
  <dataValidations>
    <dataValidation type="list" allowBlank="1" showErrorMessage="1" sqref="B26:B29 B36 B42 B48 B69:B71 B75 B86 B103 B117:B118">
      <formula1>'Nombres de los alumnos '!$B$4:$B$1019</formula1>
    </dataValidation>
    <dataValidation type="list" allowBlank="1" showErrorMessage="1" sqref="B7:B15 B21:B25 B30 B37:B41 B43:B47 B49:B50 B56:B68 B72:B74 B76 B82:B85 B87:B102 B104:B105 B111:B116 B119 B125:B133 B139:B147 B153:B161">
      <formula1>'Nombres de los alumnos '!$B$4:$B$131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C79C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197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2" t="s">
        <v>218</v>
      </c>
      <c r="C4" s="80" t="s">
        <v>201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32">
        <f>CalendarioAño</f>
        <v>2025</v>
      </c>
    </row>
    <row r="5" ht="15.0" customHeight="1">
      <c r="B5" s="32"/>
      <c r="C5" s="16" t="str">
        <f>TEXT(WEEKDAY(DATE(CalendarioAño,4,1),1),"ddd")</f>
        <v>mar</v>
      </c>
      <c r="D5" s="16" t="str">
        <f>TEXT(WEEKDAY(DATE(CalendarioAño,4,2),1),"ddd")</f>
        <v>mié</v>
      </c>
      <c r="E5" s="16" t="str">
        <f>TEXT(WEEKDAY(DATE(CalendarioAño,4,3),1),"ddd")</f>
        <v>jue</v>
      </c>
      <c r="F5" s="16" t="str">
        <f>TEXT(WEEKDAY(DATE(CalendarioAño,4,4),1),"ddd")</f>
        <v>vie</v>
      </c>
      <c r="G5" s="16" t="str">
        <f>TEXT(WEEKDAY(DATE(CalendarioAño,4,5),1),"ddd")</f>
        <v>sáb</v>
      </c>
      <c r="H5" s="16" t="str">
        <f>TEXT(WEEKDAY(DATE(CalendarioAño,4,6),1),"ddd")</f>
        <v>dom</v>
      </c>
      <c r="I5" s="16" t="str">
        <f>TEXT(WEEKDAY(DATE(CalendarioAño,4,7),1),"ddd")</f>
        <v>lun</v>
      </c>
      <c r="J5" s="16" t="str">
        <f>TEXT(WEEKDAY(DATE(CalendarioAño,4,8),1),"ddd")</f>
        <v>mar</v>
      </c>
      <c r="K5" s="16" t="str">
        <f>TEXT(WEEKDAY(DATE(CalendarioAño,4,9),1),"ddd")</f>
        <v>mié</v>
      </c>
      <c r="L5" s="16" t="str">
        <f>TEXT(WEEKDAY(DATE(CalendarioAño,4,10),1),"ddd")</f>
        <v>jue</v>
      </c>
      <c r="M5" s="16" t="str">
        <f>TEXT(WEEKDAY(DATE(CalendarioAño,4,11),1),"ddd")</f>
        <v>vie</v>
      </c>
      <c r="N5" s="16" t="str">
        <f>TEXT(WEEKDAY(DATE(CalendarioAño,4,12),1),"ddd")</f>
        <v>sáb</v>
      </c>
      <c r="O5" s="16" t="str">
        <f>TEXT(WEEKDAY(DATE(CalendarioAño,4,13),1),"ddd")</f>
        <v>dom</v>
      </c>
      <c r="P5" s="16" t="str">
        <f>TEXT(WEEKDAY(DATE(CalendarioAño,4,14),1),"ddd")</f>
        <v>lun</v>
      </c>
      <c r="Q5" s="16" t="str">
        <f>TEXT(WEEKDAY(DATE(CalendarioAño,4,15),1),"ddd")</f>
        <v>mar</v>
      </c>
      <c r="R5" s="16" t="str">
        <f>TEXT(WEEKDAY(DATE(CalendarioAño,4,16),1),"ddd")</f>
        <v>mié</v>
      </c>
      <c r="S5" s="16" t="str">
        <f>TEXT(WEEKDAY(DATE(CalendarioAño,4,17),1),"ddd")</f>
        <v>jue</v>
      </c>
      <c r="T5" s="16" t="str">
        <f>TEXT(WEEKDAY(DATE(CalendarioAño,4,18),1),"ddd")</f>
        <v>vie</v>
      </c>
      <c r="U5" s="16" t="str">
        <f>TEXT(WEEKDAY(DATE(CalendarioAño,4,19),1),"ddd")</f>
        <v>sáb</v>
      </c>
      <c r="V5" s="16" t="str">
        <f>TEXT(WEEKDAY(DATE(CalendarioAño,4,20),1),"ddd")</f>
        <v>dom</v>
      </c>
      <c r="W5" s="16" t="str">
        <f>TEXT(WEEKDAY(DATE(CalendarioAño,4,21),1),"ddd")</f>
        <v>lun</v>
      </c>
      <c r="X5" s="16" t="str">
        <f>TEXT(WEEKDAY(DATE(CalendarioAño,4,22),1),"ddd")</f>
        <v>mar</v>
      </c>
      <c r="Y5" s="16" t="str">
        <f>TEXT(WEEKDAY(DATE(CalendarioAño,4,23),1),"ddd")</f>
        <v>mié</v>
      </c>
      <c r="Z5" s="16" t="str">
        <f>TEXT(WEEKDAY(DATE(CalendarioAño,4,24),1),"ddd")</f>
        <v>jue</v>
      </c>
      <c r="AA5" s="16" t="str">
        <f>TEXT(WEEKDAY(DATE(CalendarioAño,4,25),1),"ddd")</f>
        <v>vie</v>
      </c>
      <c r="AB5" s="16" t="str">
        <f>TEXT(WEEKDAY(DATE(CalendarioAño,4,26),1),"ddd")</f>
        <v>sáb</v>
      </c>
      <c r="AC5" s="16" t="str">
        <f>TEXT(WEEKDAY(DATE(CalendarioAño,4,27),1),"ddd")</f>
        <v>dom</v>
      </c>
      <c r="AD5" s="16" t="str">
        <f>TEXT(WEEKDAY(DATE(CalendarioAño,4,28),1),"ddd")</f>
        <v>lun</v>
      </c>
      <c r="AE5" s="16" t="str">
        <f>TEXT(WEEKDAY(DATE(CalendarioAño,4,29),1),"ddd")</f>
        <v>mar</v>
      </c>
      <c r="AF5" s="16" t="str">
        <f>TEXT(WEEKDAY(DATE(CalendarioAño,4,30),1),"ddd")</f>
        <v>mié</v>
      </c>
      <c r="AG5" s="16"/>
      <c r="AH5" s="32"/>
    </row>
    <row r="6" ht="15.0" customHeight="1">
      <c r="A6" s="17"/>
      <c r="B6" s="33" t="s">
        <v>219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96" t="s">
        <v>89</v>
      </c>
      <c r="AH6" s="19" t="s">
        <v>220</v>
      </c>
    </row>
    <row r="7" ht="30.0" customHeight="1">
      <c r="B7" s="47" t="s">
        <v>221</v>
      </c>
      <c r="C7" s="21"/>
      <c r="D7" s="21"/>
      <c r="E7" s="21"/>
      <c r="F7" s="21"/>
      <c r="G7" s="21"/>
      <c r="H7" s="21"/>
      <c r="I7" s="21"/>
      <c r="J7" s="10" t="s">
        <v>6</v>
      </c>
      <c r="K7" s="21"/>
      <c r="L7" s="21"/>
      <c r="M7" s="21"/>
      <c r="N7" s="21"/>
      <c r="O7" s="21"/>
      <c r="P7" s="21"/>
      <c r="Q7" s="10" t="s">
        <v>6</v>
      </c>
      <c r="R7" s="97"/>
      <c r="S7" s="97"/>
      <c r="T7" s="97"/>
      <c r="U7" s="97"/>
      <c r="V7" s="21"/>
      <c r="W7" s="21"/>
      <c r="X7" s="10" t="s">
        <v>6</v>
      </c>
      <c r="Y7" s="21"/>
      <c r="Z7" s="10" t="s">
        <v>6</v>
      </c>
      <c r="AA7" s="21"/>
      <c r="AB7" s="21"/>
      <c r="AC7" s="21"/>
      <c r="AD7" s="41"/>
      <c r="AE7" s="10" t="s">
        <v>6</v>
      </c>
      <c r="AF7" s="21"/>
      <c r="AG7" s="21"/>
      <c r="AH7" s="25"/>
    </row>
    <row r="8" ht="30.0" customHeight="1">
      <c r="B8" s="86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5"/>
    </row>
    <row r="9" ht="30.0" customHeight="1">
      <c r="B9" s="86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5"/>
    </row>
    <row r="10" ht="30.0" customHeight="1">
      <c r="B10" s="8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5"/>
    </row>
    <row r="12" ht="30.0" customHeight="1">
      <c r="B12" s="86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5"/>
    </row>
    <row r="13" ht="30.0" customHeight="1">
      <c r="B13" s="86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5"/>
    </row>
    <row r="14" ht="30.0" customHeight="1">
      <c r="B14" s="86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5"/>
    </row>
    <row r="15" ht="30.0" customHeight="1">
      <c r="B15" s="86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5"/>
    </row>
    <row r="16" ht="30.0" customHeight="1">
      <c r="B16" s="86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5"/>
    </row>
    <row r="17" ht="30.0" customHeight="1">
      <c r="B17" s="86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5"/>
    </row>
    <row r="18" ht="30.0" customHeight="1">
      <c r="B18" s="86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5"/>
    </row>
    <row r="19" ht="30.0" customHeight="1">
      <c r="B19" s="26" t="str">
        <f>Abril!MonthName&amp;" Total"</f>
        <v>Abril Total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>
        <f>SUM(C19:AG19)</f>
        <v>0</v>
      </c>
    </row>
    <row r="20" ht="30.0" customHeight="1"/>
    <row r="21" ht="30.0" customHeight="1">
      <c r="B21" s="32" t="s">
        <v>218</v>
      </c>
      <c r="C21" s="80" t="s">
        <v>204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</row>
    <row r="22" ht="30.0" customHeight="1">
      <c r="B22" s="32"/>
      <c r="C22" s="16" t="str">
        <f>TEXT(WEEKDAY(DATE(CalendarioAño,4,1),1),"ddd")</f>
        <v>mar</v>
      </c>
      <c r="D22" s="16" t="str">
        <f>TEXT(WEEKDAY(DATE(CalendarioAño,4,2),1),"ddd")</f>
        <v>mié</v>
      </c>
      <c r="E22" s="16" t="str">
        <f>TEXT(WEEKDAY(DATE(CalendarioAño,4,3),1),"ddd")</f>
        <v>jue</v>
      </c>
      <c r="F22" s="16" t="str">
        <f>TEXT(WEEKDAY(DATE(CalendarioAño,4,4),1),"ddd")</f>
        <v>vie</v>
      </c>
      <c r="G22" s="16" t="str">
        <f>TEXT(WEEKDAY(DATE(CalendarioAño,4,5),1),"ddd")</f>
        <v>sáb</v>
      </c>
      <c r="H22" s="16" t="str">
        <f>TEXT(WEEKDAY(DATE(CalendarioAño,4,6),1),"ddd")</f>
        <v>dom</v>
      </c>
      <c r="I22" s="16" t="str">
        <f>TEXT(WEEKDAY(DATE(CalendarioAño,4,7),1),"ddd")</f>
        <v>lun</v>
      </c>
      <c r="J22" s="16" t="str">
        <f>TEXT(WEEKDAY(DATE(CalendarioAño,4,8),1),"ddd")</f>
        <v>mar</v>
      </c>
      <c r="K22" s="16" t="str">
        <f>TEXT(WEEKDAY(DATE(CalendarioAño,4,9),1),"ddd")</f>
        <v>mié</v>
      </c>
      <c r="L22" s="16" t="str">
        <f>TEXT(WEEKDAY(DATE(CalendarioAño,4,10),1),"ddd")</f>
        <v>jue</v>
      </c>
      <c r="M22" s="16" t="str">
        <f>TEXT(WEEKDAY(DATE(CalendarioAño,4,11),1),"ddd")</f>
        <v>vie</v>
      </c>
      <c r="N22" s="16" t="str">
        <f>TEXT(WEEKDAY(DATE(CalendarioAño,4,12),1),"ddd")</f>
        <v>sáb</v>
      </c>
      <c r="O22" s="16" t="str">
        <f>TEXT(WEEKDAY(DATE(CalendarioAño,4,13),1),"ddd")</f>
        <v>dom</v>
      </c>
      <c r="P22" s="16" t="str">
        <f>TEXT(WEEKDAY(DATE(CalendarioAño,4,14),1),"ddd")</f>
        <v>lun</v>
      </c>
      <c r="Q22" s="16" t="str">
        <f>TEXT(WEEKDAY(DATE(CalendarioAño,4,15),1),"ddd")</f>
        <v>mar</v>
      </c>
      <c r="R22" s="16" t="str">
        <f>TEXT(WEEKDAY(DATE(CalendarioAño,4,16),1),"ddd")</f>
        <v>mié</v>
      </c>
      <c r="S22" s="16" t="str">
        <f>TEXT(WEEKDAY(DATE(CalendarioAño,4,17),1),"ddd")</f>
        <v>jue</v>
      </c>
      <c r="T22" s="16" t="str">
        <f>TEXT(WEEKDAY(DATE(CalendarioAño,4,18),1),"ddd")</f>
        <v>vie</v>
      </c>
      <c r="U22" s="16" t="str">
        <f>TEXT(WEEKDAY(DATE(CalendarioAño,4,19),1),"ddd")</f>
        <v>sáb</v>
      </c>
      <c r="V22" s="16" t="str">
        <f>TEXT(WEEKDAY(DATE(CalendarioAño,4,20),1),"ddd")</f>
        <v>dom</v>
      </c>
      <c r="W22" s="16" t="str">
        <f>TEXT(WEEKDAY(DATE(CalendarioAño,4,21),1),"ddd")</f>
        <v>lun</v>
      </c>
      <c r="X22" s="16" t="str">
        <f>TEXT(WEEKDAY(DATE(CalendarioAño,4,22),1),"ddd")</f>
        <v>mar</v>
      </c>
      <c r="Y22" s="16" t="str">
        <f>TEXT(WEEKDAY(DATE(CalendarioAño,4,23),1),"ddd")</f>
        <v>mié</v>
      </c>
      <c r="Z22" s="16" t="str">
        <f>TEXT(WEEKDAY(DATE(CalendarioAño,4,24),1),"ddd")</f>
        <v>jue</v>
      </c>
      <c r="AA22" s="16" t="str">
        <f>TEXT(WEEKDAY(DATE(CalendarioAño,4,25),1),"ddd")</f>
        <v>vie</v>
      </c>
      <c r="AB22" s="16" t="str">
        <f>TEXT(WEEKDAY(DATE(CalendarioAño,4,26),1),"ddd")</f>
        <v>sáb</v>
      </c>
      <c r="AC22" s="16" t="str">
        <f>TEXT(WEEKDAY(DATE(CalendarioAño,4,27),1),"ddd")</f>
        <v>dom</v>
      </c>
      <c r="AD22" s="16" t="str">
        <f>TEXT(WEEKDAY(DATE(CalendarioAño,4,28),1),"ddd")</f>
        <v>lun</v>
      </c>
      <c r="AE22" s="16" t="str">
        <f>TEXT(WEEKDAY(DATE(CalendarioAño,4,29),1),"ddd")</f>
        <v>mar</v>
      </c>
      <c r="AF22" s="16" t="str">
        <f>TEXT(WEEKDAY(DATE(CalendarioAño,4,30),1),"ddd")</f>
        <v>mié</v>
      </c>
      <c r="AG22" s="16"/>
    </row>
    <row r="23" ht="30.0" customHeight="1">
      <c r="B23" s="33" t="s">
        <v>219</v>
      </c>
      <c r="C23" s="19" t="s">
        <v>15</v>
      </c>
      <c r="D23" s="19" t="s">
        <v>16</v>
      </c>
      <c r="E23" s="19" t="s">
        <v>17</v>
      </c>
      <c r="F23" s="19" t="s">
        <v>18</v>
      </c>
      <c r="G23" s="19" t="s">
        <v>19</v>
      </c>
      <c r="H23" s="19" t="s">
        <v>20</v>
      </c>
      <c r="I23" s="19" t="s">
        <v>21</v>
      </c>
      <c r="J23" s="19" t="s">
        <v>22</v>
      </c>
      <c r="K23" s="19" t="s">
        <v>23</v>
      </c>
      <c r="L23" s="19" t="s">
        <v>24</v>
      </c>
      <c r="M23" s="19" t="s">
        <v>25</v>
      </c>
      <c r="N23" s="19" t="s">
        <v>26</v>
      </c>
      <c r="O23" s="19" t="s">
        <v>27</v>
      </c>
      <c r="P23" s="19" t="s">
        <v>28</v>
      </c>
      <c r="Q23" s="19" t="s">
        <v>29</v>
      </c>
      <c r="R23" s="19" t="s">
        <v>30</v>
      </c>
      <c r="S23" s="19" t="s">
        <v>31</v>
      </c>
      <c r="T23" s="19" t="s">
        <v>32</v>
      </c>
      <c r="U23" s="19" t="s">
        <v>33</v>
      </c>
      <c r="V23" s="19" t="s">
        <v>34</v>
      </c>
      <c r="W23" s="19" t="s">
        <v>35</v>
      </c>
      <c r="X23" s="19" t="s">
        <v>36</v>
      </c>
      <c r="Y23" s="19" t="s">
        <v>37</v>
      </c>
      <c r="Z23" s="19" t="s">
        <v>38</v>
      </c>
      <c r="AA23" s="19" t="s">
        <v>39</v>
      </c>
      <c r="AB23" s="19" t="s">
        <v>40</v>
      </c>
      <c r="AC23" s="19" t="s">
        <v>41</v>
      </c>
      <c r="AD23" s="19" t="s">
        <v>42</v>
      </c>
      <c r="AE23" s="19" t="s">
        <v>43</v>
      </c>
      <c r="AF23" s="19" t="s">
        <v>44</v>
      </c>
      <c r="AG23" s="96" t="s">
        <v>89</v>
      </c>
      <c r="AH23" s="98"/>
    </row>
    <row r="24" ht="30.0" customHeight="1">
      <c r="B24" s="20" t="s">
        <v>48</v>
      </c>
      <c r="C24" s="10" t="s">
        <v>6</v>
      </c>
      <c r="D24" s="21"/>
      <c r="E24" s="21"/>
      <c r="F24" s="21"/>
      <c r="G24" s="97"/>
      <c r="H24" s="21"/>
      <c r="I24" s="21"/>
      <c r="J24" s="10" t="s">
        <v>6</v>
      </c>
      <c r="K24" s="21"/>
      <c r="L24" s="21"/>
      <c r="M24" s="21"/>
      <c r="N24" s="21"/>
      <c r="O24" s="21"/>
      <c r="P24" s="21"/>
      <c r="Q24" s="10" t="s">
        <v>6</v>
      </c>
      <c r="R24" s="97"/>
      <c r="S24" s="97"/>
      <c r="T24" s="97"/>
      <c r="U24" s="97"/>
      <c r="V24" s="21"/>
      <c r="W24" s="21"/>
      <c r="X24" s="10" t="s">
        <v>6</v>
      </c>
      <c r="Y24" s="21"/>
      <c r="Z24" s="21"/>
      <c r="AA24" s="21"/>
      <c r="AB24" s="10" t="s">
        <v>6</v>
      </c>
      <c r="AC24" s="21"/>
      <c r="AD24" s="10" t="s">
        <v>6</v>
      </c>
      <c r="AE24" s="21"/>
      <c r="AF24" s="21"/>
      <c r="AG24" s="21"/>
      <c r="AH24" s="23">
        <v>4.0</v>
      </c>
    </row>
    <row r="25" ht="30.0" customHeight="1">
      <c r="B25" s="20" t="s">
        <v>47</v>
      </c>
      <c r="C25" s="10" t="s">
        <v>6</v>
      </c>
      <c r="D25" s="21"/>
      <c r="E25" s="21"/>
      <c r="F25" s="21"/>
      <c r="G25" s="97"/>
      <c r="H25" s="21"/>
      <c r="I25" s="21"/>
      <c r="J25" s="21"/>
      <c r="K25" s="21"/>
      <c r="L25" s="21"/>
      <c r="M25" s="21"/>
      <c r="N25" s="10" t="s">
        <v>6</v>
      </c>
      <c r="O25" s="21"/>
      <c r="P25" s="21"/>
      <c r="Q25" s="21"/>
      <c r="R25" s="97"/>
      <c r="S25" s="97"/>
      <c r="T25" s="97"/>
      <c r="U25" s="97"/>
      <c r="V25" s="21"/>
      <c r="W25" s="10" t="s">
        <v>6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91"/>
    </row>
    <row r="26" ht="30.0" customHeight="1">
      <c r="B26" s="20" t="s">
        <v>50</v>
      </c>
      <c r="C26" s="10" t="s">
        <v>6</v>
      </c>
      <c r="D26" s="21"/>
      <c r="E26" s="21"/>
      <c r="F26" s="21"/>
      <c r="G26" s="97"/>
      <c r="H26" s="21"/>
      <c r="I26" s="21"/>
      <c r="J26" s="10" t="s">
        <v>6</v>
      </c>
      <c r="K26" s="21"/>
      <c r="L26" s="21"/>
      <c r="M26" s="21"/>
      <c r="N26" s="21"/>
      <c r="O26" s="21"/>
      <c r="P26" s="21"/>
      <c r="Q26" s="21"/>
      <c r="R26" s="97"/>
      <c r="S26" s="97"/>
      <c r="T26" s="97"/>
      <c r="U26" s="97"/>
      <c r="V26" s="21"/>
      <c r="W26" s="21"/>
      <c r="X26" s="10" t="s">
        <v>6</v>
      </c>
      <c r="Y26" s="21"/>
      <c r="Z26" s="21"/>
      <c r="AA26" s="21"/>
      <c r="AB26" s="83" t="s">
        <v>174</v>
      </c>
      <c r="AC26" s="21"/>
      <c r="AD26" s="21"/>
      <c r="AE26" s="10" t="s">
        <v>6</v>
      </c>
      <c r="AF26" s="21"/>
      <c r="AG26" s="21"/>
      <c r="AH26" s="91"/>
    </row>
    <row r="27" ht="30.0" customHeight="1">
      <c r="B27" s="47" t="s">
        <v>205</v>
      </c>
      <c r="C27" s="21"/>
      <c r="D27" s="21"/>
      <c r="E27" s="10" t="s">
        <v>6</v>
      </c>
      <c r="F27" s="10" t="s">
        <v>6</v>
      </c>
      <c r="G27" s="97"/>
      <c r="H27" s="21"/>
      <c r="I27" s="21"/>
      <c r="J27" s="10" t="s">
        <v>6</v>
      </c>
      <c r="K27" s="21"/>
      <c r="L27" s="21"/>
      <c r="M27" s="21"/>
      <c r="N27" s="10" t="s">
        <v>6</v>
      </c>
      <c r="O27" s="21"/>
      <c r="P27" s="21"/>
      <c r="Q27" s="10" t="s">
        <v>6</v>
      </c>
      <c r="R27" s="97"/>
      <c r="S27" s="97"/>
      <c r="T27" s="97"/>
      <c r="U27" s="97"/>
      <c r="V27" s="21"/>
      <c r="W27" s="21"/>
      <c r="X27" s="21"/>
      <c r="Y27" s="21"/>
      <c r="Z27" s="10" t="s">
        <v>6</v>
      </c>
      <c r="AA27" s="21"/>
      <c r="AB27" s="21"/>
      <c r="AC27" s="21"/>
      <c r="AD27" s="21"/>
      <c r="AE27" s="21"/>
      <c r="AF27" s="21"/>
      <c r="AG27" s="21"/>
      <c r="AH27" s="23">
        <v>6.0</v>
      </c>
    </row>
    <row r="28" ht="30.0" customHeight="1">
      <c r="B28" s="20" t="s">
        <v>208</v>
      </c>
      <c r="C28" s="21"/>
      <c r="D28" s="21"/>
      <c r="E28" s="21"/>
      <c r="F28" s="21"/>
      <c r="G28" s="97"/>
      <c r="H28" s="21"/>
      <c r="I28" s="21"/>
      <c r="J28" s="21"/>
      <c r="K28" s="21"/>
      <c r="L28" s="21"/>
      <c r="M28" s="21"/>
      <c r="N28" s="10" t="s">
        <v>6</v>
      </c>
      <c r="O28" s="21"/>
      <c r="P28" s="21"/>
      <c r="Q28" s="21"/>
      <c r="R28" s="97"/>
      <c r="S28" s="97"/>
      <c r="T28" s="97"/>
      <c r="U28" s="97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91"/>
    </row>
    <row r="29" ht="30.0" customHeight="1">
      <c r="B29" s="47" t="s">
        <v>222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97"/>
      <c r="S29" s="97"/>
      <c r="T29" s="97"/>
      <c r="U29" s="97"/>
      <c r="V29" s="21"/>
      <c r="W29" s="21"/>
      <c r="X29" s="10" t="s">
        <v>6</v>
      </c>
      <c r="Y29" s="21"/>
      <c r="Z29" s="21"/>
      <c r="AA29" s="21"/>
      <c r="AB29" s="21"/>
      <c r="AC29" s="21"/>
      <c r="AD29" s="21"/>
      <c r="AE29" s="21"/>
      <c r="AF29" s="21"/>
      <c r="AG29" s="21"/>
      <c r="AH29" s="91"/>
    </row>
    <row r="30" ht="30.0" customHeight="1">
      <c r="B30" s="86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91"/>
    </row>
    <row r="31" ht="30.0" customHeight="1">
      <c r="B31" s="86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91"/>
    </row>
    <row r="32" ht="30.0" customHeight="1">
      <c r="B32" s="86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91"/>
    </row>
    <row r="33" ht="30.0" customHeight="1">
      <c r="B33" s="86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91"/>
    </row>
    <row r="34" ht="30.0" customHeight="1">
      <c r="B34" s="86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91"/>
    </row>
    <row r="35" ht="30.0" customHeight="1">
      <c r="B35" s="86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91"/>
    </row>
    <row r="36" ht="30.0" customHeight="1">
      <c r="B36" s="26" t="str">
        <f>Abril!MonthName&amp;" Total"</f>
        <v>Abril Total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91"/>
    </row>
    <row r="37" ht="30.0" customHeight="1"/>
    <row r="38" ht="30.0" customHeight="1">
      <c r="B38" s="49" t="s">
        <v>218</v>
      </c>
      <c r="C38" s="80" t="s">
        <v>170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</row>
    <row r="39" ht="30.0" customHeight="1">
      <c r="B39" s="51"/>
      <c r="C39" s="52" t="str">
        <f>TEXT(WEEKDAY(DATE(CalendarioAño,4,1),1),"ddd")</f>
        <v>mar</v>
      </c>
      <c r="D39" s="52" t="str">
        <f>TEXT(WEEKDAY(DATE(CalendarioAño,4,2),1),"ddd")</f>
        <v>mié</v>
      </c>
      <c r="E39" s="52" t="str">
        <f>TEXT(WEEKDAY(DATE(CalendarioAño,4,3),1),"ddd")</f>
        <v>jue</v>
      </c>
      <c r="F39" s="52" t="str">
        <f>TEXT(WEEKDAY(DATE(CalendarioAño,4,4),1),"ddd")</f>
        <v>vie</v>
      </c>
      <c r="G39" s="52" t="str">
        <f>TEXT(WEEKDAY(DATE(CalendarioAño,4,5),1),"ddd")</f>
        <v>sáb</v>
      </c>
      <c r="H39" s="52" t="str">
        <f>TEXT(WEEKDAY(DATE(CalendarioAño,4,6),1),"ddd")</f>
        <v>dom</v>
      </c>
      <c r="I39" s="52" t="str">
        <f>TEXT(WEEKDAY(DATE(CalendarioAño,4,7),1),"ddd")</f>
        <v>lun</v>
      </c>
      <c r="J39" s="52" t="str">
        <f>TEXT(WEEKDAY(DATE(CalendarioAño,4,8),1),"ddd")</f>
        <v>mar</v>
      </c>
      <c r="K39" s="52" t="str">
        <f>TEXT(WEEKDAY(DATE(CalendarioAño,4,9),1),"ddd")</f>
        <v>mié</v>
      </c>
      <c r="L39" s="52" t="str">
        <f>TEXT(WEEKDAY(DATE(CalendarioAño,4,10),1),"ddd")</f>
        <v>jue</v>
      </c>
      <c r="M39" s="52" t="str">
        <f>TEXT(WEEKDAY(DATE(CalendarioAño,4,11),1),"ddd")</f>
        <v>vie</v>
      </c>
      <c r="N39" s="52" t="str">
        <f>TEXT(WEEKDAY(DATE(CalendarioAño,4,12),1),"ddd")</f>
        <v>sáb</v>
      </c>
      <c r="O39" s="52" t="str">
        <f>TEXT(WEEKDAY(DATE(CalendarioAño,4,13),1),"ddd")</f>
        <v>dom</v>
      </c>
      <c r="P39" s="52" t="str">
        <f>TEXT(WEEKDAY(DATE(CalendarioAño,4,14),1),"ddd")</f>
        <v>lun</v>
      </c>
      <c r="Q39" s="52" t="str">
        <f>TEXT(WEEKDAY(DATE(CalendarioAño,4,15),1),"ddd")</f>
        <v>mar</v>
      </c>
      <c r="R39" s="52" t="str">
        <f>TEXT(WEEKDAY(DATE(CalendarioAño,4,16),1),"ddd")</f>
        <v>mié</v>
      </c>
      <c r="S39" s="52" t="str">
        <f>TEXT(WEEKDAY(DATE(CalendarioAño,4,17),1),"ddd")</f>
        <v>jue</v>
      </c>
      <c r="T39" s="52" t="str">
        <f>TEXT(WEEKDAY(DATE(CalendarioAño,4,18),1),"ddd")</f>
        <v>vie</v>
      </c>
      <c r="U39" s="52" t="str">
        <f>TEXT(WEEKDAY(DATE(CalendarioAño,4,19),1),"ddd")</f>
        <v>sáb</v>
      </c>
      <c r="V39" s="52" t="str">
        <f>TEXT(WEEKDAY(DATE(CalendarioAño,4,20),1),"ddd")</f>
        <v>dom</v>
      </c>
      <c r="W39" s="52" t="str">
        <f>TEXT(WEEKDAY(DATE(CalendarioAño,4,21),1),"ddd")</f>
        <v>lun</v>
      </c>
      <c r="X39" s="52" t="str">
        <f>TEXT(WEEKDAY(DATE(CalendarioAño,4,22),1),"ddd")</f>
        <v>mar</v>
      </c>
      <c r="Y39" s="52" t="str">
        <f>TEXT(WEEKDAY(DATE(CalendarioAño,4,23),1),"ddd")</f>
        <v>mié</v>
      </c>
      <c r="Z39" s="52" t="str">
        <f>TEXT(WEEKDAY(DATE(CalendarioAño,4,24),1),"ddd")</f>
        <v>jue</v>
      </c>
      <c r="AA39" s="52" t="str">
        <f>TEXT(WEEKDAY(DATE(CalendarioAño,4,25),1),"ddd")</f>
        <v>vie</v>
      </c>
      <c r="AB39" s="52" t="str">
        <f>TEXT(WEEKDAY(DATE(CalendarioAño,4,26),1),"ddd")</f>
        <v>sáb</v>
      </c>
      <c r="AC39" s="52" t="str">
        <f>TEXT(WEEKDAY(DATE(CalendarioAño,4,27),1),"ddd")</f>
        <v>dom</v>
      </c>
      <c r="AD39" s="52" t="str">
        <f>TEXT(WEEKDAY(DATE(CalendarioAño,4,28),1),"ddd")</f>
        <v>lun</v>
      </c>
      <c r="AE39" s="52" t="str">
        <f>TEXT(WEEKDAY(DATE(CalendarioAño,4,29),1),"ddd")</f>
        <v>mar</v>
      </c>
      <c r="AF39" s="52" t="str">
        <f>TEXT(WEEKDAY(DATE(CalendarioAño,4,30),1),"ddd")</f>
        <v>mié</v>
      </c>
      <c r="AG39" s="43"/>
    </row>
    <row r="40" ht="30.0" customHeight="1">
      <c r="B40" s="33" t="s">
        <v>219</v>
      </c>
      <c r="C40" s="19" t="s">
        <v>15</v>
      </c>
      <c r="D40" s="19" t="s">
        <v>16</v>
      </c>
      <c r="E40" s="19" t="s">
        <v>17</v>
      </c>
      <c r="F40" s="19" t="s">
        <v>18</v>
      </c>
      <c r="G40" s="19" t="s">
        <v>19</v>
      </c>
      <c r="H40" s="19" t="s">
        <v>20</v>
      </c>
      <c r="I40" s="19" t="s">
        <v>21</v>
      </c>
      <c r="J40" s="19" t="s">
        <v>22</v>
      </c>
      <c r="K40" s="19" t="s">
        <v>23</v>
      </c>
      <c r="L40" s="19" t="s">
        <v>24</v>
      </c>
      <c r="M40" s="19" t="s">
        <v>25</v>
      </c>
      <c r="N40" s="19" t="s">
        <v>26</v>
      </c>
      <c r="O40" s="19" t="s">
        <v>27</v>
      </c>
      <c r="P40" s="19" t="s">
        <v>28</v>
      </c>
      <c r="Q40" s="19" t="s">
        <v>29</v>
      </c>
      <c r="R40" s="19" t="s">
        <v>30</v>
      </c>
      <c r="S40" s="19" t="s">
        <v>31</v>
      </c>
      <c r="T40" s="19" t="s">
        <v>32</v>
      </c>
      <c r="U40" s="19" t="s">
        <v>33</v>
      </c>
      <c r="V40" s="19" t="s">
        <v>34</v>
      </c>
      <c r="W40" s="19" t="s">
        <v>35</v>
      </c>
      <c r="X40" s="19" t="s">
        <v>36</v>
      </c>
      <c r="Y40" s="19" t="s">
        <v>37</v>
      </c>
      <c r="Z40" s="19" t="s">
        <v>38</v>
      </c>
      <c r="AA40" s="19" t="s">
        <v>39</v>
      </c>
      <c r="AB40" s="19" t="s">
        <v>40</v>
      </c>
      <c r="AC40" s="19" t="s">
        <v>41</v>
      </c>
      <c r="AD40" s="19" t="s">
        <v>42</v>
      </c>
      <c r="AE40" s="19" t="s">
        <v>43</v>
      </c>
      <c r="AF40" s="19" t="s">
        <v>44</v>
      </c>
      <c r="AG40" s="96" t="s">
        <v>89</v>
      </c>
      <c r="AH40" s="98"/>
    </row>
    <row r="41" ht="30.0" customHeight="1">
      <c r="B41" s="57" t="s">
        <v>64</v>
      </c>
      <c r="C41" s="10" t="s">
        <v>6</v>
      </c>
      <c r="D41" s="58"/>
      <c r="E41" s="58"/>
      <c r="F41" s="58"/>
      <c r="G41" s="97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97"/>
      <c r="S41" s="97"/>
      <c r="T41" s="97"/>
      <c r="U41" s="97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</row>
    <row r="42" ht="30.0" customHeight="1">
      <c r="B42" s="60" t="s">
        <v>61</v>
      </c>
      <c r="C42" s="10" t="s">
        <v>6</v>
      </c>
      <c r="D42" s="61"/>
      <c r="E42" s="61"/>
      <c r="F42" s="10" t="s">
        <v>6</v>
      </c>
      <c r="G42" s="97"/>
      <c r="H42" s="61"/>
      <c r="I42" s="61"/>
      <c r="J42" s="10" t="s">
        <v>6</v>
      </c>
      <c r="K42" s="61"/>
      <c r="L42" s="61"/>
      <c r="M42" s="10" t="s">
        <v>6</v>
      </c>
      <c r="N42" s="61"/>
      <c r="O42" s="61"/>
      <c r="P42" s="61"/>
      <c r="Q42" s="61"/>
      <c r="R42" s="97"/>
      <c r="S42" s="97"/>
      <c r="T42" s="97"/>
      <c r="U42" s="97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</row>
    <row r="43" ht="30.0" customHeight="1">
      <c r="B43" s="20" t="s">
        <v>57</v>
      </c>
      <c r="C43" s="10" t="s">
        <v>6</v>
      </c>
      <c r="D43" s="58"/>
      <c r="E43" s="10" t="s">
        <v>6</v>
      </c>
      <c r="F43" s="58"/>
      <c r="G43" s="97"/>
      <c r="H43" s="58"/>
      <c r="I43" s="58"/>
      <c r="J43" s="10" t="s">
        <v>6</v>
      </c>
      <c r="K43" s="58"/>
      <c r="L43" s="58"/>
      <c r="M43" s="58"/>
      <c r="N43" s="58"/>
      <c r="O43" s="58"/>
      <c r="P43" s="58"/>
      <c r="Q43" s="10" t="s">
        <v>6</v>
      </c>
      <c r="R43" s="97"/>
      <c r="S43" s="97"/>
      <c r="T43" s="97"/>
      <c r="U43" s="97"/>
      <c r="V43" s="58"/>
      <c r="W43" s="58"/>
      <c r="X43" s="10" t="s">
        <v>6</v>
      </c>
      <c r="Y43" s="58"/>
      <c r="Z43" s="58"/>
      <c r="AA43" s="58"/>
      <c r="AB43" s="58"/>
      <c r="AC43" s="58"/>
      <c r="AD43" s="58"/>
      <c r="AE43" s="58"/>
      <c r="AF43" s="58"/>
      <c r="AG43" s="58"/>
      <c r="AH43" s="58"/>
    </row>
    <row r="44" ht="30.0" customHeight="1">
      <c r="B44" s="47" t="s">
        <v>206</v>
      </c>
      <c r="C44" s="61"/>
      <c r="D44" s="10" t="s">
        <v>6</v>
      </c>
      <c r="E44" s="61"/>
      <c r="F44" s="61"/>
      <c r="G44" s="97"/>
      <c r="H44" s="61"/>
      <c r="I44" s="61"/>
      <c r="J44" s="61"/>
      <c r="K44" s="61"/>
      <c r="L44" s="61"/>
      <c r="M44" s="61"/>
      <c r="N44" s="61"/>
      <c r="O44" s="61"/>
      <c r="P44" s="61"/>
      <c r="Q44" s="10" t="s">
        <v>6</v>
      </c>
      <c r="R44" s="97"/>
      <c r="S44" s="97"/>
      <c r="T44" s="97"/>
      <c r="U44" s="97"/>
      <c r="V44" s="61"/>
      <c r="W44" s="61"/>
      <c r="X44" s="10" t="s">
        <v>6</v>
      </c>
      <c r="Y44" s="61"/>
      <c r="Z44" s="61"/>
      <c r="AA44" s="61"/>
      <c r="AB44" s="61"/>
      <c r="AC44" s="61"/>
      <c r="AD44" s="61"/>
      <c r="AE44" s="61"/>
      <c r="AF44" s="61"/>
      <c r="AG44" s="61"/>
      <c r="AH44" s="61"/>
    </row>
    <row r="45" ht="30.0" customHeight="1">
      <c r="B45" s="47" t="s">
        <v>223</v>
      </c>
      <c r="C45" s="58"/>
      <c r="D45" s="10" t="s">
        <v>6</v>
      </c>
      <c r="E45" s="58"/>
      <c r="F45" s="58"/>
      <c r="G45" s="97"/>
      <c r="H45" s="58"/>
      <c r="I45" s="58"/>
      <c r="J45" s="10" t="s">
        <v>6</v>
      </c>
      <c r="K45" s="58"/>
      <c r="L45" s="58"/>
      <c r="M45" s="58"/>
      <c r="N45" s="10" t="s">
        <v>6</v>
      </c>
      <c r="O45" s="58"/>
      <c r="P45" s="58"/>
      <c r="Q45" s="58"/>
      <c r="R45" s="97"/>
      <c r="S45" s="97"/>
      <c r="T45" s="97"/>
      <c r="U45" s="97"/>
      <c r="V45" s="58"/>
      <c r="W45" s="58"/>
      <c r="X45" s="58"/>
      <c r="Y45" s="10" t="s">
        <v>6</v>
      </c>
      <c r="Z45" s="58"/>
      <c r="AA45" s="58"/>
      <c r="AB45" s="58"/>
      <c r="AC45" s="58"/>
      <c r="AD45" s="58"/>
      <c r="AE45" s="58"/>
      <c r="AF45" s="58"/>
      <c r="AG45" s="58"/>
      <c r="AH45" s="57">
        <v>4.0</v>
      </c>
    </row>
    <row r="46" ht="30.0" customHeight="1">
      <c r="B46" s="47" t="s">
        <v>207</v>
      </c>
      <c r="C46" s="61"/>
      <c r="D46" s="61"/>
      <c r="E46" s="10" t="s">
        <v>6</v>
      </c>
      <c r="F46" s="61"/>
      <c r="G46" s="97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97"/>
      <c r="S46" s="97"/>
      <c r="T46" s="97"/>
      <c r="U46" s="97"/>
      <c r="V46" s="61"/>
      <c r="W46" s="61"/>
      <c r="X46" s="61"/>
      <c r="Y46" s="61"/>
      <c r="Z46" s="10" t="s">
        <v>6</v>
      </c>
      <c r="AA46" s="61"/>
      <c r="AB46" s="61"/>
      <c r="AC46" s="61"/>
      <c r="AD46" s="61"/>
      <c r="AE46" s="61"/>
      <c r="AF46" s="10" t="s">
        <v>6</v>
      </c>
      <c r="AG46" s="61"/>
      <c r="AH46" s="60">
        <v>3.0</v>
      </c>
    </row>
    <row r="47" ht="30.0" customHeight="1">
      <c r="B47" s="47" t="s">
        <v>169</v>
      </c>
      <c r="C47" s="58"/>
      <c r="D47" s="58"/>
      <c r="E47" s="10" t="s">
        <v>6</v>
      </c>
      <c r="F47" s="10" t="s">
        <v>6</v>
      </c>
      <c r="G47" s="97"/>
      <c r="H47" s="58"/>
      <c r="I47" s="58"/>
      <c r="J47" s="10" t="s">
        <v>6</v>
      </c>
      <c r="K47" s="58"/>
      <c r="L47" s="58"/>
      <c r="M47" s="58"/>
      <c r="N47" s="58"/>
      <c r="O47" s="58"/>
      <c r="P47" s="58"/>
      <c r="Q47" s="10" t="s">
        <v>6</v>
      </c>
      <c r="R47" s="97"/>
      <c r="S47" s="97"/>
      <c r="T47" s="97"/>
      <c r="U47" s="97"/>
      <c r="V47" s="58"/>
      <c r="W47" s="58"/>
      <c r="X47" s="58"/>
      <c r="Y47" s="58"/>
      <c r="Z47" s="58"/>
      <c r="AA47" s="58"/>
      <c r="AB47" s="58"/>
      <c r="AC47" s="58"/>
      <c r="AD47" s="58"/>
      <c r="AE47" s="10" t="s">
        <v>6</v>
      </c>
      <c r="AF47" s="58"/>
      <c r="AG47" s="58"/>
      <c r="AH47" s="57">
        <v>5.0</v>
      </c>
    </row>
    <row r="48" ht="30.0" customHeight="1">
      <c r="B48" s="60" t="s">
        <v>167</v>
      </c>
      <c r="C48" s="61"/>
      <c r="D48" s="61"/>
      <c r="E48" s="61"/>
      <c r="F48" s="10" t="s">
        <v>6</v>
      </c>
      <c r="G48" s="97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97"/>
      <c r="S48" s="97"/>
      <c r="T48" s="97"/>
      <c r="U48" s="97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</row>
    <row r="49" ht="30.0" customHeight="1">
      <c r="B49" s="57" t="s">
        <v>168</v>
      </c>
      <c r="C49" s="58"/>
      <c r="D49" s="58"/>
      <c r="E49" s="58"/>
      <c r="F49" s="10" t="s">
        <v>6</v>
      </c>
      <c r="G49" s="97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97"/>
      <c r="S49" s="97"/>
      <c r="T49" s="97"/>
      <c r="U49" s="97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</row>
    <row r="50" ht="30.0" customHeight="1">
      <c r="B50" s="60" t="s">
        <v>83</v>
      </c>
      <c r="C50" s="61"/>
      <c r="D50" s="61"/>
      <c r="E50" s="61"/>
      <c r="F50" s="61"/>
      <c r="G50" s="97"/>
      <c r="H50" s="61"/>
      <c r="I50" s="83" t="s">
        <v>224</v>
      </c>
      <c r="J50" s="10" t="s">
        <v>6</v>
      </c>
      <c r="K50" s="61"/>
      <c r="L50" s="61"/>
      <c r="M50" s="61"/>
      <c r="N50" s="10" t="s">
        <v>6</v>
      </c>
      <c r="O50" s="61"/>
      <c r="P50" s="61"/>
      <c r="Q50" s="61"/>
      <c r="R50" s="97"/>
      <c r="S50" s="97"/>
      <c r="T50" s="97"/>
      <c r="U50" s="97"/>
      <c r="V50" s="61"/>
      <c r="W50" s="61"/>
      <c r="X50" s="10" t="s">
        <v>6</v>
      </c>
      <c r="Y50" s="58"/>
      <c r="Z50" s="10" t="s">
        <v>6</v>
      </c>
      <c r="AA50" s="61"/>
      <c r="AB50" s="61"/>
      <c r="AC50" s="61"/>
      <c r="AD50" s="61"/>
      <c r="AE50" s="61"/>
      <c r="AF50" s="10" t="s">
        <v>6</v>
      </c>
      <c r="AG50" s="61"/>
      <c r="AH50" s="61"/>
    </row>
    <row r="51" ht="30.0" customHeight="1">
      <c r="B51" s="20" t="s">
        <v>171</v>
      </c>
      <c r="C51" s="58"/>
      <c r="D51" s="58"/>
      <c r="E51" s="58"/>
      <c r="F51" s="58"/>
      <c r="G51" s="97"/>
      <c r="H51" s="58"/>
      <c r="I51" s="58"/>
      <c r="J51" s="58"/>
      <c r="K51" s="58"/>
      <c r="L51" s="58"/>
      <c r="M51" s="58"/>
      <c r="N51" s="10" t="s">
        <v>6</v>
      </c>
      <c r="O51" s="58"/>
      <c r="P51" s="58"/>
      <c r="Q51" s="58"/>
      <c r="R51" s="97"/>
      <c r="S51" s="97"/>
      <c r="T51" s="97"/>
      <c r="U51" s="97"/>
      <c r="V51" s="58"/>
      <c r="W51" s="58"/>
      <c r="X51" s="58"/>
      <c r="Y51" s="58"/>
      <c r="Z51" s="58"/>
      <c r="AA51" s="58"/>
      <c r="AB51" s="10" t="s">
        <v>6</v>
      </c>
      <c r="AC51" s="58"/>
      <c r="AD51" s="58"/>
      <c r="AE51" s="58"/>
      <c r="AF51" s="58"/>
      <c r="AG51" s="58"/>
      <c r="AH51" s="57">
        <v>2.0</v>
      </c>
    </row>
    <row r="52" ht="30.0" customHeight="1">
      <c r="B52" s="47" t="s">
        <v>209</v>
      </c>
      <c r="C52" s="58"/>
      <c r="D52" s="58"/>
      <c r="E52" s="58"/>
      <c r="F52" s="58"/>
      <c r="G52" s="97"/>
      <c r="H52" s="58"/>
      <c r="I52" s="58"/>
      <c r="J52" s="58"/>
      <c r="K52" s="58"/>
      <c r="L52" s="58"/>
      <c r="M52" s="58"/>
      <c r="N52" s="10" t="s">
        <v>6</v>
      </c>
      <c r="O52" s="58"/>
      <c r="P52" s="58"/>
      <c r="Q52" s="58"/>
      <c r="R52" s="97"/>
      <c r="S52" s="97"/>
      <c r="T52" s="97"/>
      <c r="U52" s="97"/>
      <c r="V52" s="58"/>
      <c r="W52" s="58"/>
      <c r="X52" s="58"/>
      <c r="Y52" s="10" t="s">
        <v>6</v>
      </c>
      <c r="Z52" s="58"/>
      <c r="AA52" s="58"/>
      <c r="AB52" s="10" t="s">
        <v>6</v>
      </c>
      <c r="AC52" s="58"/>
      <c r="AD52" s="58"/>
      <c r="AE52" s="58"/>
      <c r="AF52" s="10" t="s">
        <v>6</v>
      </c>
      <c r="AG52" s="58"/>
      <c r="AH52" s="57">
        <v>4.0</v>
      </c>
    </row>
    <row r="53" ht="30.0" customHeight="1">
      <c r="B53" s="47" t="s">
        <v>225</v>
      </c>
      <c r="C53" s="58"/>
      <c r="D53" s="58"/>
      <c r="E53" s="58"/>
      <c r="F53" s="58"/>
      <c r="G53" s="97"/>
      <c r="H53" s="58"/>
      <c r="I53" s="58"/>
      <c r="J53" s="58"/>
      <c r="K53" s="10" t="s">
        <v>6</v>
      </c>
      <c r="L53" s="58"/>
      <c r="M53" s="58"/>
      <c r="N53" s="10" t="s">
        <v>6</v>
      </c>
      <c r="O53" s="58"/>
      <c r="P53" s="58"/>
      <c r="Q53" s="58"/>
      <c r="R53" s="97"/>
      <c r="S53" s="97"/>
      <c r="T53" s="97"/>
      <c r="U53" s="97"/>
      <c r="V53" s="58"/>
      <c r="W53" s="58"/>
      <c r="X53" s="58"/>
      <c r="Y53" s="58"/>
      <c r="Z53" s="58"/>
      <c r="AA53" s="58"/>
      <c r="AB53" s="10" t="s">
        <v>6</v>
      </c>
      <c r="AC53" s="58"/>
      <c r="AD53" s="58"/>
      <c r="AE53" s="58"/>
      <c r="AF53" s="10" t="s">
        <v>6</v>
      </c>
      <c r="AG53" s="58"/>
      <c r="AH53" s="57">
        <v>4.0</v>
      </c>
    </row>
    <row r="54" ht="30.0" customHeight="1">
      <c r="B54" s="20" t="s">
        <v>59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</row>
    <row r="55" ht="30.0" customHeight="1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</row>
    <row r="56" ht="30.0" customHeight="1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</row>
    <row r="57" ht="30.0" customHeight="1">
      <c r="B57" s="99" t="str">
        <f>Abril!MonthName&amp;" Total"</f>
        <v>Abril Total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99"/>
    </row>
    <row r="58" ht="30.0" customHeight="1"/>
    <row r="59" ht="30.0" customHeight="1">
      <c r="B59" s="49" t="s">
        <v>218</v>
      </c>
      <c r="C59" s="80" t="s">
        <v>173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</row>
    <row r="60" ht="30.0" customHeight="1">
      <c r="B60" s="51"/>
      <c r="C60" s="52" t="str">
        <f>TEXT(WEEKDAY(DATE(CalendarioAño,4,1),1),"ddd")</f>
        <v>mar</v>
      </c>
      <c r="D60" s="52" t="str">
        <f>TEXT(WEEKDAY(DATE(CalendarioAño,4,2),1),"ddd")</f>
        <v>mié</v>
      </c>
      <c r="E60" s="52" t="str">
        <f>TEXT(WEEKDAY(DATE(CalendarioAño,4,3),1),"ddd")</f>
        <v>jue</v>
      </c>
      <c r="F60" s="52" t="str">
        <f>TEXT(WEEKDAY(DATE(CalendarioAño,4,4),1),"ddd")</f>
        <v>vie</v>
      </c>
      <c r="G60" s="52" t="str">
        <f>TEXT(WEEKDAY(DATE(CalendarioAño,4,5),1),"ddd")</f>
        <v>sáb</v>
      </c>
      <c r="H60" s="52" t="str">
        <f>TEXT(WEEKDAY(DATE(CalendarioAño,4,6),1),"ddd")</f>
        <v>dom</v>
      </c>
      <c r="I60" s="52" t="str">
        <f>TEXT(WEEKDAY(DATE(CalendarioAño,4,7),1),"ddd")</f>
        <v>lun</v>
      </c>
      <c r="J60" s="52" t="str">
        <f>TEXT(WEEKDAY(DATE(CalendarioAño,4,8),1),"ddd")</f>
        <v>mar</v>
      </c>
      <c r="K60" s="52" t="str">
        <f>TEXT(WEEKDAY(DATE(CalendarioAño,4,9),1),"ddd")</f>
        <v>mié</v>
      </c>
      <c r="L60" s="52" t="str">
        <f>TEXT(WEEKDAY(DATE(CalendarioAño,4,10),1),"ddd")</f>
        <v>jue</v>
      </c>
      <c r="M60" s="52" t="str">
        <f>TEXT(WEEKDAY(DATE(CalendarioAño,4,11),1),"ddd")</f>
        <v>vie</v>
      </c>
      <c r="N60" s="52" t="str">
        <f>TEXT(WEEKDAY(DATE(CalendarioAño,4,12),1),"ddd")</f>
        <v>sáb</v>
      </c>
      <c r="O60" s="52" t="str">
        <f>TEXT(WEEKDAY(DATE(CalendarioAño,4,13),1),"ddd")</f>
        <v>dom</v>
      </c>
      <c r="P60" s="52" t="str">
        <f>TEXT(WEEKDAY(DATE(CalendarioAño,4,14),1),"ddd")</f>
        <v>lun</v>
      </c>
      <c r="Q60" s="52" t="str">
        <f>TEXT(WEEKDAY(DATE(CalendarioAño,4,15),1),"ddd")</f>
        <v>mar</v>
      </c>
      <c r="R60" s="52" t="str">
        <f>TEXT(WEEKDAY(DATE(CalendarioAño,4,16),1),"ddd")</f>
        <v>mié</v>
      </c>
      <c r="S60" s="52" t="str">
        <f>TEXT(WEEKDAY(DATE(CalendarioAño,4,17),1),"ddd")</f>
        <v>jue</v>
      </c>
      <c r="T60" s="52" t="str">
        <f>TEXT(WEEKDAY(DATE(CalendarioAño,4,18),1),"ddd")</f>
        <v>vie</v>
      </c>
      <c r="U60" s="52" t="str">
        <f>TEXT(WEEKDAY(DATE(CalendarioAño,4,19),1),"ddd")</f>
        <v>sáb</v>
      </c>
      <c r="V60" s="52" t="str">
        <f>TEXT(WEEKDAY(DATE(CalendarioAño,4,20),1),"ddd")</f>
        <v>dom</v>
      </c>
      <c r="W60" s="52" t="str">
        <f>TEXT(WEEKDAY(DATE(CalendarioAño,4,21),1),"ddd")</f>
        <v>lun</v>
      </c>
      <c r="X60" s="52" t="str">
        <f>TEXT(WEEKDAY(DATE(CalendarioAño,4,22),1),"ddd")</f>
        <v>mar</v>
      </c>
      <c r="Y60" s="52" t="str">
        <f>TEXT(WEEKDAY(DATE(CalendarioAño,4,23),1),"ddd")</f>
        <v>mié</v>
      </c>
      <c r="Z60" s="52" t="str">
        <f>TEXT(WEEKDAY(DATE(CalendarioAño,4,24),1),"ddd")</f>
        <v>jue</v>
      </c>
      <c r="AA60" s="52" t="str">
        <f>TEXT(WEEKDAY(DATE(CalendarioAño,4,25),1),"ddd")</f>
        <v>vie</v>
      </c>
      <c r="AB60" s="52" t="str">
        <f>TEXT(WEEKDAY(DATE(CalendarioAño,4,26),1),"ddd")</f>
        <v>sáb</v>
      </c>
      <c r="AC60" s="52" t="str">
        <f>TEXT(WEEKDAY(DATE(CalendarioAño,4,27),1),"ddd")</f>
        <v>dom</v>
      </c>
      <c r="AD60" s="52" t="str">
        <f>TEXT(WEEKDAY(DATE(CalendarioAño,4,28),1),"ddd")</f>
        <v>lun</v>
      </c>
      <c r="AE60" s="52" t="str">
        <f>TEXT(WEEKDAY(DATE(CalendarioAño,4,29),1),"ddd")</f>
        <v>mar</v>
      </c>
      <c r="AF60" s="52" t="str">
        <f>TEXT(WEEKDAY(DATE(CalendarioAño,4,30),1),"ddd")</f>
        <v>mié</v>
      </c>
      <c r="AG60" s="43"/>
    </row>
    <row r="61" ht="30.0" customHeight="1">
      <c r="B61" s="33" t="s">
        <v>219</v>
      </c>
      <c r="C61" s="19" t="s">
        <v>15</v>
      </c>
      <c r="D61" s="19" t="s">
        <v>16</v>
      </c>
      <c r="E61" s="19" t="s">
        <v>17</v>
      </c>
      <c r="F61" s="19" t="s">
        <v>18</v>
      </c>
      <c r="G61" s="19" t="s">
        <v>19</v>
      </c>
      <c r="H61" s="19" t="s">
        <v>20</v>
      </c>
      <c r="I61" s="19" t="s">
        <v>21</v>
      </c>
      <c r="J61" s="19" t="s">
        <v>22</v>
      </c>
      <c r="K61" s="19" t="s">
        <v>23</v>
      </c>
      <c r="L61" s="19" t="s">
        <v>24</v>
      </c>
      <c r="M61" s="19" t="s">
        <v>25</v>
      </c>
      <c r="N61" s="19" t="s">
        <v>26</v>
      </c>
      <c r="O61" s="19" t="s">
        <v>27</v>
      </c>
      <c r="P61" s="19" t="s">
        <v>28</v>
      </c>
      <c r="Q61" s="19" t="s">
        <v>29</v>
      </c>
      <c r="R61" s="19" t="s">
        <v>30</v>
      </c>
      <c r="S61" s="19" t="s">
        <v>31</v>
      </c>
      <c r="T61" s="19" t="s">
        <v>32</v>
      </c>
      <c r="U61" s="19" t="s">
        <v>33</v>
      </c>
      <c r="V61" s="19" t="s">
        <v>34</v>
      </c>
      <c r="W61" s="19" t="s">
        <v>35</v>
      </c>
      <c r="X61" s="19" t="s">
        <v>36</v>
      </c>
      <c r="Y61" s="19" t="s">
        <v>37</v>
      </c>
      <c r="Z61" s="19" t="s">
        <v>38</v>
      </c>
      <c r="AA61" s="19" t="s">
        <v>39</v>
      </c>
      <c r="AB61" s="19" t="s">
        <v>40</v>
      </c>
      <c r="AC61" s="19" t="s">
        <v>41</v>
      </c>
      <c r="AD61" s="19" t="s">
        <v>42</v>
      </c>
      <c r="AE61" s="19" t="s">
        <v>43</v>
      </c>
      <c r="AF61" s="19" t="s">
        <v>44</v>
      </c>
      <c r="AG61" s="96" t="s">
        <v>89</v>
      </c>
      <c r="AH61" s="98"/>
    </row>
    <row r="62" ht="30.0" customHeight="1">
      <c r="B62" s="57" t="s">
        <v>79</v>
      </c>
      <c r="C62" s="10" t="s">
        <v>6</v>
      </c>
      <c r="D62" s="58"/>
      <c r="E62" s="10" t="s">
        <v>6</v>
      </c>
      <c r="F62" s="58"/>
      <c r="G62" s="97"/>
      <c r="H62" s="58"/>
      <c r="I62" s="58"/>
      <c r="J62" s="10" t="s">
        <v>6</v>
      </c>
      <c r="K62" s="58"/>
      <c r="L62" s="58"/>
      <c r="M62" s="58"/>
      <c r="N62" s="58"/>
      <c r="O62" s="58"/>
      <c r="P62" s="58"/>
      <c r="Q62" s="10" t="s">
        <v>6</v>
      </c>
      <c r="R62" s="97"/>
      <c r="S62" s="97"/>
      <c r="T62" s="97"/>
      <c r="U62" s="97"/>
      <c r="V62" s="58"/>
      <c r="W62" s="58"/>
      <c r="X62" s="10" t="s">
        <v>6</v>
      </c>
      <c r="Y62" s="58"/>
      <c r="Z62" s="10" t="s">
        <v>6</v>
      </c>
      <c r="AA62" s="58"/>
      <c r="AB62" s="58"/>
      <c r="AC62" s="58"/>
      <c r="AD62" s="58"/>
      <c r="AE62" s="58"/>
      <c r="AF62" s="58"/>
      <c r="AG62" s="58"/>
      <c r="AH62" s="57">
        <v>6.0</v>
      </c>
    </row>
    <row r="63" ht="30.0" customHeight="1">
      <c r="B63" s="20" t="s">
        <v>54</v>
      </c>
      <c r="C63" s="10" t="s">
        <v>6</v>
      </c>
      <c r="D63" s="61"/>
      <c r="E63" s="61"/>
      <c r="F63" s="61"/>
      <c r="G63" s="97"/>
      <c r="H63" s="61"/>
      <c r="I63" s="61"/>
      <c r="J63" s="61"/>
      <c r="K63" s="61"/>
      <c r="L63" s="61"/>
      <c r="M63" s="61"/>
      <c r="N63" s="61"/>
      <c r="O63" s="61"/>
      <c r="P63" s="61"/>
      <c r="Q63" s="10" t="s">
        <v>6</v>
      </c>
      <c r="R63" s="97"/>
      <c r="S63" s="97"/>
      <c r="T63" s="97"/>
      <c r="U63" s="97"/>
      <c r="V63" s="61"/>
      <c r="W63" s="61"/>
      <c r="X63" s="61"/>
      <c r="Y63" s="61"/>
      <c r="Z63" s="10" t="s">
        <v>6</v>
      </c>
      <c r="AA63" s="61"/>
      <c r="AB63" s="61"/>
      <c r="AC63" s="61"/>
      <c r="AD63" s="61"/>
      <c r="AE63" s="10" t="s">
        <v>6</v>
      </c>
      <c r="AF63" s="61"/>
      <c r="AG63" s="61"/>
      <c r="AH63" s="61"/>
    </row>
    <row r="64" ht="30.0" customHeight="1">
      <c r="B64" s="47" t="s">
        <v>211</v>
      </c>
      <c r="C64" s="10" t="s">
        <v>6</v>
      </c>
      <c r="D64" s="58"/>
      <c r="E64" s="58"/>
      <c r="F64" s="58"/>
      <c r="G64" s="97"/>
      <c r="H64" s="58"/>
      <c r="I64" s="10" t="s">
        <v>6</v>
      </c>
      <c r="J64" s="10" t="s">
        <v>6</v>
      </c>
      <c r="K64" s="58"/>
      <c r="L64" s="58"/>
      <c r="M64" s="58"/>
      <c r="N64" s="58"/>
      <c r="O64" s="58"/>
      <c r="P64" s="10" t="s">
        <v>6</v>
      </c>
      <c r="Q64" s="10" t="s">
        <v>6</v>
      </c>
      <c r="R64" s="97"/>
      <c r="S64" s="97"/>
      <c r="T64" s="97"/>
      <c r="U64" s="97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7" t="s">
        <v>89</v>
      </c>
    </row>
    <row r="65" ht="30.0" customHeight="1">
      <c r="B65" s="47" t="s">
        <v>213</v>
      </c>
      <c r="C65" s="10" t="s">
        <v>6</v>
      </c>
      <c r="D65" s="61"/>
      <c r="E65" s="10" t="s">
        <v>6</v>
      </c>
      <c r="F65" s="61"/>
      <c r="G65" s="97"/>
      <c r="H65" s="61"/>
      <c r="I65" s="10" t="s">
        <v>6</v>
      </c>
      <c r="J65" s="61"/>
      <c r="K65" s="61"/>
      <c r="L65" s="61"/>
      <c r="M65" s="10" t="s">
        <v>6</v>
      </c>
      <c r="N65" s="61"/>
      <c r="O65" s="61"/>
      <c r="P65" s="10" t="s">
        <v>6</v>
      </c>
      <c r="Q65" s="61"/>
      <c r="R65" s="97"/>
      <c r="S65" s="97"/>
      <c r="T65" s="97"/>
      <c r="U65" s="97"/>
      <c r="V65" s="61"/>
      <c r="W65" s="61"/>
      <c r="X65" s="10" t="s">
        <v>6</v>
      </c>
      <c r="Y65" s="61"/>
      <c r="Z65" s="10" t="s">
        <v>6</v>
      </c>
      <c r="AA65" s="61"/>
      <c r="AB65" s="61"/>
      <c r="AC65" s="61"/>
      <c r="AD65" s="61"/>
      <c r="AE65" s="10" t="s">
        <v>6</v>
      </c>
      <c r="AF65" s="61"/>
      <c r="AG65" s="61"/>
      <c r="AH65" s="61"/>
    </row>
    <row r="66" ht="30.0" customHeight="1">
      <c r="B66" s="47" t="s">
        <v>226</v>
      </c>
      <c r="C66" s="10" t="s">
        <v>6</v>
      </c>
      <c r="D66" s="58"/>
      <c r="E66" s="58"/>
      <c r="F66" s="58"/>
      <c r="G66" s="97"/>
      <c r="H66" s="58"/>
      <c r="I66" s="10" t="s">
        <v>6</v>
      </c>
      <c r="J66" s="10" t="s">
        <v>6</v>
      </c>
      <c r="K66" s="58"/>
      <c r="L66" s="58"/>
      <c r="M66" s="58"/>
      <c r="N66" s="58"/>
      <c r="O66" s="58"/>
      <c r="P66" s="58"/>
      <c r="Q66" s="10" t="s">
        <v>6</v>
      </c>
      <c r="R66" s="97"/>
      <c r="S66" s="97"/>
      <c r="T66" s="97"/>
      <c r="U66" s="97"/>
      <c r="V66" s="58"/>
      <c r="W66" s="58"/>
      <c r="X66" s="10" t="s">
        <v>6</v>
      </c>
      <c r="Y66" s="61"/>
      <c r="Z66" s="10" t="s">
        <v>6</v>
      </c>
      <c r="AA66" s="58"/>
      <c r="AB66" s="58"/>
      <c r="AC66" s="58"/>
      <c r="AD66" s="58"/>
      <c r="AE66" s="10" t="s">
        <v>6</v>
      </c>
      <c r="AF66" s="58"/>
      <c r="AG66" s="58"/>
      <c r="AH66" s="58"/>
    </row>
    <row r="67" ht="30.0" customHeight="1">
      <c r="B67" s="60" t="s">
        <v>85</v>
      </c>
      <c r="C67" s="61"/>
      <c r="D67" s="10" t="s">
        <v>6</v>
      </c>
      <c r="E67" s="61"/>
      <c r="F67" s="61"/>
      <c r="G67" s="97"/>
      <c r="H67" s="61"/>
      <c r="I67" s="61"/>
      <c r="J67" s="61"/>
      <c r="K67" s="10" t="s">
        <v>6</v>
      </c>
      <c r="L67" s="61"/>
      <c r="M67" s="61"/>
      <c r="N67" s="10" t="s">
        <v>6</v>
      </c>
      <c r="O67" s="61"/>
      <c r="P67" s="61"/>
      <c r="Q67" s="61"/>
      <c r="R67" s="97"/>
      <c r="S67" s="97"/>
      <c r="T67" s="97"/>
      <c r="U67" s="97"/>
      <c r="V67" s="61"/>
      <c r="W67" s="61"/>
      <c r="X67" s="61"/>
      <c r="Y67" s="10" t="s">
        <v>6</v>
      </c>
      <c r="Z67" s="61"/>
      <c r="AA67" s="61"/>
      <c r="AB67" s="61"/>
      <c r="AC67" s="61"/>
      <c r="AD67" s="61"/>
      <c r="AE67" s="61"/>
      <c r="AF67" s="61"/>
      <c r="AG67" s="61"/>
      <c r="AH67" s="61"/>
    </row>
    <row r="68" ht="30.0" customHeight="1">
      <c r="B68" s="57" t="s">
        <v>99</v>
      </c>
      <c r="C68" s="58"/>
      <c r="D68" s="10" t="s">
        <v>6</v>
      </c>
      <c r="E68" s="58"/>
      <c r="F68" s="58"/>
      <c r="G68" s="97"/>
      <c r="H68" s="58"/>
      <c r="I68" s="58"/>
      <c r="J68" s="58"/>
      <c r="K68" s="10" t="s">
        <v>6</v>
      </c>
      <c r="L68" s="58"/>
      <c r="M68" s="10" t="s">
        <v>6</v>
      </c>
      <c r="N68" s="58"/>
      <c r="O68" s="58"/>
      <c r="P68" s="58"/>
      <c r="Q68" s="58"/>
      <c r="R68" s="97"/>
      <c r="S68" s="97"/>
      <c r="T68" s="97"/>
      <c r="U68" s="97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</row>
    <row r="69" ht="30.0" customHeight="1">
      <c r="B69" s="60" t="s">
        <v>82</v>
      </c>
      <c r="C69" s="61"/>
      <c r="D69" s="10" t="s">
        <v>6</v>
      </c>
      <c r="E69" s="61"/>
      <c r="F69" s="61"/>
      <c r="G69" s="97"/>
      <c r="H69" s="61"/>
      <c r="I69" s="61"/>
      <c r="J69" s="10" t="s">
        <v>6</v>
      </c>
      <c r="K69" s="61"/>
      <c r="L69" s="61"/>
      <c r="M69" s="61"/>
      <c r="N69" s="61"/>
      <c r="O69" s="61"/>
      <c r="P69" s="61"/>
      <c r="Q69" s="61"/>
      <c r="R69" s="97"/>
      <c r="S69" s="97"/>
      <c r="T69" s="97"/>
      <c r="U69" s="97"/>
      <c r="V69" s="61"/>
      <c r="W69" s="61"/>
      <c r="X69" s="61"/>
      <c r="Y69" s="10" t="s">
        <v>6</v>
      </c>
      <c r="Z69" s="10" t="s">
        <v>6</v>
      </c>
      <c r="AA69" s="10" t="s">
        <v>6</v>
      </c>
      <c r="AB69" s="61"/>
      <c r="AC69" s="61"/>
      <c r="AD69" s="61"/>
      <c r="AE69" s="61"/>
      <c r="AF69" s="61"/>
      <c r="AG69" s="61"/>
      <c r="AH69" s="60">
        <v>5.0</v>
      </c>
    </row>
    <row r="70" ht="30.0" customHeight="1">
      <c r="B70" s="47" t="s">
        <v>100</v>
      </c>
      <c r="C70" s="58"/>
      <c r="D70" s="10" t="s">
        <v>6</v>
      </c>
      <c r="E70" s="58"/>
      <c r="F70" s="10" t="s">
        <v>6</v>
      </c>
      <c r="G70" s="97"/>
      <c r="H70" s="58"/>
      <c r="I70" s="10" t="s">
        <v>6</v>
      </c>
      <c r="J70" s="58"/>
      <c r="K70" s="10" t="s">
        <v>6</v>
      </c>
      <c r="L70" s="58"/>
      <c r="M70" s="10" t="s">
        <v>6</v>
      </c>
      <c r="N70" s="58"/>
      <c r="O70" s="58"/>
      <c r="P70" s="10" t="s">
        <v>6</v>
      </c>
      <c r="Q70" s="58"/>
      <c r="R70" s="97"/>
      <c r="S70" s="97"/>
      <c r="T70" s="97"/>
      <c r="U70" s="97"/>
      <c r="V70" s="58"/>
      <c r="W70" s="10" t="s">
        <v>6</v>
      </c>
      <c r="X70" s="58"/>
      <c r="Y70" s="10" t="s">
        <v>6</v>
      </c>
      <c r="Z70" s="58"/>
      <c r="AA70" s="10" t="s">
        <v>6</v>
      </c>
      <c r="AB70" s="58"/>
      <c r="AC70" s="58"/>
      <c r="AD70" s="58"/>
      <c r="AE70" s="58"/>
      <c r="AF70" s="58"/>
      <c r="AG70" s="58"/>
      <c r="AH70" s="57">
        <v>9.0</v>
      </c>
    </row>
    <row r="71" ht="30.0" customHeight="1">
      <c r="B71" s="20" t="s">
        <v>65</v>
      </c>
      <c r="C71" s="58"/>
      <c r="D71" s="58"/>
      <c r="E71" s="10" t="s">
        <v>6</v>
      </c>
      <c r="F71" s="10" t="s">
        <v>6</v>
      </c>
      <c r="G71" s="97"/>
      <c r="H71" s="58"/>
      <c r="I71" s="58"/>
      <c r="J71" s="10" t="s">
        <v>6</v>
      </c>
      <c r="K71" s="10" t="s">
        <v>6</v>
      </c>
      <c r="L71" s="58"/>
      <c r="M71" s="58"/>
      <c r="N71" s="58"/>
      <c r="O71" s="58"/>
      <c r="P71" s="10" t="s">
        <v>6</v>
      </c>
      <c r="Q71" s="58"/>
      <c r="R71" s="97"/>
      <c r="S71" s="97"/>
      <c r="T71" s="97"/>
      <c r="U71" s="97"/>
      <c r="V71" s="58"/>
      <c r="W71" s="58"/>
      <c r="X71" s="10" t="s">
        <v>6</v>
      </c>
      <c r="Y71" s="58"/>
      <c r="Z71" s="58"/>
      <c r="AA71" s="58"/>
      <c r="AB71" s="58"/>
      <c r="AC71" s="58"/>
      <c r="AD71" s="58"/>
      <c r="AE71" s="58"/>
      <c r="AF71" s="10" t="s">
        <v>6</v>
      </c>
      <c r="AG71" s="58"/>
      <c r="AH71" s="58"/>
    </row>
    <row r="72" ht="30.0" customHeight="1">
      <c r="B72" s="60" t="s">
        <v>82</v>
      </c>
      <c r="C72" s="61"/>
      <c r="D72" s="61"/>
      <c r="E72" s="10" t="s">
        <v>6</v>
      </c>
      <c r="F72" s="61"/>
      <c r="G72" s="97"/>
      <c r="H72" s="61"/>
      <c r="I72" s="61"/>
      <c r="J72" s="10" t="s">
        <v>6</v>
      </c>
      <c r="K72" s="61"/>
      <c r="L72" s="61"/>
      <c r="M72" s="61"/>
      <c r="N72" s="61"/>
      <c r="O72" s="61"/>
      <c r="P72" s="61"/>
      <c r="Q72" s="61"/>
      <c r="R72" s="97"/>
      <c r="S72" s="97"/>
      <c r="T72" s="97"/>
      <c r="U72" s="97"/>
      <c r="V72" s="61"/>
      <c r="W72" s="61"/>
      <c r="X72" s="10" t="s">
        <v>6</v>
      </c>
      <c r="Y72" s="61"/>
      <c r="Z72" s="61"/>
      <c r="AA72" s="61"/>
      <c r="AB72" s="61"/>
      <c r="AC72" s="61"/>
      <c r="AD72" s="61"/>
      <c r="AE72" s="10" t="s">
        <v>6</v>
      </c>
      <c r="AF72" s="61"/>
      <c r="AG72" s="61"/>
      <c r="AH72" s="61"/>
    </row>
    <row r="73" ht="30.0" customHeight="1">
      <c r="B73" s="60" t="s">
        <v>67</v>
      </c>
      <c r="C73" s="61"/>
      <c r="D73" s="61"/>
      <c r="E73" s="61"/>
      <c r="F73" s="10" t="s">
        <v>6</v>
      </c>
      <c r="G73" s="97"/>
      <c r="H73" s="61"/>
      <c r="I73" s="10" t="s">
        <v>6</v>
      </c>
      <c r="J73" s="61"/>
      <c r="K73" s="10" t="s">
        <v>6</v>
      </c>
      <c r="L73" s="61"/>
      <c r="M73" s="10" t="s">
        <v>6</v>
      </c>
      <c r="N73" s="61"/>
      <c r="O73" s="61"/>
      <c r="P73" s="10" t="s">
        <v>6</v>
      </c>
      <c r="Q73" s="61"/>
      <c r="R73" s="97"/>
      <c r="S73" s="97"/>
      <c r="T73" s="97"/>
      <c r="U73" s="97"/>
      <c r="V73" s="61"/>
      <c r="W73" s="10" t="s">
        <v>6</v>
      </c>
      <c r="X73" s="61"/>
      <c r="Y73" s="10" t="s">
        <v>6</v>
      </c>
      <c r="Z73" s="61"/>
      <c r="AA73" s="61"/>
      <c r="AB73" s="61"/>
      <c r="AC73" s="61"/>
      <c r="AD73" s="61"/>
      <c r="AE73" s="61"/>
      <c r="AF73" s="61"/>
      <c r="AG73" s="61"/>
      <c r="AH73" s="61"/>
    </row>
    <row r="74" ht="30.0" customHeight="1">
      <c r="B74" s="60" t="s">
        <v>227</v>
      </c>
      <c r="C74" s="61"/>
      <c r="D74" s="61"/>
      <c r="E74" s="61"/>
      <c r="F74" s="61"/>
      <c r="G74" s="97"/>
      <c r="H74" s="61"/>
      <c r="I74" s="61"/>
      <c r="J74" s="61"/>
      <c r="K74" s="61"/>
      <c r="L74" s="61"/>
      <c r="M74" s="61"/>
      <c r="N74" s="10" t="s">
        <v>6</v>
      </c>
      <c r="O74" s="61"/>
      <c r="P74" s="61"/>
      <c r="Q74" s="61"/>
      <c r="R74" s="97"/>
      <c r="S74" s="97"/>
      <c r="T74" s="97"/>
      <c r="U74" s="97"/>
      <c r="V74" s="61"/>
      <c r="W74" s="61"/>
      <c r="X74" s="61"/>
      <c r="Y74" s="61"/>
      <c r="Z74" s="61"/>
      <c r="AA74" s="61"/>
      <c r="AB74" s="10" t="s">
        <v>6</v>
      </c>
      <c r="AC74" s="61"/>
      <c r="AD74" s="61"/>
      <c r="AE74" s="61"/>
      <c r="AF74" s="10" t="s">
        <v>6</v>
      </c>
      <c r="AG74" s="61"/>
      <c r="AH74" s="61"/>
    </row>
    <row r="75" ht="30.0" customHeight="1">
      <c r="B75" s="20" t="s">
        <v>94</v>
      </c>
      <c r="C75" s="61"/>
      <c r="D75" s="61"/>
      <c r="E75" s="61"/>
      <c r="F75" s="61"/>
      <c r="G75" s="97"/>
      <c r="H75" s="61"/>
      <c r="I75" s="61"/>
      <c r="J75" s="61"/>
      <c r="K75" s="61"/>
      <c r="L75" s="61"/>
      <c r="M75" s="61"/>
      <c r="N75" s="10" t="s">
        <v>6</v>
      </c>
      <c r="O75" s="61"/>
      <c r="P75" s="61"/>
      <c r="Q75" s="61"/>
      <c r="R75" s="97"/>
      <c r="S75" s="97"/>
      <c r="T75" s="97"/>
      <c r="U75" s="97"/>
      <c r="V75" s="61"/>
      <c r="W75" s="61"/>
      <c r="X75" s="61"/>
      <c r="Y75" s="61"/>
      <c r="Z75" s="61"/>
      <c r="AA75" s="61"/>
      <c r="AB75" s="10" t="s">
        <v>6</v>
      </c>
      <c r="AC75" s="61"/>
      <c r="AD75" s="61"/>
      <c r="AE75" s="61"/>
      <c r="AF75" s="61"/>
      <c r="AG75" s="61"/>
      <c r="AH75" s="61"/>
    </row>
    <row r="76" ht="30.0" customHeight="1">
      <c r="B76" s="47" t="s">
        <v>101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10" t="s">
        <v>6</v>
      </c>
      <c r="Q76" s="61"/>
      <c r="R76" s="97"/>
      <c r="S76" s="97"/>
      <c r="T76" s="97"/>
      <c r="U76" s="97"/>
      <c r="V76" s="61"/>
      <c r="W76" s="10" t="s">
        <v>6</v>
      </c>
      <c r="X76" s="61"/>
      <c r="Y76" s="10" t="s">
        <v>6</v>
      </c>
      <c r="Z76" s="61"/>
      <c r="AA76" s="61"/>
      <c r="AB76" s="61"/>
      <c r="AC76" s="61"/>
      <c r="AD76" s="61"/>
      <c r="AE76" s="10" t="s">
        <v>6</v>
      </c>
      <c r="AF76" s="61"/>
      <c r="AG76" s="61"/>
      <c r="AH76" s="61"/>
    </row>
    <row r="77" ht="30.0" customHeight="1">
      <c r="B77" s="20" t="s">
        <v>59</v>
      </c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10" t="s">
        <v>6</v>
      </c>
      <c r="AA77" s="61"/>
      <c r="AB77" s="10" t="s">
        <v>6</v>
      </c>
      <c r="AC77" s="61"/>
      <c r="AD77" s="61"/>
      <c r="AE77" s="61"/>
      <c r="AF77" s="10" t="s">
        <v>6</v>
      </c>
      <c r="AG77" s="61"/>
      <c r="AH77" s="61"/>
    </row>
    <row r="78" ht="30.0" customHeight="1"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</row>
    <row r="79" ht="30.0" customHeight="1">
      <c r="B79" s="99" t="str">
        <f>Abril!MonthName&amp;" Total"</f>
        <v>Abril Total</v>
      </c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99"/>
    </row>
    <row r="80" ht="30.0" customHeight="1"/>
    <row r="81" ht="30.0" customHeight="1">
      <c r="B81" s="49" t="s">
        <v>218</v>
      </c>
      <c r="C81" s="80" t="s">
        <v>177</v>
      </c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</row>
    <row r="82" ht="30.0" customHeight="1">
      <c r="B82" s="51"/>
      <c r="C82" s="52" t="str">
        <f>TEXT(WEEKDAY(DATE(CalendarioAño,4,1),1),"ddd")</f>
        <v>mar</v>
      </c>
      <c r="D82" s="52" t="str">
        <f>TEXT(WEEKDAY(DATE(CalendarioAño,4,2),1),"ddd")</f>
        <v>mié</v>
      </c>
      <c r="E82" s="52" t="str">
        <f>TEXT(WEEKDAY(DATE(CalendarioAño,4,3),1),"ddd")</f>
        <v>jue</v>
      </c>
      <c r="F82" s="52" t="str">
        <f>TEXT(WEEKDAY(DATE(CalendarioAño,4,4),1),"ddd")</f>
        <v>vie</v>
      </c>
      <c r="G82" s="52" t="str">
        <f>TEXT(WEEKDAY(DATE(CalendarioAño,4,5),1),"ddd")</f>
        <v>sáb</v>
      </c>
      <c r="H82" s="52" t="str">
        <f>TEXT(WEEKDAY(DATE(CalendarioAño,4,6),1),"ddd")</f>
        <v>dom</v>
      </c>
      <c r="I82" s="52" t="str">
        <f>TEXT(WEEKDAY(DATE(CalendarioAño,4,7),1),"ddd")</f>
        <v>lun</v>
      </c>
      <c r="J82" s="52" t="str">
        <f>TEXT(WEEKDAY(DATE(CalendarioAño,4,8),1),"ddd")</f>
        <v>mar</v>
      </c>
      <c r="K82" s="52" t="str">
        <f>TEXT(WEEKDAY(DATE(CalendarioAño,4,9),1),"ddd")</f>
        <v>mié</v>
      </c>
      <c r="L82" s="52" t="str">
        <f>TEXT(WEEKDAY(DATE(CalendarioAño,4,10),1),"ddd")</f>
        <v>jue</v>
      </c>
      <c r="M82" s="52" t="str">
        <f>TEXT(WEEKDAY(DATE(CalendarioAño,4,11),1),"ddd")</f>
        <v>vie</v>
      </c>
      <c r="N82" s="52" t="str">
        <f>TEXT(WEEKDAY(DATE(CalendarioAño,4,12),1),"ddd")</f>
        <v>sáb</v>
      </c>
      <c r="O82" s="52" t="str">
        <f>TEXT(WEEKDAY(DATE(CalendarioAño,4,13),1),"ddd")</f>
        <v>dom</v>
      </c>
      <c r="P82" s="52" t="str">
        <f>TEXT(WEEKDAY(DATE(CalendarioAño,4,14),1),"ddd")</f>
        <v>lun</v>
      </c>
      <c r="Q82" s="52" t="str">
        <f>TEXT(WEEKDAY(DATE(CalendarioAño,4,15),1),"ddd")</f>
        <v>mar</v>
      </c>
      <c r="R82" s="52" t="str">
        <f>TEXT(WEEKDAY(DATE(CalendarioAño,4,16),1),"ddd")</f>
        <v>mié</v>
      </c>
      <c r="S82" s="52" t="str">
        <f>TEXT(WEEKDAY(DATE(CalendarioAño,4,17),1),"ddd")</f>
        <v>jue</v>
      </c>
      <c r="T82" s="52" t="str">
        <f>TEXT(WEEKDAY(DATE(CalendarioAño,4,18),1),"ddd")</f>
        <v>vie</v>
      </c>
      <c r="U82" s="52" t="str">
        <f>TEXT(WEEKDAY(DATE(CalendarioAño,4,19),1),"ddd")</f>
        <v>sáb</v>
      </c>
      <c r="V82" s="52" t="str">
        <f>TEXT(WEEKDAY(DATE(CalendarioAño,4,20),1),"ddd")</f>
        <v>dom</v>
      </c>
      <c r="W82" s="52" t="str">
        <f>TEXT(WEEKDAY(DATE(CalendarioAño,4,21),1),"ddd")</f>
        <v>lun</v>
      </c>
      <c r="X82" s="52" t="str">
        <f>TEXT(WEEKDAY(DATE(CalendarioAño,4,22),1),"ddd")</f>
        <v>mar</v>
      </c>
      <c r="Y82" s="52" t="str">
        <f>TEXT(WEEKDAY(DATE(CalendarioAño,4,23),1),"ddd")</f>
        <v>mié</v>
      </c>
      <c r="Z82" s="52" t="str">
        <f>TEXT(WEEKDAY(DATE(CalendarioAño,4,24),1),"ddd")</f>
        <v>jue</v>
      </c>
      <c r="AA82" s="52" t="str">
        <f>TEXT(WEEKDAY(DATE(CalendarioAño,4,25),1),"ddd")</f>
        <v>vie</v>
      </c>
      <c r="AB82" s="52" t="str">
        <f>TEXT(WEEKDAY(DATE(CalendarioAño,4,26),1),"ddd")</f>
        <v>sáb</v>
      </c>
      <c r="AC82" s="52" t="str">
        <f>TEXT(WEEKDAY(DATE(CalendarioAño,4,27),1),"ddd")</f>
        <v>dom</v>
      </c>
      <c r="AD82" s="52" t="str">
        <f>TEXT(WEEKDAY(DATE(CalendarioAño,4,28),1),"ddd")</f>
        <v>lun</v>
      </c>
      <c r="AE82" s="52" t="str">
        <f>TEXT(WEEKDAY(DATE(CalendarioAño,4,29),1),"ddd")</f>
        <v>mar</v>
      </c>
      <c r="AF82" s="52" t="str">
        <f>TEXT(WEEKDAY(DATE(CalendarioAño,4,30),1),"ddd")</f>
        <v>mié</v>
      </c>
      <c r="AG82" s="43"/>
    </row>
    <row r="83" ht="30.0" customHeight="1">
      <c r="B83" s="33" t="s">
        <v>219</v>
      </c>
      <c r="C83" s="19" t="s">
        <v>15</v>
      </c>
      <c r="D83" s="19" t="s">
        <v>16</v>
      </c>
      <c r="E83" s="19" t="s">
        <v>17</v>
      </c>
      <c r="F83" s="19" t="s">
        <v>18</v>
      </c>
      <c r="G83" s="19" t="s">
        <v>19</v>
      </c>
      <c r="H83" s="19" t="s">
        <v>20</v>
      </c>
      <c r="I83" s="19" t="s">
        <v>21</v>
      </c>
      <c r="J83" s="19" t="s">
        <v>22</v>
      </c>
      <c r="K83" s="19" t="s">
        <v>23</v>
      </c>
      <c r="L83" s="19" t="s">
        <v>24</v>
      </c>
      <c r="M83" s="19" t="s">
        <v>25</v>
      </c>
      <c r="N83" s="19" t="s">
        <v>26</v>
      </c>
      <c r="O83" s="19" t="s">
        <v>27</v>
      </c>
      <c r="P83" s="19" t="s">
        <v>28</v>
      </c>
      <c r="Q83" s="19" t="s">
        <v>29</v>
      </c>
      <c r="R83" s="19" t="s">
        <v>30</v>
      </c>
      <c r="S83" s="19" t="s">
        <v>31</v>
      </c>
      <c r="T83" s="19" t="s">
        <v>32</v>
      </c>
      <c r="U83" s="19" t="s">
        <v>33</v>
      </c>
      <c r="V83" s="19" t="s">
        <v>34</v>
      </c>
      <c r="W83" s="19" t="s">
        <v>35</v>
      </c>
      <c r="X83" s="19" t="s">
        <v>36</v>
      </c>
      <c r="Y83" s="19" t="s">
        <v>37</v>
      </c>
      <c r="Z83" s="19" t="s">
        <v>38</v>
      </c>
      <c r="AA83" s="19" t="s">
        <v>39</v>
      </c>
      <c r="AB83" s="19" t="s">
        <v>40</v>
      </c>
      <c r="AC83" s="19" t="s">
        <v>41</v>
      </c>
      <c r="AD83" s="19" t="s">
        <v>42</v>
      </c>
      <c r="AE83" s="19" t="s">
        <v>43</v>
      </c>
      <c r="AF83" s="19" t="s">
        <v>44</v>
      </c>
      <c r="AG83" s="96" t="s">
        <v>89</v>
      </c>
      <c r="AH83" s="98"/>
    </row>
    <row r="84" ht="30.0" customHeight="1">
      <c r="B84" s="47" t="s">
        <v>181</v>
      </c>
      <c r="C84" s="10" t="s">
        <v>6</v>
      </c>
      <c r="D84" s="10" t="s">
        <v>6</v>
      </c>
      <c r="E84" s="58"/>
      <c r="F84" s="58"/>
      <c r="G84" s="97"/>
      <c r="H84" s="58"/>
      <c r="I84" s="58"/>
      <c r="J84" s="58"/>
      <c r="K84" s="58"/>
      <c r="L84" s="58"/>
      <c r="M84" s="58"/>
      <c r="N84" s="58"/>
      <c r="O84" s="58"/>
      <c r="P84" s="58"/>
      <c r="Q84" s="83" t="s">
        <v>174</v>
      </c>
      <c r="R84" s="97"/>
      <c r="S84" s="97"/>
      <c r="T84" s="97"/>
      <c r="U84" s="97"/>
      <c r="V84" s="58"/>
      <c r="W84" s="10" t="s">
        <v>6</v>
      </c>
      <c r="X84" s="83" t="s">
        <v>174</v>
      </c>
      <c r="Y84" s="10" t="s">
        <v>6</v>
      </c>
      <c r="Z84" s="58"/>
      <c r="AA84" s="58"/>
      <c r="AB84" s="58"/>
      <c r="AC84" s="58"/>
      <c r="AD84" s="58"/>
      <c r="AE84" s="58"/>
      <c r="AF84" s="58"/>
      <c r="AG84" s="58"/>
      <c r="AH84" s="58"/>
    </row>
    <row r="85" ht="30.0" customHeight="1">
      <c r="B85" s="20" t="s">
        <v>110</v>
      </c>
      <c r="C85" s="10" t="s">
        <v>6</v>
      </c>
      <c r="D85" s="61"/>
      <c r="E85" s="10" t="s">
        <v>6</v>
      </c>
      <c r="F85" s="61"/>
      <c r="G85" s="97"/>
      <c r="H85" s="61"/>
      <c r="I85" s="61"/>
      <c r="J85" s="10" t="s">
        <v>6</v>
      </c>
      <c r="K85" s="61"/>
      <c r="L85" s="61"/>
      <c r="M85" s="61"/>
      <c r="N85" s="61"/>
      <c r="O85" s="61"/>
      <c r="P85" s="61"/>
      <c r="Q85" s="10" t="s">
        <v>6</v>
      </c>
      <c r="R85" s="97"/>
      <c r="S85" s="97"/>
      <c r="T85" s="97"/>
      <c r="U85" s="97"/>
      <c r="V85" s="61"/>
      <c r="W85" s="61"/>
      <c r="X85" s="10" t="s">
        <v>6</v>
      </c>
      <c r="Y85" s="61"/>
      <c r="Z85" s="10" t="s">
        <v>6</v>
      </c>
      <c r="AA85" s="61"/>
      <c r="AB85" s="61"/>
      <c r="AC85" s="61"/>
      <c r="AD85" s="61"/>
      <c r="AE85" s="10" t="s">
        <v>6</v>
      </c>
      <c r="AF85" s="10" t="s">
        <v>6</v>
      </c>
      <c r="AG85" s="61"/>
      <c r="AH85" s="61"/>
    </row>
    <row r="86" ht="30.0" customHeight="1">
      <c r="B86" s="57" t="s">
        <v>106</v>
      </c>
      <c r="C86" s="10" t="s">
        <v>6</v>
      </c>
      <c r="D86" s="58"/>
      <c r="E86" s="10" t="s">
        <v>6</v>
      </c>
      <c r="F86" s="58"/>
      <c r="G86" s="97"/>
      <c r="H86" s="58"/>
      <c r="I86" s="10" t="s">
        <v>6</v>
      </c>
      <c r="J86" s="58"/>
      <c r="K86" s="58"/>
      <c r="L86" s="58"/>
      <c r="M86" s="58"/>
      <c r="N86" s="58"/>
      <c r="O86" s="58"/>
      <c r="P86" s="10" t="s">
        <v>6</v>
      </c>
      <c r="Q86" s="10" t="s">
        <v>6</v>
      </c>
      <c r="R86" s="97"/>
      <c r="S86" s="97"/>
      <c r="T86" s="97"/>
      <c r="U86" s="97"/>
      <c r="V86" s="58"/>
      <c r="W86" s="10" t="s">
        <v>6</v>
      </c>
      <c r="X86" s="10" t="s">
        <v>6</v>
      </c>
      <c r="Y86" s="58"/>
      <c r="Z86" s="10" t="s">
        <v>6</v>
      </c>
      <c r="AA86" s="58"/>
      <c r="AB86" s="58"/>
      <c r="AC86" s="58"/>
      <c r="AD86" s="58"/>
      <c r="AE86" s="10" t="s">
        <v>6</v>
      </c>
      <c r="AF86" s="58"/>
      <c r="AG86" s="58"/>
      <c r="AH86" s="58"/>
    </row>
    <row r="87" ht="30.0" customHeight="1">
      <c r="B87" s="60" t="s">
        <v>108</v>
      </c>
      <c r="C87" s="10" t="s">
        <v>6</v>
      </c>
      <c r="D87" s="61"/>
      <c r="E87" s="10" t="s">
        <v>6</v>
      </c>
      <c r="F87" s="10" t="s">
        <v>6</v>
      </c>
      <c r="G87" s="97"/>
      <c r="H87" s="61"/>
      <c r="I87" s="61"/>
      <c r="J87" s="10" t="s">
        <v>6</v>
      </c>
      <c r="K87" s="10" t="s">
        <v>6</v>
      </c>
      <c r="L87" s="61"/>
      <c r="M87" s="10" t="s">
        <v>6</v>
      </c>
      <c r="N87" s="61"/>
      <c r="O87" s="61"/>
      <c r="P87" s="10" t="s">
        <v>6</v>
      </c>
      <c r="Q87" s="10" t="s">
        <v>6</v>
      </c>
      <c r="R87" s="97"/>
      <c r="S87" s="97"/>
      <c r="T87" s="97"/>
      <c r="U87" s="97"/>
      <c r="V87" s="61"/>
      <c r="W87" s="10" t="s">
        <v>6</v>
      </c>
      <c r="X87" s="10" t="s">
        <v>6</v>
      </c>
      <c r="Y87" s="10" t="s">
        <v>6</v>
      </c>
      <c r="Z87" s="10" t="s">
        <v>6</v>
      </c>
      <c r="AA87" s="10" t="s">
        <v>6</v>
      </c>
      <c r="AB87" s="61"/>
      <c r="AC87" s="61"/>
      <c r="AD87" s="61"/>
      <c r="AE87" s="10" t="s">
        <v>6</v>
      </c>
      <c r="AF87" s="10" t="s">
        <v>6</v>
      </c>
      <c r="AG87" s="61"/>
      <c r="AH87" s="61"/>
    </row>
    <row r="88" ht="30.0" customHeight="1">
      <c r="B88" s="20" t="s">
        <v>133</v>
      </c>
      <c r="C88" s="58"/>
      <c r="D88" s="10" t="s">
        <v>6</v>
      </c>
      <c r="E88" s="58"/>
      <c r="F88" s="83" t="s">
        <v>174</v>
      </c>
      <c r="G88" s="97"/>
      <c r="H88" s="58"/>
      <c r="I88" s="58"/>
      <c r="J88" s="58"/>
      <c r="K88" s="58"/>
      <c r="L88" s="58"/>
      <c r="M88" s="10" t="s">
        <v>6</v>
      </c>
      <c r="N88" s="58"/>
      <c r="O88" s="58"/>
      <c r="P88" s="58"/>
      <c r="Q88" s="58"/>
      <c r="R88" s="97"/>
      <c r="S88" s="97"/>
      <c r="T88" s="97"/>
      <c r="U88" s="97"/>
      <c r="V88" s="58"/>
      <c r="W88" s="58"/>
      <c r="X88" s="58"/>
      <c r="Y88" s="10" t="s">
        <v>6</v>
      </c>
      <c r="Z88" s="58"/>
      <c r="AA88" s="58"/>
      <c r="AB88" s="58"/>
      <c r="AC88" s="58"/>
      <c r="AD88" s="58"/>
      <c r="AE88" s="58"/>
      <c r="AF88" s="58"/>
      <c r="AG88" s="58"/>
      <c r="AH88" s="58"/>
    </row>
    <row r="89" ht="30.0" customHeight="1">
      <c r="B89" s="20" t="s">
        <v>105</v>
      </c>
      <c r="C89" s="61"/>
      <c r="D89" s="10" t="s">
        <v>6</v>
      </c>
      <c r="E89" s="61"/>
      <c r="F89" s="10" t="s">
        <v>6</v>
      </c>
      <c r="G89" s="97"/>
      <c r="H89" s="61"/>
      <c r="I89" s="61"/>
      <c r="J89" s="10" t="s">
        <v>6</v>
      </c>
      <c r="K89" s="10" t="s">
        <v>6</v>
      </c>
      <c r="L89" s="61"/>
      <c r="M89" s="10" t="s">
        <v>6</v>
      </c>
      <c r="N89" s="61"/>
      <c r="O89" s="61"/>
      <c r="P89" s="10" t="s">
        <v>6</v>
      </c>
      <c r="Q89" s="10" t="s">
        <v>6</v>
      </c>
      <c r="R89" s="97"/>
      <c r="S89" s="97"/>
      <c r="T89" s="97"/>
      <c r="U89" s="97"/>
      <c r="V89" s="61"/>
      <c r="W89" s="61"/>
      <c r="X89" s="10" t="s">
        <v>6</v>
      </c>
      <c r="Y89" s="61"/>
      <c r="Z89" s="61"/>
      <c r="AA89" s="10" t="s">
        <v>6</v>
      </c>
      <c r="AB89" s="61"/>
      <c r="AC89" s="61"/>
      <c r="AD89" s="61"/>
      <c r="AE89" s="10" t="s">
        <v>6</v>
      </c>
      <c r="AF89" s="61"/>
      <c r="AG89" s="61"/>
      <c r="AH89" s="61"/>
    </row>
    <row r="90" ht="30.0" customHeight="1">
      <c r="B90" s="20" t="s">
        <v>179</v>
      </c>
      <c r="C90" s="58"/>
      <c r="D90" s="10" t="s">
        <v>6</v>
      </c>
      <c r="E90" s="58"/>
      <c r="F90" s="58"/>
      <c r="G90" s="97"/>
      <c r="H90" s="58"/>
      <c r="I90" s="10" t="s">
        <v>6</v>
      </c>
      <c r="J90" s="58"/>
      <c r="K90" s="10" t="s">
        <v>6</v>
      </c>
      <c r="L90" s="58"/>
      <c r="M90" s="10" t="s">
        <v>6</v>
      </c>
      <c r="N90" s="58"/>
      <c r="O90" s="58"/>
      <c r="P90" s="10" t="s">
        <v>6</v>
      </c>
      <c r="Q90" s="58"/>
      <c r="R90" s="97"/>
      <c r="S90" s="97"/>
      <c r="T90" s="97"/>
      <c r="U90" s="97"/>
      <c r="V90" s="58"/>
      <c r="W90" s="10" t="s">
        <v>6</v>
      </c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</row>
    <row r="91" ht="30.0" customHeight="1">
      <c r="B91" s="20" t="s">
        <v>113</v>
      </c>
      <c r="C91" s="61"/>
      <c r="D91" s="61"/>
      <c r="E91" s="10" t="s">
        <v>6</v>
      </c>
      <c r="F91" s="61"/>
      <c r="G91" s="97"/>
      <c r="H91" s="61"/>
      <c r="I91" s="61"/>
      <c r="J91" s="61"/>
      <c r="K91" s="61"/>
      <c r="L91" s="61"/>
      <c r="M91" s="10" t="s">
        <v>6</v>
      </c>
      <c r="N91" s="10" t="s">
        <v>6</v>
      </c>
      <c r="O91" s="61"/>
      <c r="P91" s="61"/>
      <c r="Q91" s="61"/>
      <c r="R91" s="97"/>
      <c r="S91" s="97"/>
      <c r="T91" s="97"/>
      <c r="U91" s="97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</row>
    <row r="92" ht="30.0" customHeight="1">
      <c r="B92" s="47" t="s">
        <v>228</v>
      </c>
      <c r="C92" s="58"/>
      <c r="D92" s="58"/>
      <c r="E92" s="10" t="s">
        <v>6</v>
      </c>
      <c r="F92" s="58"/>
      <c r="G92" s="97"/>
      <c r="H92" s="58"/>
      <c r="I92" s="83" t="s">
        <v>174</v>
      </c>
      <c r="J92" s="58"/>
      <c r="K92" s="58"/>
      <c r="L92" s="58"/>
      <c r="M92" s="58"/>
      <c r="N92" s="58"/>
      <c r="O92" s="58"/>
      <c r="P92" s="10" t="s">
        <v>6</v>
      </c>
      <c r="Q92" s="58"/>
      <c r="R92" s="97"/>
      <c r="S92" s="97"/>
      <c r="T92" s="97"/>
      <c r="U92" s="97"/>
      <c r="V92" s="58"/>
      <c r="W92" s="10" t="s">
        <v>6</v>
      </c>
      <c r="X92" s="58"/>
      <c r="Y92" s="58"/>
      <c r="Z92" s="10" t="s">
        <v>6</v>
      </c>
      <c r="AA92" s="58"/>
      <c r="AB92" s="58"/>
      <c r="AC92" s="58"/>
      <c r="AD92" s="58"/>
      <c r="AE92" s="58"/>
      <c r="AF92" s="58"/>
      <c r="AG92" s="58"/>
      <c r="AH92" s="58"/>
    </row>
    <row r="93" ht="30.0" customHeight="1">
      <c r="B93" s="47" t="s">
        <v>229</v>
      </c>
      <c r="C93" s="61"/>
      <c r="D93" s="61"/>
      <c r="E93" s="10" t="s">
        <v>6</v>
      </c>
      <c r="F93" s="61"/>
      <c r="G93" s="97"/>
      <c r="H93" s="61"/>
      <c r="I93" s="83" t="s">
        <v>174</v>
      </c>
      <c r="J93" s="61"/>
      <c r="K93" s="61"/>
      <c r="L93" s="61"/>
      <c r="M93" s="61"/>
      <c r="N93" s="61"/>
      <c r="O93" s="61"/>
      <c r="P93" s="10" t="s">
        <v>6</v>
      </c>
      <c r="Q93" s="61"/>
      <c r="R93" s="97"/>
      <c r="S93" s="97"/>
      <c r="T93" s="97"/>
      <c r="U93" s="97"/>
      <c r="V93" s="61"/>
      <c r="W93" s="10" t="s">
        <v>6</v>
      </c>
      <c r="X93" s="61"/>
      <c r="Y93" s="61"/>
      <c r="Z93" s="10" t="s">
        <v>6</v>
      </c>
      <c r="AA93" s="61"/>
      <c r="AB93" s="61"/>
      <c r="AC93" s="61"/>
      <c r="AD93" s="61"/>
      <c r="AE93" s="61"/>
      <c r="AF93" s="61"/>
      <c r="AG93" s="61"/>
      <c r="AH93" s="61"/>
    </row>
    <row r="94" ht="30.0" customHeight="1">
      <c r="B94" s="57" t="s">
        <v>115</v>
      </c>
      <c r="C94" s="58"/>
      <c r="D94" s="58"/>
      <c r="E94" s="58"/>
      <c r="F94" s="10" t="s">
        <v>6</v>
      </c>
      <c r="G94" s="97"/>
      <c r="H94" s="58"/>
      <c r="I94" s="58"/>
      <c r="J94" s="58"/>
      <c r="K94" s="58"/>
      <c r="L94" s="58"/>
      <c r="M94" s="10" t="s">
        <v>6</v>
      </c>
      <c r="N94" s="10" t="s">
        <v>6</v>
      </c>
      <c r="O94" s="58"/>
      <c r="P94" s="58"/>
      <c r="Q94" s="58"/>
      <c r="R94" s="97"/>
      <c r="S94" s="97"/>
      <c r="T94" s="97"/>
      <c r="U94" s="97"/>
      <c r="V94" s="58"/>
      <c r="W94" s="58"/>
      <c r="X94" s="58"/>
      <c r="Y94" s="58"/>
      <c r="Z94" s="58"/>
      <c r="AA94" s="10" t="s">
        <v>6</v>
      </c>
      <c r="AB94" s="10" t="s">
        <v>6</v>
      </c>
      <c r="AC94" s="58"/>
      <c r="AD94" s="58"/>
      <c r="AE94" s="10" t="s">
        <v>6</v>
      </c>
      <c r="AF94" s="10" t="s">
        <v>6</v>
      </c>
      <c r="AG94" s="58"/>
      <c r="AH94" s="58"/>
    </row>
    <row r="95" ht="30.0" customHeight="1">
      <c r="B95" s="47" t="s">
        <v>176</v>
      </c>
      <c r="C95" s="58"/>
      <c r="D95" s="58"/>
      <c r="E95" s="58"/>
      <c r="F95" s="10" t="s">
        <v>6</v>
      </c>
      <c r="G95" s="97"/>
      <c r="H95" s="58"/>
      <c r="I95" s="10" t="s">
        <v>6</v>
      </c>
      <c r="J95" s="58"/>
      <c r="K95" s="58"/>
      <c r="L95" s="58"/>
      <c r="M95" s="10" t="s">
        <v>6</v>
      </c>
      <c r="N95" s="58"/>
      <c r="O95" s="58"/>
      <c r="P95" s="10" t="s">
        <v>6</v>
      </c>
      <c r="Q95" s="58"/>
      <c r="R95" s="97"/>
      <c r="S95" s="97"/>
      <c r="T95" s="97"/>
      <c r="U95" s="97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</row>
    <row r="96" ht="30.0" customHeight="1">
      <c r="B96" s="57" t="s">
        <v>111</v>
      </c>
      <c r="C96" s="58"/>
      <c r="D96" s="58"/>
      <c r="E96" s="58"/>
      <c r="F96" s="58"/>
      <c r="G96" s="97"/>
      <c r="H96" s="58"/>
      <c r="I96" s="58"/>
      <c r="J96" s="10" t="s">
        <v>6</v>
      </c>
      <c r="K96" s="58"/>
      <c r="L96" s="58"/>
      <c r="M96" s="58"/>
      <c r="N96" s="10" t="s">
        <v>6</v>
      </c>
      <c r="O96" s="58"/>
      <c r="P96" s="58"/>
      <c r="Q96" s="58"/>
      <c r="R96" s="97"/>
      <c r="S96" s="97"/>
      <c r="T96" s="97"/>
      <c r="U96" s="97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</row>
    <row r="97" ht="30.0" customHeight="1">
      <c r="B97" s="47" t="s">
        <v>217</v>
      </c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10" t="s">
        <v>6</v>
      </c>
      <c r="Q97" s="58"/>
      <c r="R97" s="97"/>
      <c r="S97" s="97"/>
      <c r="T97" s="97"/>
      <c r="U97" s="97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</row>
    <row r="98" ht="30.0" customHeight="1">
      <c r="B98" s="47" t="s">
        <v>230</v>
      </c>
      <c r="C98" s="58"/>
      <c r="D98" s="58"/>
      <c r="E98" s="58"/>
      <c r="F98" s="58"/>
      <c r="G98" s="58"/>
      <c r="H98" s="58"/>
      <c r="I98" s="58"/>
      <c r="J98" s="10" t="s">
        <v>6</v>
      </c>
      <c r="K98" s="58"/>
      <c r="L98" s="58"/>
      <c r="M98" s="58"/>
      <c r="N98" s="58"/>
      <c r="O98" s="58"/>
      <c r="P98" s="58"/>
      <c r="Q98" s="10" t="s">
        <v>6</v>
      </c>
      <c r="R98" s="97"/>
      <c r="S98" s="97"/>
      <c r="T98" s="97"/>
      <c r="U98" s="97"/>
      <c r="V98" s="58"/>
      <c r="W98" s="58"/>
      <c r="X98" s="58"/>
      <c r="Y98" s="58"/>
      <c r="Z98" s="10" t="s">
        <v>6</v>
      </c>
      <c r="AA98" s="10" t="s">
        <v>6</v>
      </c>
      <c r="AB98" s="10" t="s">
        <v>6</v>
      </c>
      <c r="AC98" s="58"/>
      <c r="AD98" s="58"/>
      <c r="AE98" s="58"/>
      <c r="AF98" s="58"/>
      <c r="AG98" s="58"/>
      <c r="AH98" s="58"/>
    </row>
    <row r="99" ht="30.0" customHeight="1">
      <c r="B99" s="20" t="s">
        <v>121</v>
      </c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10" t="s">
        <v>6</v>
      </c>
      <c r="AC99" s="58"/>
      <c r="AD99" s="58"/>
      <c r="AE99" s="58"/>
      <c r="AF99" s="58"/>
      <c r="AG99" s="58"/>
      <c r="AH99" s="58"/>
    </row>
    <row r="100" ht="30.0" customHeight="1">
      <c r="B100" s="20" t="s">
        <v>122</v>
      </c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10" t="s">
        <v>6</v>
      </c>
      <c r="AC100" s="58"/>
      <c r="AD100" s="58"/>
      <c r="AE100" s="58"/>
      <c r="AF100" s="58"/>
      <c r="AG100" s="58"/>
      <c r="AH100" s="58"/>
    </row>
    <row r="101" ht="30.0" customHeight="1">
      <c r="B101" s="47" t="s">
        <v>210</v>
      </c>
      <c r="C101" s="58"/>
      <c r="D101" s="58"/>
      <c r="E101" s="58"/>
      <c r="F101" s="58"/>
      <c r="G101" s="58"/>
      <c r="H101" s="58"/>
      <c r="I101" s="58"/>
      <c r="J101" s="10" t="s">
        <v>6</v>
      </c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10" t="s">
        <v>6</v>
      </c>
      <c r="AC101" s="58"/>
      <c r="AD101" s="58"/>
      <c r="AE101" s="58"/>
      <c r="AF101" s="58"/>
      <c r="AG101" s="58"/>
      <c r="AH101" s="57">
        <v>2.0</v>
      </c>
    </row>
    <row r="102" ht="30.0" customHeight="1">
      <c r="B102" s="57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</row>
    <row r="103" ht="30.0" customHeight="1"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</row>
    <row r="104" ht="30.0" customHeight="1">
      <c r="B104" s="99" t="str">
        <f>Abril!MonthName&amp;" Total"</f>
        <v>Abril Total</v>
      </c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99"/>
    </row>
    <row r="105" ht="30.0" customHeight="1"/>
    <row r="106" ht="30.0" customHeight="1">
      <c r="B106" s="49" t="s">
        <v>218</v>
      </c>
      <c r="C106" s="80" t="s">
        <v>182</v>
      </c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</row>
    <row r="107" ht="30.0" customHeight="1">
      <c r="B107" s="51"/>
      <c r="C107" s="52" t="str">
        <f>TEXT(WEEKDAY(DATE(CalendarioAño,4,1),1),"ddd")</f>
        <v>mar</v>
      </c>
      <c r="D107" s="52" t="str">
        <f>TEXT(WEEKDAY(DATE(CalendarioAño,4,2),1),"ddd")</f>
        <v>mié</v>
      </c>
      <c r="E107" s="52" t="str">
        <f>TEXT(WEEKDAY(DATE(CalendarioAño,4,3),1),"ddd")</f>
        <v>jue</v>
      </c>
      <c r="F107" s="52" t="str">
        <f>TEXT(WEEKDAY(DATE(CalendarioAño,4,4),1),"ddd")</f>
        <v>vie</v>
      </c>
      <c r="G107" s="52" t="str">
        <f>TEXT(WEEKDAY(DATE(CalendarioAño,4,5),1),"ddd")</f>
        <v>sáb</v>
      </c>
      <c r="H107" s="52" t="str">
        <f>TEXT(WEEKDAY(DATE(CalendarioAño,4,6),1),"ddd")</f>
        <v>dom</v>
      </c>
      <c r="I107" s="52" t="str">
        <f>TEXT(WEEKDAY(DATE(CalendarioAño,4,7),1),"ddd")</f>
        <v>lun</v>
      </c>
      <c r="J107" s="52" t="str">
        <f>TEXT(WEEKDAY(DATE(CalendarioAño,4,8),1),"ddd")</f>
        <v>mar</v>
      </c>
      <c r="K107" s="52" t="str">
        <f>TEXT(WEEKDAY(DATE(CalendarioAño,4,9),1),"ddd")</f>
        <v>mié</v>
      </c>
      <c r="L107" s="52" t="str">
        <f>TEXT(WEEKDAY(DATE(CalendarioAño,4,10),1),"ddd")</f>
        <v>jue</v>
      </c>
      <c r="M107" s="52" t="str">
        <f>TEXT(WEEKDAY(DATE(CalendarioAño,4,11),1),"ddd")</f>
        <v>vie</v>
      </c>
      <c r="N107" s="52" t="str">
        <f>TEXT(WEEKDAY(DATE(CalendarioAño,4,12),1),"ddd")</f>
        <v>sáb</v>
      </c>
      <c r="O107" s="52" t="str">
        <f>TEXT(WEEKDAY(DATE(CalendarioAño,4,13),1),"ddd")</f>
        <v>dom</v>
      </c>
      <c r="P107" s="52" t="str">
        <f>TEXT(WEEKDAY(DATE(CalendarioAño,4,14),1),"ddd")</f>
        <v>lun</v>
      </c>
      <c r="Q107" s="52" t="str">
        <f>TEXT(WEEKDAY(DATE(CalendarioAño,4,15),1),"ddd")</f>
        <v>mar</v>
      </c>
      <c r="R107" s="52" t="str">
        <f>TEXT(WEEKDAY(DATE(CalendarioAño,4,16),1),"ddd")</f>
        <v>mié</v>
      </c>
      <c r="S107" s="52" t="str">
        <f>TEXT(WEEKDAY(DATE(CalendarioAño,4,17),1),"ddd")</f>
        <v>jue</v>
      </c>
      <c r="T107" s="52" t="str">
        <f>TEXT(WEEKDAY(DATE(CalendarioAño,4,18),1),"ddd")</f>
        <v>vie</v>
      </c>
      <c r="U107" s="52" t="str">
        <f>TEXT(WEEKDAY(DATE(CalendarioAño,4,19),1),"ddd")</f>
        <v>sáb</v>
      </c>
      <c r="V107" s="52" t="str">
        <f>TEXT(WEEKDAY(DATE(CalendarioAño,4,20),1),"ddd")</f>
        <v>dom</v>
      </c>
      <c r="W107" s="52" t="str">
        <f>TEXT(WEEKDAY(DATE(CalendarioAño,4,21),1),"ddd")</f>
        <v>lun</v>
      </c>
      <c r="X107" s="52" t="str">
        <f>TEXT(WEEKDAY(DATE(CalendarioAño,4,22),1),"ddd")</f>
        <v>mar</v>
      </c>
      <c r="Y107" s="52" t="str">
        <f>TEXT(WEEKDAY(DATE(CalendarioAño,4,23),1),"ddd")</f>
        <v>mié</v>
      </c>
      <c r="Z107" s="52" t="str">
        <f>TEXT(WEEKDAY(DATE(CalendarioAño,4,24),1),"ddd")</f>
        <v>jue</v>
      </c>
      <c r="AA107" s="52" t="str">
        <f>TEXT(WEEKDAY(DATE(CalendarioAño,4,25),1),"ddd")</f>
        <v>vie</v>
      </c>
      <c r="AB107" s="52" t="str">
        <f>TEXT(WEEKDAY(DATE(CalendarioAño,4,26),1),"ddd")</f>
        <v>sáb</v>
      </c>
      <c r="AC107" s="52" t="str">
        <f>TEXT(WEEKDAY(DATE(CalendarioAño,4,27),1),"ddd")</f>
        <v>dom</v>
      </c>
      <c r="AD107" s="52" t="str">
        <f>TEXT(WEEKDAY(DATE(CalendarioAño,4,28),1),"ddd")</f>
        <v>lun</v>
      </c>
      <c r="AE107" s="52" t="str">
        <f>TEXT(WEEKDAY(DATE(CalendarioAño,4,29),1),"ddd")</f>
        <v>mar</v>
      </c>
      <c r="AF107" s="52" t="str">
        <f>TEXT(WEEKDAY(DATE(CalendarioAño,4,30),1),"ddd")</f>
        <v>mié</v>
      </c>
      <c r="AG107" s="43"/>
    </row>
    <row r="108" ht="30.0" customHeight="1">
      <c r="B108" s="33" t="s">
        <v>219</v>
      </c>
      <c r="C108" s="19" t="s">
        <v>15</v>
      </c>
      <c r="D108" s="19" t="s">
        <v>16</v>
      </c>
      <c r="E108" s="19" t="s">
        <v>17</v>
      </c>
      <c r="F108" s="19" t="s">
        <v>18</v>
      </c>
      <c r="G108" s="19" t="s">
        <v>19</v>
      </c>
      <c r="H108" s="19" t="s">
        <v>20</v>
      </c>
      <c r="I108" s="19" t="s">
        <v>21</v>
      </c>
      <c r="J108" s="19" t="s">
        <v>22</v>
      </c>
      <c r="K108" s="19" t="s">
        <v>23</v>
      </c>
      <c r="L108" s="19" t="s">
        <v>24</v>
      </c>
      <c r="M108" s="19" t="s">
        <v>25</v>
      </c>
      <c r="N108" s="19" t="s">
        <v>26</v>
      </c>
      <c r="O108" s="19" t="s">
        <v>27</v>
      </c>
      <c r="P108" s="19" t="s">
        <v>28</v>
      </c>
      <c r="Q108" s="19" t="s">
        <v>29</v>
      </c>
      <c r="R108" s="19" t="s">
        <v>30</v>
      </c>
      <c r="S108" s="19" t="s">
        <v>31</v>
      </c>
      <c r="T108" s="19" t="s">
        <v>32</v>
      </c>
      <c r="U108" s="19" t="s">
        <v>33</v>
      </c>
      <c r="V108" s="19" t="s">
        <v>34</v>
      </c>
      <c r="W108" s="19" t="s">
        <v>35</v>
      </c>
      <c r="X108" s="19" t="s">
        <v>36</v>
      </c>
      <c r="Y108" s="19" t="s">
        <v>37</v>
      </c>
      <c r="Z108" s="19" t="s">
        <v>38</v>
      </c>
      <c r="AA108" s="19" t="s">
        <v>39</v>
      </c>
      <c r="AB108" s="19" t="s">
        <v>40</v>
      </c>
      <c r="AC108" s="19" t="s">
        <v>41</v>
      </c>
      <c r="AD108" s="19" t="s">
        <v>42</v>
      </c>
      <c r="AE108" s="19" t="s">
        <v>43</v>
      </c>
      <c r="AF108" s="19" t="s">
        <v>44</v>
      </c>
      <c r="AG108" s="96" t="s">
        <v>89</v>
      </c>
      <c r="AH108" s="98"/>
    </row>
    <row r="109" ht="30.0" customHeight="1">
      <c r="B109" s="20" t="s">
        <v>214</v>
      </c>
      <c r="C109" s="10" t="s">
        <v>6</v>
      </c>
      <c r="D109" s="58"/>
      <c r="E109" s="10" t="s">
        <v>6</v>
      </c>
      <c r="F109" s="58"/>
      <c r="G109" s="97"/>
      <c r="H109" s="58"/>
      <c r="I109" s="58"/>
      <c r="J109" s="10" t="s">
        <v>6</v>
      </c>
      <c r="K109" s="58"/>
      <c r="L109" s="58"/>
      <c r="M109" s="58"/>
      <c r="N109" s="58"/>
      <c r="O109" s="58"/>
      <c r="P109" s="58"/>
      <c r="Q109" s="10" t="s">
        <v>6</v>
      </c>
      <c r="R109" s="97"/>
      <c r="S109" s="97"/>
      <c r="T109" s="97"/>
      <c r="U109" s="97"/>
      <c r="V109" s="58"/>
      <c r="W109" s="58"/>
      <c r="X109" s="10" t="s">
        <v>6</v>
      </c>
      <c r="Y109" s="58"/>
      <c r="Z109" s="10" t="s">
        <v>6</v>
      </c>
      <c r="AA109" s="58"/>
      <c r="AB109" s="58"/>
      <c r="AC109" s="58"/>
      <c r="AD109" s="58"/>
      <c r="AE109" s="10" t="s">
        <v>6</v>
      </c>
      <c r="AF109" s="58"/>
      <c r="AG109" s="58"/>
      <c r="AH109" s="57">
        <v>7.0</v>
      </c>
    </row>
    <row r="110" ht="30.0" customHeight="1">
      <c r="B110" s="20" t="s">
        <v>126</v>
      </c>
      <c r="C110" s="58"/>
      <c r="D110" s="83" t="s">
        <v>174</v>
      </c>
      <c r="E110" s="83" t="s">
        <v>174</v>
      </c>
      <c r="F110" s="58"/>
      <c r="G110" s="97"/>
      <c r="H110" s="58"/>
      <c r="I110" s="83" t="s">
        <v>174</v>
      </c>
      <c r="J110" s="58"/>
      <c r="K110" s="83" t="s">
        <v>174</v>
      </c>
      <c r="L110" s="58"/>
      <c r="M110" s="58"/>
      <c r="N110" s="58"/>
      <c r="O110" s="58"/>
      <c r="P110" s="83" t="s">
        <v>174</v>
      </c>
      <c r="Q110" s="83" t="s">
        <v>174</v>
      </c>
      <c r="R110" s="97"/>
      <c r="S110" s="97"/>
      <c r="T110" s="97"/>
      <c r="U110" s="97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</row>
    <row r="111" ht="30.0" customHeight="1">
      <c r="B111" s="47" t="s">
        <v>216</v>
      </c>
      <c r="C111" s="61"/>
      <c r="D111" s="61"/>
      <c r="E111" s="10" t="s">
        <v>6</v>
      </c>
      <c r="F111" s="61"/>
      <c r="G111" s="97"/>
      <c r="H111" s="61"/>
      <c r="I111" s="10" t="s">
        <v>6</v>
      </c>
      <c r="J111" s="61"/>
      <c r="K111" s="61"/>
      <c r="L111" s="61"/>
      <c r="M111" s="61"/>
      <c r="N111" s="61"/>
      <c r="O111" s="61"/>
      <c r="P111" s="10" t="s">
        <v>6</v>
      </c>
      <c r="Q111" s="61"/>
      <c r="R111" s="97"/>
      <c r="S111" s="97"/>
      <c r="T111" s="97"/>
      <c r="U111" s="97"/>
      <c r="V111" s="61"/>
      <c r="W111" s="10" t="s">
        <v>6</v>
      </c>
      <c r="X111" s="61"/>
      <c r="Y111" s="61"/>
      <c r="Z111" s="10" t="s">
        <v>6</v>
      </c>
      <c r="AA111" s="61"/>
      <c r="AB111" s="61"/>
      <c r="AC111" s="61"/>
      <c r="AD111" s="61"/>
      <c r="AE111" s="61"/>
      <c r="AF111" s="61"/>
      <c r="AG111" s="61"/>
      <c r="AH111" s="61"/>
    </row>
    <row r="112" ht="30.0" customHeight="1">
      <c r="B112" s="20" t="s">
        <v>184</v>
      </c>
      <c r="C112" s="58"/>
      <c r="D112" s="58"/>
      <c r="E112" s="10" t="s">
        <v>6</v>
      </c>
      <c r="F112" s="58"/>
      <c r="G112" s="97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97"/>
      <c r="S112" s="97"/>
      <c r="T112" s="97"/>
      <c r="U112" s="97"/>
      <c r="V112" s="58"/>
      <c r="W112" s="58"/>
      <c r="X112" s="58"/>
      <c r="Y112" s="58"/>
      <c r="Z112" s="58"/>
      <c r="AA112" s="58"/>
      <c r="AB112" s="58"/>
      <c r="AC112" s="58"/>
      <c r="AD112" s="58"/>
      <c r="AE112" s="10" t="s">
        <v>6</v>
      </c>
      <c r="AF112" s="58"/>
      <c r="AG112" s="58"/>
      <c r="AH112" s="58"/>
    </row>
    <row r="113" ht="30.0" customHeight="1">
      <c r="B113" s="47" t="s">
        <v>231</v>
      </c>
      <c r="C113" s="61"/>
      <c r="D113" s="61"/>
      <c r="E113" s="10" t="s">
        <v>6</v>
      </c>
      <c r="F113" s="61"/>
      <c r="G113" s="97"/>
      <c r="H113" s="61"/>
      <c r="I113" s="61"/>
      <c r="J113" s="10" t="s">
        <v>6</v>
      </c>
      <c r="K113" s="61"/>
      <c r="L113" s="61"/>
      <c r="M113" s="61"/>
      <c r="N113" s="61"/>
      <c r="O113" s="61"/>
      <c r="P113" s="61"/>
      <c r="Q113" s="10" t="s">
        <v>6</v>
      </c>
      <c r="R113" s="97"/>
      <c r="S113" s="97"/>
      <c r="T113" s="97"/>
      <c r="U113" s="97"/>
      <c r="V113" s="61"/>
      <c r="W113" s="61"/>
      <c r="X113" s="10" t="s">
        <v>6</v>
      </c>
      <c r="Y113" s="61"/>
      <c r="Z113" s="10" t="s">
        <v>6</v>
      </c>
      <c r="AA113" s="61"/>
      <c r="AB113" s="61"/>
      <c r="AC113" s="61"/>
      <c r="AD113" s="61"/>
      <c r="AE113" s="10" t="s">
        <v>6</v>
      </c>
      <c r="AF113" s="61"/>
      <c r="AG113" s="61"/>
      <c r="AH113" s="61"/>
    </row>
    <row r="114" ht="30.0" customHeight="1">
      <c r="B114" s="47" t="s">
        <v>130</v>
      </c>
      <c r="C114" s="10" t="s">
        <v>6</v>
      </c>
      <c r="D114" s="58"/>
      <c r="E114" s="10" t="s">
        <v>6</v>
      </c>
      <c r="F114" s="58"/>
      <c r="G114" s="97"/>
      <c r="H114" s="58"/>
      <c r="I114" s="58"/>
      <c r="J114" s="10" t="s">
        <v>6</v>
      </c>
      <c r="K114" s="58"/>
      <c r="L114" s="58"/>
      <c r="M114" s="58"/>
      <c r="N114" s="58"/>
      <c r="O114" s="58"/>
      <c r="P114" s="58"/>
      <c r="Q114" s="10" t="s">
        <v>6</v>
      </c>
      <c r="R114" s="97"/>
      <c r="S114" s="97"/>
      <c r="T114" s="97"/>
      <c r="U114" s="97"/>
      <c r="V114" s="58"/>
      <c r="W114" s="58"/>
      <c r="X114" s="58"/>
      <c r="Y114" s="58"/>
      <c r="Z114" s="10" t="s">
        <v>6</v>
      </c>
      <c r="AA114" s="58"/>
      <c r="AB114" s="58"/>
      <c r="AC114" s="58"/>
      <c r="AD114" s="58"/>
      <c r="AE114" s="10" t="s">
        <v>6</v>
      </c>
      <c r="AF114" s="58"/>
      <c r="AG114" s="58"/>
      <c r="AH114" s="57">
        <v>6.0</v>
      </c>
    </row>
    <row r="115" ht="30.0" customHeight="1">
      <c r="B115" s="20" t="s">
        <v>215</v>
      </c>
      <c r="C115" s="61"/>
      <c r="D115" s="61"/>
      <c r="E115" s="61"/>
      <c r="F115" s="10" t="s">
        <v>6</v>
      </c>
      <c r="G115" s="97"/>
      <c r="H115" s="61"/>
      <c r="I115" s="61"/>
      <c r="J115" s="61"/>
      <c r="K115" s="10" t="s">
        <v>6</v>
      </c>
      <c r="L115" s="61"/>
      <c r="M115" s="10" t="s">
        <v>6</v>
      </c>
      <c r="N115" s="61"/>
      <c r="O115" s="61"/>
      <c r="P115" s="61"/>
      <c r="Q115" s="61"/>
      <c r="R115" s="97"/>
      <c r="S115" s="97"/>
      <c r="T115" s="97"/>
      <c r="U115" s="97"/>
      <c r="V115" s="61"/>
      <c r="W115" s="61"/>
      <c r="X115" s="61"/>
      <c r="Y115" s="10" t="s">
        <v>6</v>
      </c>
      <c r="Z115" s="61"/>
      <c r="AA115" s="10" t="s">
        <v>6</v>
      </c>
      <c r="AB115" s="61"/>
      <c r="AC115" s="61"/>
      <c r="AD115" s="61"/>
      <c r="AE115" s="61"/>
      <c r="AF115" s="10" t="s">
        <v>6</v>
      </c>
      <c r="AG115" s="61"/>
      <c r="AH115" s="61"/>
    </row>
    <row r="116" ht="30.0" customHeight="1">
      <c r="B116" s="57" t="s">
        <v>80</v>
      </c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10" t="s">
        <v>6</v>
      </c>
      <c r="R116" s="97"/>
      <c r="S116" s="97"/>
      <c r="T116" s="97"/>
      <c r="U116" s="97"/>
      <c r="V116" s="58"/>
      <c r="W116" s="58"/>
      <c r="X116" s="10" t="s">
        <v>6</v>
      </c>
      <c r="Y116" s="58"/>
      <c r="Z116" s="58"/>
      <c r="AA116" s="58"/>
      <c r="AB116" s="58"/>
      <c r="AC116" s="58"/>
      <c r="AD116" s="58"/>
      <c r="AE116" s="10" t="s">
        <v>6</v>
      </c>
      <c r="AF116" s="58"/>
      <c r="AG116" s="58"/>
      <c r="AH116" s="57">
        <v>3.0</v>
      </c>
    </row>
    <row r="117" ht="30.0" customHeight="1">
      <c r="B117" s="47" t="s">
        <v>232</v>
      </c>
      <c r="C117" s="61"/>
      <c r="D117" s="61"/>
      <c r="E117" s="61"/>
      <c r="F117" s="61"/>
      <c r="G117" s="61"/>
      <c r="H117" s="61"/>
      <c r="I117" s="61"/>
      <c r="J117" s="10" t="s">
        <v>6</v>
      </c>
      <c r="K117" s="61"/>
      <c r="L117" s="61"/>
      <c r="M117" s="61"/>
      <c r="N117" s="61"/>
      <c r="O117" s="61"/>
      <c r="P117" s="61"/>
      <c r="Q117" s="10" t="s">
        <v>6</v>
      </c>
      <c r="R117" s="97"/>
      <c r="S117" s="97"/>
      <c r="T117" s="97"/>
      <c r="U117" s="97"/>
      <c r="V117" s="61"/>
      <c r="W117" s="61"/>
      <c r="X117" s="10" t="s">
        <v>6</v>
      </c>
      <c r="Y117" s="10" t="s">
        <v>6</v>
      </c>
      <c r="Z117" s="10" t="s">
        <v>6</v>
      </c>
      <c r="AA117" s="61"/>
      <c r="AB117" s="61"/>
      <c r="AC117" s="61"/>
      <c r="AD117" s="61"/>
      <c r="AE117" s="61"/>
      <c r="AF117" s="61"/>
      <c r="AG117" s="61"/>
      <c r="AH117" s="61"/>
    </row>
    <row r="118" ht="30.0" customHeight="1">
      <c r="B118" s="47" t="s">
        <v>178</v>
      </c>
      <c r="C118" s="58"/>
      <c r="D118" s="58"/>
      <c r="E118" s="58"/>
      <c r="F118" s="58"/>
      <c r="G118" s="58"/>
      <c r="H118" s="58"/>
      <c r="I118" s="58"/>
      <c r="J118" s="58"/>
      <c r="K118" s="10" t="s">
        <v>6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10" t="s">
        <v>6</v>
      </c>
      <c r="Z118" s="58"/>
      <c r="AA118" s="10" t="s">
        <v>6</v>
      </c>
      <c r="AB118" s="58"/>
      <c r="AC118" s="58"/>
      <c r="AD118" s="58"/>
      <c r="AE118" s="58"/>
      <c r="AF118" s="10" t="s">
        <v>6</v>
      </c>
      <c r="AG118" s="58"/>
      <c r="AH118" s="57">
        <v>4.0</v>
      </c>
    </row>
    <row r="119" ht="30.0" customHeight="1">
      <c r="B119" s="57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</row>
    <row r="120" ht="30.0" customHeight="1">
      <c r="B120" s="60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</row>
    <row r="121" ht="30.0" customHeight="1">
      <c r="B121" s="99" t="str">
        <f>Abril!MonthName&amp;" Total"</f>
        <v>Abril Total</v>
      </c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99"/>
    </row>
    <row r="122" ht="30.0" customHeight="1"/>
    <row r="123" ht="30.0" customHeight="1">
      <c r="B123" s="49" t="s">
        <v>218</v>
      </c>
      <c r="C123" s="80" t="s">
        <v>186</v>
      </c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</row>
    <row r="124" ht="30.0" customHeight="1">
      <c r="B124" s="51"/>
      <c r="C124" s="52" t="str">
        <f>TEXT(WEEKDAY(DATE(CalendarioAño,4,1),1),"ddd")</f>
        <v>mar</v>
      </c>
      <c r="D124" s="52" t="str">
        <f>TEXT(WEEKDAY(DATE(CalendarioAño,4,2),1),"ddd")</f>
        <v>mié</v>
      </c>
      <c r="E124" s="52" t="str">
        <f>TEXT(WEEKDAY(DATE(CalendarioAño,4,3),1),"ddd")</f>
        <v>jue</v>
      </c>
      <c r="F124" s="52" t="str">
        <f>TEXT(WEEKDAY(DATE(CalendarioAño,4,4),1),"ddd")</f>
        <v>vie</v>
      </c>
      <c r="G124" s="52" t="str">
        <f>TEXT(WEEKDAY(DATE(CalendarioAño,4,5),1),"ddd")</f>
        <v>sáb</v>
      </c>
      <c r="H124" s="52" t="str">
        <f>TEXT(WEEKDAY(DATE(CalendarioAño,4,6),1),"ddd")</f>
        <v>dom</v>
      </c>
      <c r="I124" s="52" t="str">
        <f>TEXT(WEEKDAY(DATE(CalendarioAño,4,7),1),"ddd")</f>
        <v>lun</v>
      </c>
      <c r="J124" s="52" t="str">
        <f>TEXT(WEEKDAY(DATE(CalendarioAño,4,8),1),"ddd")</f>
        <v>mar</v>
      </c>
      <c r="K124" s="52" t="str">
        <f>TEXT(WEEKDAY(DATE(CalendarioAño,4,9),1),"ddd")</f>
        <v>mié</v>
      </c>
      <c r="L124" s="52" t="str">
        <f>TEXT(WEEKDAY(DATE(CalendarioAño,4,10),1),"ddd")</f>
        <v>jue</v>
      </c>
      <c r="M124" s="52" t="str">
        <f>TEXT(WEEKDAY(DATE(CalendarioAño,4,11),1),"ddd")</f>
        <v>vie</v>
      </c>
      <c r="N124" s="52" t="str">
        <f>TEXT(WEEKDAY(DATE(CalendarioAño,4,12),1),"ddd")</f>
        <v>sáb</v>
      </c>
      <c r="O124" s="52" t="str">
        <f>TEXT(WEEKDAY(DATE(CalendarioAño,4,13),1),"ddd")</f>
        <v>dom</v>
      </c>
      <c r="P124" s="52" t="str">
        <f>TEXT(WEEKDAY(DATE(CalendarioAño,4,14),1),"ddd")</f>
        <v>lun</v>
      </c>
      <c r="Q124" s="52" t="str">
        <f>TEXT(WEEKDAY(DATE(CalendarioAño,4,15),1),"ddd")</f>
        <v>mar</v>
      </c>
      <c r="R124" s="52" t="str">
        <f>TEXT(WEEKDAY(DATE(CalendarioAño,4,16),1),"ddd")</f>
        <v>mié</v>
      </c>
      <c r="S124" s="52" t="str">
        <f>TEXT(WEEKDAY(DATE(CalendarioAño,4,17),1),"ddd")</f>
        <v>jue</v>
      </c>
      <c r="T124" s="52" t="str">
        <f>TEXT(WEEKDAY(DATE(CalendarioAño,4,18),1),"ddd")</f>
        <v>vie</v>
      </c>
      <c r="U124" s="52" t="str">
        <f>TEXT(WEEKDAY(DATE(CalendarioAño,4,19),1),"ddd")</f>
        <v>sáb</v>
      </c>
      <c r="V124" s="52" t="str">
        <f>TEXT(WEEKDAY(DATE(CalendarioAño,4,20),1),"ddd")</f>
        <v>dom</v>
      </c>
      <c r="W124" s="52" t="str">
        <f>TEXT(WEEKDAY(DATE(CalendarioAño,4,21),1),"ddd")</f>
        <v>lun</v>
      </c>
      <c r="X124" s="52" t="str">
        <f>TEXT(WEEKDAY(DATE(CalendarioAño,4,22),1),"ddd")</f>
        <v>mar</v>
      </c>
      <c r="Y124" s="52" t="str">
        <f>TEXT(WEEKDAY(DATE(CalendarioAño,4,23),1),"ddd")</f>
        <v>mié</v>
      </c>
      <c r="Z124" s="52" t="str">
        <f>TEXT(WEEKDAY(DATE(CalendarioAño,4,24),1),"ddd")</f>
        <v>jue</v>
      </c>
      <c r="AA124" s="52" t="str">
        <f>TEXT(WEEKDAY(DATE(CalendarioAño,4,25),1),"ddd")</f>
        <v>vie</v>
      </c>
      <c r="AB124" s="52" t="str">
        <f>TEXT(WEEKDAY(DATE(CalendarioAño,4,26),1),"ddd")</f>
        <v>sáb</v>
      </c>
      <c r="AC124" s="52" t="str">
        <f>TEXT(WEEKDAY(DATE(CalendarioAño,4,27),1),"ddd")</f>
        <v>dom</v>
      </c>
      <c r="AD124" s="52" t="str">
        <f>TEXT(WEEKDAY(DATE(CalendarioAño,4,28),1),"ddd")</f>
        <v>lun</v>
      </c>
      <c r="AE124" s="52" t="str">
        <f>TEXT(WEEKDAY(DATE(CalendarioAño,4,29),1),"ddd")</f>
        <v>mar</v>
      </c>
      <c r="AF124" s="52" t="str">
        <f>TEXT(WEEKDAY(DATE(CalendarioAño,4,30),1),"ddd")</f>
        <v>mié</v>
      </c>
      <c r="AG124" s="43"/>
    </row>
    <row r="125" ht="30.0" customHeight="1">
      <c r="B125" s="33" t="s">
        <v>219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96" t="s">
        <v>89</v>
      </c>
    </row>
    <row r="126" ht="30.0" customHeight="1">
      <c r="B126" s="20" t="s">
        <v>139</v>
      </c>
      <c r="C126" s="10" t="s">
        <v>6</v>
      </c>
      <c r="D126" s="58"/>
      <c r="E126" s="58"/>
      <c r="F126" s="10" t="s">
        <v>6</v>
      </c>
      <c r="G126" s="97"/>
      <c r="H126" s="58"/>
      <c r="I126" s="58"/>
      <c r="J126" s="10" t="s">
        <v>6</v>
      </c>
      <c r="K126" s="58"/>
      <c r="L126" s="58"/>
      <c r="M126" s="58"/>
      <c r="N126" s="58"/>
      <c r="O126" s="58"/>
      <c r="P126" s="10" t="s">
        <v>6</v>
      </c>
      <c r="Q126" s="10" t="s">
        <v>6</v>
      </c>
      <c r="R126" s="97"/>
      <c r="S126" s="97"/>
      <c r="T126" s="97"/>
      <c r="U126" s="97"/>
      <c r="V126" s="58"/>
      <c r="W126" s="58"/>
      <c r="X126" s="88" t="s">
        <v>6</v>
      </c>
      <c r="Y126" s="58"/>
      <c r="Z126" s="58"/>
      <c r="AA126" s="58"/>
      <c r="AB126" s="58"/>
      <c r="AC126" s="58"/>
      <c r="AD126" s="58"/>
      <c r="AE126" s="58"/>
      <c r="AF126" s="58"/>
      <c r="AG126" s="58"/>
    </row>
    <row r="127" ht="30.0" customHeight="1">
      <c r="B127" s="20" t="s">
        <v>75</v>
      </c>
      <c r="C127" s="61"/>
      <c r="D127" s="10" t="s">
        <v>6</v>
      </c>
      <c r="E127" s="61"/>
      <c r="F127" s="61"/>
      <c r="G127" s="97"/>
      <c r="H127" s="61"/>
      <c r="I127" s="10" t="s">
        <v>6</v>
      </c>
      <c r="J127" s="61"/>
      <c r="K127" s="10" t="s">
        <v>6</v>
      </c>
      <c r="L127" s="61"/>
      <c r="M127" s="61"/>
      <c r="N127" s="61"/>
      <c r="O127" s="61"/>
      <c r="P127" s="61"/>
      <c r="Q127" s="61"/>
      <c r="R127" s="97"/>
      <c r="S127" s="97"/>
      <c r="T127" s="97"/>
      <c r="U127" s="97"/>
      <c r="V127" s="61"/>
      <c r="W127" s="61"/>
      <c r="X127" s="61"/>
      <c r="Y127" s="10" t="s">
        <v>6</v>
      </c>
      <c r="Z127" s="61"/>
      <c r="AA127" s="61"/>
      <c r="AB127" s="61"/>
      <c r="AC127" s="61"/>
      <c r="AD127" s="61"/>
      <c r="AE127" s="61"/>
      <c r="AF127" s="10" t="s">
        <v>6</v>
      </c>
      <c r="AG127" s="61"/>
    </row>
    <row r="128" ht="30.0" customHeight="1">
      <c r="B128" s="57" t="s">
        <v>187</v>
      </c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10" t="s">
        <v>6</v>
      </c>
      <c r="AC128" s="58"/>
      <c r="AD128" s="58"/>
      <c r="AE128" s="58"/>
      <c r="AF128" s="58"/>
      <c r="AG128" s="58"/>
    </row>
    <row r="129" ht="30.0" customHeight="1">
      <c r="B129" s="60" t="s">
        <v>185</v>
      </c>
      <c r="C129" s="61"/>
      <c r="D129" s="61"/>
      <c r="E129" s="61"/>
      <c r="F129" s="61"/>
      <c r="G129" s="61"/>
      <c r="H129" s="61"/>
      <c r="I129" s="61"/>
      <c r="J129" s="10" t="s">
        <v>6</v>
      </c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ht="30.0" customHeight="1"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</row>
    <row r="131" ht="30.0" customHeight="1"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ht="30.0" customHeight="1"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</row>
    <row r="133" ht="30.0" customHeight="1"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ht="30.0" customHeight="1"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</row>
    <row r="135" ht="30.0" customHeight="1"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ht="30.0" customHeight="1"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</row>
    <row r="137" ht="30.0" customHeight="1"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ht="30.0" customHeight="1">
      <c r="B138" s="99" t="str">
        <f>Abril!MonthName&amp;" Total"</f>
        <v>Abril Total</v>
      </c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</row>
    <row r="139" ht="30.0" customHeight="1"/>
    <row r="140" ht="30.0" customHeight="1">
      <c r="B140" s="49" t="s">
        <v>218</v>
      </c>
      <c r="C140" s="80" t="s">
        <v>188</v>
      </c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</row>
    <row r="141" ht="30.0" customHeight="1">
      <c r="B141" s="51"/>
      <c r="C141" s="52" t="str">
        <f>TEXT(WEEKDAY(DATE(CalendarioAño,4,1),1),"ddd")</f>
        <v>mar</v>
      </c>
      <c r="D141" s="52" t="str">
        <f>TEXT(WEEKDAY(DATE(CalendarioAño,4,2),1),"ddd")</f>
        <v>mié</v>
      </c>
      <c r="E141" s="52" t="str">
        <f>TEXT(WEEKDAY(DATE(CalendarioAño,4,3),1),"ddd")</f>
        <v>jue</v>
      </c>
      <c r="F141" s="52" t="str">
        <f>TEXT(WEEKDAY(DATE(CalendarioAño,4,4),1),"ddd")</f>
        <v>vie</v>
      </c>
      <c r="G141" s="52" t="str">
        <f>TEXT(WEEKDAY(DATE(CalendarioAño,4,5),1),"ddd")</f>
        <v>sáb</v>
      </c>
      <c r="H141" s="52" t="str">
        <f>TEXT(WEEKDAY(DATE(CalendarioAño,4,6),1),"ddd")</f>
        <v>dom</v>
      </c>
      <c r="I141" s="52" t="str">
        <f>TEXT(WEEKDAY(DATE(CalendarioAño,4,7),1),"ddd")</f>
        <v>lun</v>
      </c>
      <c r="J141" s="52" t="str">
        <f>TEXT(WEEKDAY(DATE(CalendarioAño,4,8),1),"ddd")</f>
        <v>mar</v>
      </c>
      <c r="K141" s="52" t="str">
        <f>TEXT(WEEKDAY(DATE(CalendarioAño,4,9),1),"ddd")</f>
        <v>mié</v>
      </c>
      <c r="L141" s="52" t="str">
        <f>TEXT(WEEKDAY(DATE(CalendarioAño,4,10),1),"ddd")</f>
        <v>jue</v>
      </c>
      <c r="M141" s="52" t="str">
        <f>TEXT(WEEKDAY(DATE(CalendarioAño,4,11),1),"ddd")</f>
        <v>vie</v>
      </c>
      <c r="N141" s="52" t="str">
        <f>TEXT(WEEKDAY(DATE(CalendarioAño,4,12),1),"ddd")</f>
        <v>sáb</v>
      </c>
      <c r="O141" s="52" t="str">
        <f>TEXT(WEEKDAY(DATE(CalendarioAño,4,13),1),"ddd")</f>
        <v>dom</v>
      </c>
      <c r="P141" s="52" t="str">
        <f>TEXT(WEEKDAY(DATE(CalendarioAño,4,14),1),"ddd")</f>
        <v>lun</v>
      </c>
      <c r="Q141" s="52" t="str">
        <f>TEXT(WEEKDAY(DATE(CalendarioAño,4,15),1),"ddd")</f>
        <v>mar</v>
      </c>
      <c r="R141" s="52" t="str">
        <f>TEXT(WEEKDAY(DATE(CalendarioAño,4,16),1),"ddd")</f>
        <v>mié</v>
      </c>
      <c r="S141" s="52" t="str">
        <f>TEXT(WEEKDAY(DATE(CalendarioAño,4,17),1),"ddd")</f>
        <v>jue</v>
      </c>
      <c r="T141" s="52" t="str">
        <f>TEXT(WEEKDAY(DATE(CalendarioAño,4,18),1),"ddd")</f>
        <v>vie</v>
      </c>
      <c r="U141" s="52" t="str">
        <f>TEXT(WEEKDAY(DATE(CalendarioAño,4,19),1),"ddd")</f>
        <v>sáb</v>
      </c>
      <c r="V141" s="52" t="str">
        <f>TEXT(WEEKDAY(DATE(CalendarioAño,4,20),1),"ddd")</f>
        <v>dom</v>
      </c>
      <c r="W141" s="52" t="str">
        <f>TEXT(WEEKDAY(DATE(CalendarioAño,4,21),1),"ddd")</f>
        <v>lun</v>
      </c>
      <c r="X141" s="52" t="str">
        <f>TEXT(WEEKDAY(DATE(CalendarioAño,4,22),1),"ddd")</f>
        <v>mar</v>
      </c>
      <c r="Y141" s="52" t="str">
        <f>TEXT(WEEKDAY(DATE(CalendarioAño,4,23),1),"ddd")</f>
        <v>mié</v>
      </c>
      <c r="Z141" s="52" t="str">
        <f>TEXT(WEEKDAY(DATE(CalendarioAño,4,24),1),"ddd")</f>
        <v>jue</v>
      </c>
      <c r="AA141" s="52" t="str">
        <f>TEXT(WEEKDAY(DATE(CalendarioAño,4,25),1),"ddd")</f>
        <v>vie</v>
      </c>
      <c r="AB141" s="52" t="str">
        <f>TEXT(WEEKDAY(DATE(CalendarioAño,4,26),1),"ddd")</f>
        <v>sáb</v>
      </c>
      <c r="AC141" s="52" t="str">
        <f>TEXT(WEEKDAY(DATE(CalendarioAño,4,27),1),"ddd")</f>
        <v>dom</v>
      </c>
      <c r="AD141" s="52" t="str">
        <f>TEXT(WEEKDAY(DATE(CalendarioAño,4,28),1),"ddd")</f>
        <v>lun</v>
      </c>
      <c r="AE141" s="52" t="str">
        <f>TEXT(WEEKDAY(DATE(CalendarioAño,4,29),1),"ddd")</f>
        <v>mar</v>
      </c>
      <c r="AF141" s="52" t="str">
        <f>TEXT(WEEKDAY(DATE(CalendarioAño,4,30),1),"ddd")</f>
        <v>mié</v>
      </c>
      <c r="AG141" s="43"/>
    </row>
    <row r="142" ht="30.0" customHeight="1">
      <c r="B142" s="33" t="s">
        <v>219</v>
      </c>
      <c r="C142" s="19" t="s">
        <v>15</v>
      </c>
      <c r="D142" s="19" t="s">
        <v>16</v>
      </c>
      <c r="E142" s="19" t="s">
        <v>17</v>
      </c>
      <c r="F142" s="19" t="s">
        <v>18</v>
      </c>
      <c r="G142" s="19" t="s">
        <v>19</v>
      </c>
      <c r="H142" s="19" t="s">
        <v>20</v>
      </c>
      <c r="I142" s="19" t="s">
        <v>21</v>
      </c>
      <c r="J142" s="19" t="s">
        <v>22</v>
      </c>
      <c r="K142" s="19" t="s">
        <v>23</v>
      </c>
      <c r="L142" s="19" t="s">
        <v>24</v>
      </c>
      <c r="M142" s="19" t="s">
        <v>25</v>
      </c>
      <c r="N142" s="19" t="s">
        <v>26</v>
      </c>
      <c r="O142" s="19" t="s">
        <v>27</v>
      </c>
      <c r="P142" s="19" t="s">
        <v>28</v>
      </c>
      <c r="Q142" s="19" t="s">
        <v>29</v>
      </c>
      <c r="R142" s="19" t="s">
        <v>30</v>
      </c>
      <c r="S142" s="19" t="s">
        <v>31</v>
      </c>
      <c r="T142" s="19" t="s">
        <v>32</v>
      </c>
      <c r="U142" s="19" t="s">
        <v>33</v>
      </c>
      <c r="V142" s="19" t="s">
        <v>34</v>
      </c>
      <c r="W142" s="19" t="s">
        <v>35</v>
      </c>
      <c r="X142" s="19" t="s">
        <v>36</v>
      </c>
      <c r="Y142" s="19" t="s">
        <v>37</v>
      </c>
      <c r="Z142" s="19" t="s">
        <v>38</v>
      </c>
      <c r="AA142" s="19" t="s">
        <v>39</v>
      </c>
      <c r="AB142" s="19" t="s">
        <v>40</v>
      </c>
      <c r="AC142" s="19" t="s">
        <v>41</v>
      </c>
      <c r="AD142" s="19" t="s">
        <v>42</v>
      </c>
      <c r="AE142" s="19" t="s">
        <v>43</v>
      </c>
      <c r="AF142" s="19" t="s">
        <v>44</v>
      </c>
      <c r="AG142" s="96" t="s">
        <v>89</v>
      </c>
      <c r="AH142" s="98"/>
    </row>
    <row r="143" ht="30.0" customHeight="1">
      <c r="B143" s="20" t="s">
        <v>147</v>
      </c>
      <c r="C143" s="58"/>
      <c r="D143" s="10" t="s">
        <v>6</v>
      </c>
      <c r="E143" s="58"/>
      <c r="F143" s="58"/>
      <c r="G143" s="97"/>
      <c r="H143" s="58"/>
      <c r="I143" s="10" t="s">
        <v>6</v>
      </c>
      <c r="J143" s="58"/>
      <c r="K143" s="58"/>
      <c r="L143" s="58"/>
      <c r="M143" s="58"/>
      <c r="N143" s="10" t="s">
        <v>6</v>
      </c>
      <c r="O143" s="58"/>
      <c r="P143" s="58"/>
      <c r="Q143" s="58"/>
      <c r="R143" s="97"/>
      <c r="S143" s="97"/>
      <c r="T143" s="97"/>
      <c r="U143" s="97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</row>
    <row r="144" ht="30.0" customHeight="1">
      <c r="B144" s="20" t="s">
        <v>143</v>
      </c>
      <c r="C144" s="61"/>
      <c r="D144" s="10" t="s">
        <v>6</v>
      </c>
      <c r="E144" s="61"/>
      <c r="F144" s="61"/>
      <c r="G144" s="97"/>
      <c r="H144" s="61"/>
      <c r="I144" s="61"/>
      <c r="J144" s="61"/>
      <c r="K144" s="10" t="s">
        <v>6</v>
      </c>
      <c r="L144" s="61"/>
      <c r="M144" s="61"/>
      <c r="N144" s="61"/>
      <c r="O144" s="61"/>
      <c r="P144" s="61"/>
      <c r="Q144" s="61"/>
      <c r="R144" s="97"/>
      <c r="S144" s="97"/>
      <c r="T144" s="97"/>
      <c r="U144" s="97"/>
      <c r="V144" s="61"/>
      <c r="W144" s="10" t="s">
        <v>6</v>
      </c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0">
        <v>3.0</v>
      </c>
    </row>
    <row r="145" ht="30.0" customHeight="1">
      <c r="B145" s="20" t="s">
        <v>189</v>
      </c>
      <c r="C145" s="58"/>
      <c r="D145" s="58"/>
      <c r="E145" s="58"/>
      <c r="F145" s="58"/>
      <c r="G145" s="97"/>
      <c r="H145" s="58"/>
      <c r="I145" s="58"/>
      <c r="J145" s="58"/>
      <c r="K145" s="10" t="s">
        <v>6</v>
      </c>
      <c r="L145" s="58"/>
      <c r="M145" s="10" t="s">
        <v>6</v>
      </c>
      <c r="N145" s="58"/>
      <c r="O145" s="58"/>
      <c r="P145" s="58"/>
      <c r="Q145" s="58"/>
      <c r="R145" s="97"/>
      <c r="S145" s="97"/>
      <c r="T145" s="97"/>
      <c r="U145" s="97"/>
      <c r="V145" s="58"/>
      <c r="W145" s="58"/>
      <c r="X145" s="58"/>
      <c r="Y145" s="10" t="s">
        <v>6</v>
      </c>
      <c r="Z145" s="58"/>
      <c r="AA145" s="10" t="s">
        <v>6</v>
      </c>
      <c r="AB145" s="58"/>
      <c r="AC145" s="58"/>
      <c r="AD145" s="58"/>
      <c r="AE145" s="58"/>
      <c r="AF145" s="58"/>
      <c r="AG145" s="58"/>
      <c r="AH145" s="57">
        <v>4.0</v>
      </c>
    </row>
    <row r="146" ht="30.0" customHeight="1"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</row>
    <row r="147" ht="30.0" customHeight="1"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</row>
    <row r="148" ht="30.0" customHeight="1"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</row>
    <row r="149" ht="30.0" customHeight="1"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</row>
    <row r="150" ht="30.0" customHeight="1"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</row>
    <row r="151" ht="30.0" customHeight="1"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</row>
    <row r="152" ht="30.0" customHeight="1"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</row>
    <row r="153" ht="30.0" customHeight="1"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</row>
    <row r="154" ht="30.0" customHeight="1"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</row>
    <row r="155" ht="30.0" customHeight="1">
      <c r="B155" s="99" t="str">
        <f>Abril!MonthName&amp;" Total"</f>
        <v>Abril Total</v>
      </c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99"/>
    </row>
    <row r="156" ht="30.0" customHeight="1"/>
    <row r="157" ht="30.0" customHeight="1">
      <c r="B157" s="49" t="s">
        <v>218</v>
      </c>
      <c r="C157" s="80" t="s">
        <v>190</v>
      </c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</row>
    <row r="158" ht="30.0" customHeight="1">
      <c r="B158" s="51"/>
      <c r="C158" s="52" t="str">
        <f>TEXT(WEEKDAY(DATE(CalendarioAño,4,1),1),"ddd")</f>
        <v>mar</v>
      </c>
      <c r="D158" s="52" t="str">
        <f>TEXT(WEEKDAY(DATE(CalendarioAño,4,2),1),"ddd")</f>
        <v>mié</v>
      </c>
      <c r="E158" s="52" t="str">
        <f>TEXT(WEEKDAY(DATE(CalendarioAño,4,3),1),"ddd")</f>
        <v>jue</v>
      </c>
      <c r="F158" s="52" t="str">
        <f>TEXT(WEEKDAY(DATE(CalendarioAño,4,4),1),"ddd")</f>
        <v>vie</v>
      </c>
      <c r="G158" s="52" t="str">
        <f>TEXT(WEEKDAY(DATE(CalendarioAño,4,5),1),"ddd")</f>
        <v>sáb</v>
      </c>
      <c r="H158" s="52" t="str">
        <f>TEXT(WEEKDAY(DATE(CalendarioAño,4,6),1),"ddd")</f>
        <v>dom</v>
      </c>
      <c r="I158" s="52" t="str">
        <f>TEXT(WEEKDAY(DATE(CalendarioAño,4,7),1),"ddd")</f>
        <v>lun</v>
      </c>
      <c r="J158" s="52" t="str">
        <f>TEXT(WEEKDAY(DATE(CalendarioAño,4,8),1),"ddd")</f>
        <v>mar</v>
      </c>
      <c r="K158" s="52" t="str">
        <f>TEXT(WEEKDAY(DATE(CalendarioAño,4,9),1),"ddd")</f>
        <v>mié</v>
      </c>
      <c r="L158" s="52" t="str">
        <f>TEXT(WEEKDAY(DATE(CalendarioAño,4,10),1),"ddd")</f>
        <v>jue</v>
      </c>
      <c r="M158" s="52" t="str">
        <f>TEXT(WEEKDAY(DATE(CalendarioAño,4,11),1),"ddd")</f>
        <v>vie</v>
      </c>
      <c r="N158" s="52" t="str">
        <f>TEXT(WEEKDAY(DATE(CalendarioAño,4,12),1),"ddd")</f>
        <v>sáb</v>
      </c>
      <c r="O158" s="52" t="str">
        <f>TEXT(WEEKDAY(DATE(CalendarioAño,4,13),1),"ddd")</f>
        <v>dom</v>
      </c>
      <c r="P158" s="52" t="str">
        <f>TEXT(WEEKDAY(DATE(CalendarioAño,4,14),1),"ddd")</f>
        <v>lun</v>
      </c>
      <c r="Q158" s="52" t="str">
        <f>TEXT(WEEKDAY(DATE(CalendarioAño,4,15),1),"ddd")</f>
        <v>mar</v>
      </c>
      <c r="R158" s="52" t="str">
        <f>TEXT(WEEKDAY(DATE(CalendarioAño,4,16),1),"ddd")</f>
        <v>mié</v>
      </c>
      <c r="S158" s="52" t="str">
        <f>TEXT(WEEKDAY(DATE(CalendarioAño,4,17),1),"ddd")</f>
        <v>jue</v>
      </c>
      <c r="T158" s="52" t="str">
        <f>TEXT(WEEKDAY(DATE(CalendarioAño,4,18),1),"ddd")</f>
        <v>vie</v>
      </c>
      <c r="U158" s="52" t="str">
        <f>TEXT(WEEKDAY(DATE(CalendarioAño,4,19),1),"ddd")</f>
        <v>sáb</v>
      </c>
      <c r="V158" s="52" t="str">
        <f>TEXT(WEEKDAY(DATE(CalendarioAño,4,20),1),"ddd")</f>
        <v>dom</v>
      </c>
      <c r="W158" s="52" t="str">
        <f>TEXT(WEEKDAY(DATE(CalendarioAño,4,21),1),"ddd")</f>
        <v>lun</v>
      </c>
      <c r="X158" s="52" t="str">
        <f>TEXT(WEEKDAY(DATE(CalendarioAño,4,22),1),"ddd")</f>
        <v>mar</v>
      </c>
      <c r="Y158" s="52" t="str">
        <f>TEXT(WEEKDAY(DATE(CalendarioAño,4,23),1),"ddd")</f>
        <v>mié</v>
      </c>
      <c r="Z158" s="52" t="str">
        <f>TEXT(WEEKDAY(DATE(CalendarioAño,4,24),1),"ddd")</f>
        <v>jue</v>
      </c>
      <c r="AA158" s="52" t="str">
        <f>TEXT(WEEKDAY(DATE(CalendarioAño,4,25),1),"ddd")</f>
        <v>vie</v>
      </c>
      <c r="AB158" s="52" t="str">
        <f>TEXT(WEEKDAY(DATE(CalendarioAño,4,26),1),"ddd")</f>
        <v>sáb</v>
      </c>
      <c r="AC158" s="52" t="str">
        <f>TEXT(WEEKDAY(DATE(CalendarioAño,4,27),1),"ddd")</f>
        <v>dom</v>
      </c>
      <c r="AD158" s="52" t="str">
        <f>TEXT(WEEKDAY(DATE(CalendarioAño,4,28),1),"ddd")</f>
        <v>lun</v>
      </c>
      <c r="AE158" s="52" t="str">
        <f>TEXT(WEEKDAY(DATE(CalendarioAño,4,29),1),"ddd")</f>
        <v>mar</v>
      </c>
      <c r="AF158" s="52" t="str">
        <f>TEXT(WEEKDAY(DATE(CalendarioAño,4,30),1),"ddd")</f>
        <v>mié</v>
      </c>
      <c r="AG158" s="43"/>
    </row>
    <row r="159" ht="30.0" customHeight="1">
      <c r="B159" s="33" t="s">
        <v>219</v>
      </c>
      <c r="C159" s="19" t="s">
        <v>15</v>
      </c>
      <c r="D159" s="19" t="s">
        <v>16</v>
      </c>
      <c r="E159" s="19" t="s">
        <v>17</v>
      </c>
      <c r="F159" s="19" t="s">
        <v>18</v>
      </c>
      <c r="G159" s="19" t="s">
        <v>19</v>
      </c>
      <c r="H159" s="19" t="s">
        <v>20</v>
      </c>
      <c r="I159" s="19" t="s">
        <v>21</v>
      </c>
      <c r="J159" s="19" t="s">
        <v>22</v>
      </c>
      <c r="K159" s="19" t="s">
        <v>23</v>
      </c>
      <c r="L159" s="19" t="s">
        <v>24</v>
      </c>
      <c r="M159" s="19" t="s">
        <v>25</v>
      </c>
      <c r="N159" s="19" t="s">
        <v>26</v>
      </c>
      <c r="O159" s="19" t="s">
        <v>27</v>
      </c>
      <c r="P159" s="19" t="s">
        <v>28</v>
      </c>
      <c r="Q159" s="19" t="s">
        <v>29</v>
      </c>
      <c r="R159" s="19" t="s">
        <v>30</v>
      </c>
      <c r="S159" s="19" t="s">
        <v>31</v>
      </c>
      <c r="T159" s="19" t="s">
        <v>32</v>
      </c>
      <c r="U159" s="19" t="s">
        <v>33</v>
      </c>
      <c r="V159" s="19" t="s">
        <v>34</v>
      </c>
      <c r="W159" s="19" t="s">
        <v>35</v>
      </c>
      <c r="X159" s="19" t="s">
        <v>36</v>
      </c>
      <c r="Y159" s="19" t="s">
        <v>37</v>
      </c>
      <c r="Z159" s="19" t="s">
        <v>38</v>
      </c>
      <c r="AA159" s="19" t="s">
        <v>39</v>
      </c>
      <c r="AB159" s="19" t="s">
        <v>40</v>
      </c>
      <c r="AC159" s="19" t="s">
        <v>41</v>
      </c>
      <c r="AD159" s="19" t="s">
        <v>42</v>
      </c>
      <c r="AE159" s="19" t="s">
        <v>43</v>
      </c>
      <c r="AF159" s="19" t="s">
        <v>44</v>
      </c>
      <c r="AG159" s="96" t="s">
        <v>89</v>
      </c>
    </row>
    <row r="160" ht="30.0" customHeight="1">
      <c r="B160" s="20" t="s">
        <v>149</v>
      </c>
      <c r="C160" s="58"/>
      <c r="D160" s="58"/>
      <c r="E160" s="10" t="s">
        <v>6</v>
      </c>
      <c r="F160" s="58"/>
      <c r="G160" s="97"/>
      <c r="H160" s="58"/>
      <c r="I160" s="58"/>
      <c r="J160" s="58"/>
      <c r="K160" s="58"/>
      <c r="L160" s="58"/>
      <c r="M160" s="58"/>
      <c r="N160" s="58"/>
      <c r="O160" s="58"/>
      <c r="P160" s="58"/>
      <c r="Q160" s="10" t="s">
        <v>6</v>
      </c>
      <c r="R160" s="97"/>
      <c r="S160" s="97"/>
      <c r="T160" s="97"/>
      <c r="U160" s="97"/>
      <c r="V160" s="58"/>
      <c r="W160" s="58"/>
      <c r="X160" s="10" t="s">
        <v>6</v>
      </c>
      <c r="Y160" s="58"/>
      <c r="Z160" s="10" t="s">
        <v>6</v>
      </c>
      <c r="AA160" s="58"/>
      <c r="AB160" s="10" t="s">
        <v>6</v>
      </c>
      <c r="AC160" s="58"/>
      <c r="AD160" s="58"/>
      <c r="AE160" s="10" t="s">
        <v>6</v>
      </c>
      <c r="AF160" s="58"/>
      <c r="AG160" s="58"/>
    </row>
    <row r="161" ht="30.0" customHeight="1">
      <c r="B161" s="47" t="s">
        <v>233</v>
      </c>
      <c r="C161" s="61"/>
      <c r="D161" s="61"/>
      <c r="E161" s="61"/>
      <c r="F161" s="61"/>
      <c r="G161" s="61"/>
      <c r="H161" s="61"/>
      <c r="I161" s="61"/>
      <c r="J161" s="10" t="s">
        <v>6</v>
      </c>
      <c r="K161" s="61"/>
      <c r="L161" s="61"/>
      <c r="M161" s="61"/>
      <c r="N161" s="61"/>
      <c r="O161" s="61"/>
      <c r="P161" s="61"/>
      <c r="Q161" s="10" t="s">
        <v>6</v>
      </c>
      <c r="R161" s="97"/>
      <c r="S161" s="97"/>
      <c r="T161" s="97"/>
      <c r="U161" s="97"/>
      <c r="V161" s="61"/>
      <c r="W161" s="61"/>
      <c r="X161" s="10" t="s">
        <v>6</v>
      </c>
      <c r="Y161" s="61"/>
      <c r="Z161" s="10" t="s">
        <v>6</v>
      </c>
      <c r="AA161" s="61"/>
      <c r="AB161" s="61"/>
      <c r="AC161" s="61"/>
      <c r="AD161" s="61"/>
      <c r="AE161" s="61"/>
      <c r="AF161" s="61"/>
      <c r="AG161" s="61"/>
    </row>
    <row r="162" ht="30.0" customHeight="1">
      <c r="B162" s="20" t="s">
        <v>152</v>
      </c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10" t="s">
        <v>6</v>
      </c>
      <c r="AA162" s="58"/>
      <c r="AB162" s="58"/>
      <c r="AC162" s="58"/>
      <c r="AD162" s="58"/>
      <c r="AE162" s="58"/>
      <c r="AF162" s="58"/>
      <c r="AG162" s="58"/>
    </row>
    <row r="163" ht="30.0" customHeight="1"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 ht="30.0" customHeight="1"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</row>
    <row r="165" ht="30.0" customHeight="1"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ht="30.0" customHeight="1"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</row>
    <row r="167" ht="30.0" customHeight="1"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 ht="30.0" customHeight="1"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</row>
    <row r="169" ht="30.0" customHeight="1"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 ht="30.0" customHeight="1"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</row>
    <row r="171" ht="30.0" customHeight="1"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 ht="30.0" customHeight="1">
      <c r="B172" s="99" t="str">
        <f>Abril!MonthName&amp;" Total"</f>
        <v>Abril Total</v>
      </c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</row>
    <row r="173" ht="30.0" customHeight="1"/>
    <row r="174" ht="30.0" customHeight="1">
      <c r="B174" s="49" t="s">
        <v>218</v>
      </c>
      <c r="C174" s="80" t="s">
        <v>234</v>
      </c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</row>
    <row r="175" ht="30.0" customHeight="1">
      <c r="B175" s="51"/>
      <c r="C175" s="52" t="str">
        <f>TEXT(WEEKDAY(DATE(CalendarioAño,4,1),1),"ddd")</f>
        <v>mar</v>
      </c>
      <c r="D175" s="52" t="str">
        <f>TEXT(WEEKDAY(DATE(CalendarioAño,4,2),1),"ddd")</f>
        <v>mié</v>
      </c>
      <c r="E175" s="52" t="str">
        <f>TEXT(WEEKDAY(DATE(CalendarioAño,4,3),1),"ddd")</f>
        <v>jue</v>
      </c>
      <c r="F175" s="52" t="str">
        <f>TEXT(WEEKDAY(DATE(CalendarioAño,4,4),1),"ddd")</f>
        <v>vie</v>
      </c>
      <c r="G175" s="52" t="str">
        <f>TEXT(WEEKDAY(DATE(CalendarioAño,4,5),1),"ddd")</f>
        <v>sáb</v>
      </c>
      <c r="H175" s="52" t="str">
        <f>TEXT(WEEKDAY(DATE(CalendarioAño,4,6),1),"ddd")</f>
        <v>dom</v>
      </c>
      <c r="I175" s="52" t="str">
        <f>TEXT(WEEKDAY(DATE(CalendarioAño,4,7),1),"ddd")</f>
        <v>lun</v>
      </c>
      <c r="J175" s="52" t="str">
        <f>TEXT(WEEKDAY(DATE(CalendarioAño,4,8),1),"ddd")</f>
        <v>mar</v>
      </c>
      <c r="K175" s="52" t="str">
        <f>TEXT(WEEKDAY(DATE(CalendarioAño,4,9),1),"ddd")</f>
        <v>mié</v>
      </c>
      <c r="L175" s="52" t="str">
        <f>TEXT(WEEKDAY(DATE(CalendarioAño,4,10),1),"ddd")</f>
        <v>jue</v>
      </c>
      <c r="M175" s="52" t="str">
        <f>TEXT(WEEKDAY(DATE(CalendarioAño,4,11),1),"ddd")</f>
        <v>vie</v>
      </c>
      <c r="N175" s="52" t="str">
        <f>TEXT(WEEKDAY(DATE(CalendarioAño,4,12),1),"ddd")</f>
        <v>sáb</v>
      </c>
      <c r="O175" s="52" t="str">
        <f>TEXT(WEEKDAY(DATE(CalendarioAño,4,13),1),"ddd")</f>
        <v>dom</v>
      </c>
      <c r="P175" s="52" t="str">
        <f>TEXT(WEEKDAY(DATE(CalendarioAño,4,14),1),"ddd")</f>
        <v>lun</v>
      </c>
      <c r="Q175" s="52" t="str">
        <f>TEXT(WEEKDAY(DATE(CalendarioAño,4,15),1),"ddd")</f>
        <v>mar</v>
      </c>
      <c r="R175" s="52" t="str">
        <f>TEXT(WEEKDAY(DATE(CalendarioAño,4,16),1),"ddd")</f>
        <v>mié</v>
      </c>
      <c r="S175" s="52" t="str">
        <f>TEXT(WEEKDAY(DATE(CalendarioAño,4,17),1),"ddd")</f>
        <v>jue</v>
      </c>
      <c r="T175" s="52" t="str">
        <f>TEXT(WEEKDAY(DATE(CalendarioAño,4,18),1),"ddd")</f>
        <v>vie</v>
      </c>
      <c r="U175" s="52" t="str">
        <f>TEXT(WEEKDAY(DATE(CalendarioAño,4,19),1),"ddd")</f>
        <v>sáb</v>
      </c>
      <c r="V175" s="52" t="str">
        <f>TEXT(WEEKDAY(DATE(CalendarioAño,4,20),1),"ddd")</f>
        <v>dom</v>
      </c>
      <c r="W175" s="52" t="str">
        <f>TEXT(WEEKDAY(DATE(CalendarioAño,4,21),1),"ddd")</f>
        <v>lun</v>
      </c>
      <c r="X175" s="52" t="str">
        <f>TEXT(WEEKDAY(DATE(CalendarioAño,4,22),1),"ddd")</f>
        <v>mar</v>
      </c>
      <c r="Y175" s="52" t="str">
        <f>TEXT(WEEKDAY(DATE(CalendarioAño,4,23),1),"ddd")</f>
        <v>mié</v>
      </c>
      <c r="Z175" s="52" t="str">
        <f>TEXT(WEEKDAY(DATE(CalendarioAño,4,24),1),"ddd")</f>
        <v>jue</v>
      </c>
      <c r="AA175" s="52" t="str">
        <f>TEXT(WEEKDAY(DATE(CalendarioAño,4,25),1),"ddd")</f>
        <v>vie</v>
      </c>
      <c r="AB175" s="52" t="str">
        <f>TEXT(WEEKDAY(DATE(CalendarioAño,4,26),1),"ddd")</f>
        <v>sáb</v>
      </c>
      <c r="AC175" s="52" t="str">
        <f>TEXT(WEEKDAY(DATE(CalendarioAño,4,27),1),"ddd")</f>
        <v>dom</v>
      </c>
      <c r="AD175" s="52" t="str">
        <f>TEXT(WEEKDAY(DATE(CalendarioAño,4,28),1),"ddd")</f>
        <v>lun</v>
      </c>
      <c r="AE175" s="52" t="str">
        <f>TEXT(WEEKDAY(DATE(CalendarioAño,4,29),1),"ddd")</f>
        <v>mar</v>
      </c>
      <c r="AF175" s="52" t="str">
        <f>TEXT(WEEKDAY(DATE(CalendarioAño,4,30),1),"ddd")</f>
        <v>mié</v>
      </c>
      <c r="AG175" s="43"/>
    </row>
    <row r="176" ht="30.0" customHeight="1">
      <c r="B176" s="33" t="s">
        <v>219</v>
      </c>
      <c r="C176" s="19" t="s">
        <v>15</v>
      </c>
      <c r="D176" s="19" t="s">
        <v>16</v>
      </c>
      <c r="E176" s="19" t="s">
        <v>17</v>
      </c>
      <c r="F176" s="19" t="s">
        <v>18</v>
      </c>
      <c r="G176" s="19" t="s">
        <v>19</v>
      </c>
      <c r="H176" s="19" t="s">
        <v>20</v>
      </c>
      <c r="I176" s="19" t="s">
        <v>21</v>
      </c>
      <c r="J176" s="19" t="s">
        <v>22</v>
      </c>
      <c r="K176" s="19" t="s">
        <v>23</v>
      </c>
      <c r="L176" s="19" t="s">
        <v>24</v>
      </c>
      <c r="M176" s="19" t="s">
        <v>25</v>
      </c>
      <c r="N176" s="19" t="s">
        <v>26</v>
      </c>
      <c r="O176" s="19" t="s">
        <v>27</v>
      </c>
      <c r="P176" s="19" t="s">
        <v>28</v>
      </c>
      <c r="Q176" s="19" t="s">
        <v>29</v>
      </c>
      <c r="R176" s="19" t="s">
        <v>30</v>
      </c>
      <c r="S176" s="19" t="s">
        <v>31</v>
      </c>
      <c r="T176" s="19" t="s">
        <v>32</v>
      </c>
      <c r="U176" s="19" t="s">
        <v>33</v>
      </c>
      <c r="V176" s="19" t="s">
        <v>34</v>
      </c>
      <c r="W176" s="19" t="s">
        <v>35</v>
      </c>
      <c r="X176" s="19" t="s">
        <v>36</v>
      </c>
      <c r="Y176" s="19" t="s">
        <v>37</v>
      </c>
      <c r="Z176" s="19" t="s">
        <v>38</v>
      </c>
      <c r="AA176" s="19" t="s">
        <v>39</v>
      </c>
      <c r="AB176" s="19" t="s">
        <v>40</v>
      </c>
      <c r="AC176" s="19" t="s">
        <v>41</v>
      </c>
      <c r="AD176" s="19" t="s">
        <v>42</v>
      </c>
      <c r="AE176" s="19" t="s">
        <v>43</v>
      </c>
      <c r="AF176" s="19" t="s">
        <v>44</v>
      </c>
      <c r="AG176" s="96" t="s">
        <v>89</v>
      </c>
    </row>
    <row r="177" ht="30.0" customHeight="1">
      <c r="B177" s="47" t="s">
        <v>235</v>
      </c>
      <c r="C177" s="58"/>
      <c r="D177" s="58"/>
      <c r="E177" s="61"/>
      <c r="F177" s="58"/>
      <c r="G177" s="61"/>
      <c r="H177" s="58"/>
      <c r="I177" s="58"/>
      <c r="J177" s="58"/>
      <c r="K177" s="58"/>
      <c r="L177" s="58"/>
      <c r="M177" s="58"/>
      <c r="N177" s="58"/>
      <c r="O177" s="58"/>
      <c r="P177" s="58"/>
      <c r="Q177" s="10" t="s">
        <v>6</v>
      </c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</row>
    <row r="178" ht="30.0" customHeight="1">
      <c r="B178" s="47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58"/>
      <c r="R178" s="58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 ht="30.0" customHeight="1"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</row>
    <row r="180" ht="30.0" customHeight="1"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 ht="30.0" customHeight="1"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</row>
    <row r="182" ht="30.0" customHeight="1"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 ht="30.0" customHeight="1"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</row>
    <row r="184" ht="30.0" customHeight="1"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ht="30.0" customHeight="1"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</row>
    <row r="186" ht="30.0" customHeight="1"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ht="30.0" customHeight="1"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</row>
    <row r="188" ht="30.0" customHeight="1"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 ht="30.0" customHeight="1">
      <c r="B189" s="99" t="str">
        <f>Abril!MonthName&amp;" Total"</f>
        <v>Abril Total</v>
      </c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</row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</sheetData>
  <mergeCells count="16">
    <mergeCell ref="B1:N1"/>
    <mergeCell ref="D2:F2"/>
    <mergeCell ref="H2:J2"/>
    <mergeCell ref="L2:N2"/>
    <mergeCell ref="P2:S2"/>
    <mergeCell ref="U2:X2"/>
    <mergeCell ref="C4:AG4"/>
    <mergeCell ref="C157:AG157"/>
    <mergeCell ref="C174:AG174"/>
    <mergeCell ref="C21:AG21"/>
    <mergeCell ref="C38:AG38"/>
    <mergeCell ref="C59:AG59"/>
    <mergeCell ref="C81:AG81"/>
    <mergeCell ref="C106:AG106"/>
    <mergeCell ref="C123:AG123"/>
    <mergeCell ref="C140:AG140"/>
  </mergeCells>
  <conditionalFormatting sqref="C7:P18 R7:W18 Y7:Y18 AA7:AC18 AF7:AG18 Q8:Q18 X8:X18 Z8:Z18 AD8:AE18 D24:D35 E24:F26 G24:M35 N24 O24:P35 R24:V35 W24 Y24:Y35 Z24:Z26 AA24:AA35 AC24:AC35 AE24:AE25 AF24:AG35 Q25:Q26 X25 AB25 AD25:AD35 N26 W26:W35 C27:C35 X27:X28 AB27:AB35 AE27:AE35 E28:F35 Q28:Q35 Z28:Z35 N29:N35 X30:X35 G41:G53 R41:U53 G62:G75 R62:U76 G84:G96 R84:U98 G109:G115 R109:U117 G126:G127 R126:U127 G143:G145 R143:U145 G160 R160:U161">
    <cfRule type="expression" dxfId="5" priority="1" stopIfTrue="1">
      <formula>C7=""</formula>
    </cfRule>
  </conditionalFormatting>
  <dataValidations>
    <dataValidation type="list" allowBlank="1" showErrorMessage="1" sqref="B7:B18 B24:B35 B41:B42 B44:B50 B52:B53 B55:B56 B62 B64:B70 B72:B74 B76 B78 B84 B86:B87 B92:B98 B101:B103 B111 B113:B114 B116:B120 B128:B137 B146:B154 B161 B163:B171 B177:B188">
      <formula1>'Nombres de los alumnos '!$B$4:$B$1019</formula1>
    </dataValidation>
    <dataValidation type="list" allowBlank="1" showErrorMessage="1" sqref="B43 B51 B54 B63 B71 B75 B77 B85 B88:B91 B99:B100 B109:B110 B112 B115 B126:B127 B143:B145 B160 B162">
      <formula1>'Nombres de los alumnos '!$B$4:$B$131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0C9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197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2" t="s">
        <v>236</v>
      </c>
      <c r="C4" s="80" t="s">
        <v>237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32">
        <f>CalendarioAño</f>
        <v>2025</v>
      </c>
    </row>
    <row r="5" ht="15.0" customHeight="1">
      <c r="B5" s="32"/>
      <c r="C5" s="16" t="str">
        <f>TEXT(WEEKDAY(DATE(CalendarioAño,5,1),1),"ddd")</f>
        <v>jue</v>
      </c>
      <c r="D5" s="16" t="str">
        <f>TEXT(WEEKDAY(DATE(CalendarioAño,5,2),1),"ddd")</f>
        <v>vie</v>
      </c>
      <c r="E5" s="16" t="str">
        <f>TEXT(WEEKDAY(DATE(CalendarioAño,5,3),1),"ddd")</f>
        <v>sáb</v>
      </c>
      <c r="F5" s="16" t="str">
        <f>TEXT(WEEKDAY(DATE(CalendarioAño,5,4),1),"ddd")</f>
        <v>dom</v>
      </c>
      <c r="G5" s="16" t="str">
        <f>TEXT(WEEKDAY(DATE(CalendarioAño,5,5),1),"ddd")</f>
        <v>lun</v>
      </c>
      <c r="H5" s="16" t="str">
        <f>TEXT(WEEKDAY(DATE(CalendarioAño,5,6),1),"ddd")</f>
        <v>mar</v>
      </c>
      <c r="I5" s="16" t="str">
        <f>TEXT(WEEKDAY(DATE(CalendarioAño,5,7),1),"ddd")</f>
        <v>mié</v>
      </c>
      <c r="J5" s="16" t="str">
        <f>TEXT(WEEKDAY(DATE(CalendarioAño,5,8),1),"ddd")</f>
        <v>jue</v>
      </c>
      <c r="K5" s="16" t="str">
        <f>TEXT(WEEKDAY(DATE(CalendarioAño,5,9),1),"ddd")</f>
        <v>vie</v>
      </c>
      <c r="L5" s="16" t="str">
        <f>TEXT(WEEKDAY(DATE(CalendarioAño,5,10),1),"ddd")</f>
        <v>sáb</v>
      </c>
      <c r="M5" s="16" t="str">
        <f>TEXT(WEEKDAY(DATE(CalendarioAño,5,11),1),"ddd")</f>
        <v>dom</v>
      </c>
      <c r="N5" s="16" t="str">
        <f>TEXT(WEEKDAY(DATE(CalendarioAño,5,12),1),"ddd")</f>
        <v>lun</v>
      </c>
      <c r="O5" s="16" t="str">
        <f>TEXT(WEEKDAY(DATE(CalendarioAño,5,13),1),"ddd")</f>
        <v>mar</v>
      </c>
      <c r="P5" s="16" t="str">
        <f>TEXT(WEEKDAY(DATE(CalendarioAño,5,14),1),"ddd")</f>
        <v>mié</v>
      </c>
      <c r="Q5" s="16" t="str">
        <f>TEXT(WEEKDAY(DATE(CalendarioAño,5,15),1),"ddd")</f>
        <v>jue</v>
      </c>
      <c r="R5" s="16" t="str">
        <f>TEXT(WEEKDAY(DATE(CalendarioAño,5,16),1),"ddd")</f>
        <v>vie</v>
      </c>
      <c r="S5" s="16" t="str">
        <f>TEXT(WEEKDAY(DATE(CalendarioAño,5,17),1),"ddd")</f>
        <v>sáb</v>
      </c>
      <c r="T5" s="16" t="str">
        <f>TEXT(WEEKDAY(DATE(CalendarioAño,5,18),1),"ddd")</f>
        <v>dom</v>
      </c>
      <c r="U5" s="16" t="str">
        <f>TEXT(WEEKDAY(DATE(CalendarioAño,5,19),1),"ddd")</f>
        <v>lun</v>
      </c>
      <c r="V5" s="16" t="str">
        <f>TEXT(WEEKDAY(DATE(CalendarioAño,5,20),1),"ddd")</f>
        <v>mar</v>
      </c>
      <c r="W5" s="16" t="str">
        <f>TEXT(WEEKDAY(DATE(CalendarioAño,5,21),1),"ddd")</f>
        <v>mié</v>
      </c>
      <c r="X5" s="16" t="str">
        <f>TEXT(WEEKDAY(DATE(CalendarioAño,5,22),1),"ddd")</f>
        <v>jue</v>
      </c>
      <c r="Y5" s="16" t="str">
        <f>TEXT(WEEKDAY(DATE(CalendarioAño,5,23),1),"ddd")</f>
        <v>vie</v>
      </c>
      <c r="Z5" s="16" t="str">
        <f>TEXT(WEEKDAY(DATE(CalendarioAño,5,24),1),"ddd")</f>
        <v>sáb</v>
      </c>
      <c r="AA5" s="16" t="str">
        <f>TEXT(WEEKDAY(DATE(CalendarioAño,5,25),1),"ddd")</f>
        <v>dom</v>
      </c>
      <c r="AB5" s="16" t="str">
        <f>TEXT(WEEKDAY(DATE(CalendarioAño,5,26),1),"ddd")</f>
        <v>lun</v>
      </c>
      <c r="AC5" s="16" t="str">
        <f>TEXT(WEEKDAY(DATE(CalendarioAño,5,27),1),"ddd")</f>
        <v>mar</v>
      </c>
      <c r="AD5" s="16" t="str">
        <f>TEXT(WEEKDAY(DATE(CalendarioAño,5,28),1),"ddd")</f>
        <v>mié</v>
      </c>
      <c r="AE5" s="16" t="str">
        <f>TEXT(WEEKDAY(DATE(CalendarioAño,5,29),1),"ddd")</f>
        <v>jue</v>
      </c>
      <c r="AF5" s="16" t="str">
        <f>TEXT(WEEKDAY(DATE(CalendarioAño,5,30),1),"ddd")</f>
        <v>vie</v>
      </c>
      <c r="AG5" s="16" t="str">
        <f>TEXT(WEEKDAY(DATE(CalendarioAño,5,31),1),"ddd")</f>
        <v>sáb</v>
      </c>
      <c r="AH5" s="32"/>
    </row>
    <row r="6" ht="15.0" customHeight="1">
      <c r="A6" s="17"/>
      <c r="B6" s="33" t="s">
        <v>202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</row>
    <row r="7" ht="30.0" customHeight="1">
      <c r="B7" s="20" t="s">
        <v>221</v>
      </c>
      <c r="C7" s="21"/>
      <c r="D7" s="21"/>
      <c r="E7" s="100"/>
      <c r="F7" s="21"/>
      <c r="G7" s="21"/>
      <c r="H7" s="10" t="s">
        <v>6</v>
      </c>
      <c r="I7" s="21"/>
      <c r="J7" s="100"/>
      <c r="K7" s="21"/>
      <c r="L7" s="21"/>
      <c r="M7" s="21"/>
      <c r="N7" s="21"/>
      <c r="O7" s="10" t="s">
        <v>6</v>
      </c>
      <c r="P7" s="21"/>
      <c r="Q7" s="21"/>
      <c r="R7" s="21"/>
      <c r="S7" s="10" t="s">
        <v>6</v>
      </c>
      <c r="T7" s="21"/>
      <c r="U7" s="21"/>
      <c r="V7" s="21"/>
      <c r="W7" s="21"/>
      <c r="X7" s="10" t="s">
        <v>6</v>
      </c>
      <c r="Y7" s="21"/>
      <c r="Z7" s="10" t="s">
        <v>6</v>
      </c>
      <c r="AA7" s="21"/>
      <c r="AB7" s="21"/>
      <c r="AC7" s="10" t="s">
        <v>6</v>
      </c>
      <c r="AD7" s="21"/>
      <c r="AE7" s="21"/>
      <c r="AF7" s="21"/>
      <c r="AG7" s="21"/>
      <c r="AH7" s="25"/>
    </row>
    <row r="8" ht="30.0" customHeight="1">
      <c r="B8" s="86"/>
      <c r="C8" s="100"/>
      <c r="D8" s="21"/>
      <c r="E8" s="100"/>
      <c r="F8" s="21"/>
      <c r="G8" s="21"/>
      <c r="H8" s="100"/>
      <c r="I8" s="21"/>
      <c r="J8" s="100"/>
      <c r="K8" s="21"/>
      <c r="L8" s="21"/>
      <c r="M8" s="21"/>
      <c r="N8" s="21"/>
      <c r="O8" s="100"/>
      <c r="P8" s="21"/>
      <c r="Q8" s="100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5"/>
    </row>
    <row r="9" ht="30.0" customHeight="1">
      <c r="B9" s="86"/>
      <c r="C9" s="100"/>
      <c r="D9" s="21"/>
      <c r="E9" s="21"/>
      <c r="F9" s="100"/>
      <c r="G9" s="21"/>
      <c r="H9" s="21"/>
      <c r="I9" s="21"/>
      <c r="J9" s="100"/>
      <c r="K9" s="21"/>
      <c r="L9" s="21"/>
      <c r="M9" s="21"/>
      <c r="N9" s="21"/>
      <c r="O9" s="21"/>
      <c r="P9" s="21"/>
      <c r="Q9" s="21"/>
      <c r="R9" s="100"/>
      <c r="S9" s="21"/>
      <c r="T9" s="100"/>
      <c r="U9" s="21"/>
      <c r="V9" s="21"/>
      <c r="W9" s="100"/>
      <c r="X9" s="21"/>
      <c r="Y9" s="21"/>
      <c r="Z9" s="21"/>
      <c r="AA9" s="100"/>
      <c r="AB9" s="21"/>
      <c r="AC9" s="21"/>
      <c r="AD9" s="100"/>
      <c r="AE9" s="21"/>
      <c r="AF9" s="21"/>
      <c r="AG9" s="21"/>
      <c r="AH9" s="25"/>
    </row>
    <row r="10" ht="30.0" customHeight="1">
      <c r="B10" s="86"/>
      <c r="C10" s="21"/>
      <c r="D10" s="21"/>
      <c r="E10" s="21"/>
      <c r="F10" s="100"/>
      <c r="G10" s="21"/>
      <c r="H10" s="21"/>
      <c r="I10" s="100"/>
      <c r="J10" s="10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5"/>
    </row>
    <row r="11" ht="30.0" customHeight="1">
      <c r="B11" s="86"/>
      <c r="C11" s="21"/>
      <c r="D11" s="21"/>
      <c r="E11" s="21"/>
      <c r="F11" s="100"/>
      <c r="G11" s="21"/>
      <c r="H11" s="21"/>
      <c r="I11" s="21"/>
      <c r="J11" s="21"/>
      <c r="K11" s="21"/>
      <c r="L11" s="21"/>
      <c r="M11" s="100"/>
      <c r="N11" s="21"/>
      <c r="O11" s="21"/>
      <c r="P11" s="21"/>
      <c r="Q11" s="21"/>
      <c r="R11" s="21"/>
      <c r="S11" s="21"/>
      <c r="T11" s="21"/>
      <c r="U11" s="21"/>
      <c r="V11" s="100"/>
      <c r="W11" s="21"/>
      <c r="X11" s="21"/>
      <c r="Y11" s="100"/>
      <c r="Z11" s="21"/>
      <c r="AA11" s="100"/>
      <c r="AB11" s="21"/>
      <c r="AC11" s="21"/>
      <c r="AD11" s="21"/>
      <c r="AE11" s="21"/>
      <c r="AF11" s="21"/>
      <c r="AG11" s="21"/>
      <c r="AH11" s="25"/>
    </row>
    <row r="12" ht="30.0" customHeight="1">
      <c r="B12" s="86"/>
      <c r="C12" s="21"/>
      <c r="D12" s="21"/>
      <c r="E12" s="21"/>
      <c r="F12" s="100"/>
      <c r="G12" s="21"/>
      <c r="H12" s="21"/>
      <c r="I12" s="21"/>
      <c r="J12" s="21"/>
      <c r="K12" s="21"/>
      <c r="L12" s="21"/>
      <c r="M12" s="100"/>
      <c r="N12" s="21"/>
      <c r="O12" s="21"/>
      <c r="P12" s="21"/>
      <c r="Q12" s="21"/>
      <c r="R12" s="21"/>
      <c r="S12" s="21"/>
      <c r="T12" s="100"/>
      <c r="U12" s="21"/>
      <c r="V12" s="21"/>
      <c r="W12" s="21"/>
      <c r="X12" s="21"/>
      <c r="Y12" s="21"/>
      <c r="Z12" s="21"/>
      <c r="AA12" s="100"/>
      <c r="AB12" s="21"/>
      <c r="AC12" s="21"/>
      <c r="AD12" s="21"/>
      <c r="AE12" s="21"/>
      <c r="AF12" s="21"/>
      <c r="AG12" s="21"/>
      <c r="AH12" s="25"/>
    </row>
    <row r="13" ht="30.0" customHeight="1">
      <c r="B13" s="86"/>
      <c r="C13" s="21"/>
      <c r="D13" s="21"/>
      <c r="E13" s="21"/>
      <c r="F13" s="100"/>
      <c r="G13" s="21"/>
      <c r="H13" s="21"/>
      <c r="I13" s="21"/>
      <c r="J13" s="21"/>
      <c r="K13" s="21"/>
      <c r="L13" s="21"/>
      <c r="M13" s="10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5"/>
    </row>
    <row r="14" ht="30.0" customHeight="1">
      <c r="B14" s="86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100"/>
      <c r="AB14" s="21"/>
      <c r="AC14" s="21"/>
      <c r="AD14" s="21"/>
      <c r="AE14" s="21"/>
      <c r="AF14" s="21"/>
      <c r="AG14" s="21"/>
      <c r="AH14" s="25"/>
    </row>
    <row r="15" ht="30.0" customHeight="1">
      <c r="B15" s="86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100"/>
      <c r="Y15" s="21"/>
      <c r="Z15" s="21"/>
      <c r="AA15" s="21"/>
      <c r="AB15" s="21"/>
      <c r="AC15" s="21"/>
      <c r="AD15" s="21"/>
      <c r="AE15" s="21"/>
      <c r="AF15" s="21"/>
      <c r="AG15" s="21"/>
      <c r="AH15" s="25"/>
    </row>
    <row r="16" ht="30.0" customHeight="1">
      <c r="B16" s="26" t="str">
        <f>Mayo!MonthName&amp;" Total"</f>
        <v>Mayo Total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>
        <f>SUM(C16:AG16)</f>
        <v>0</v>
      </c>
    </row>
    <row r="17" ht="30.0" customHeight="1"/>
    <row r="18" ht="30.0" customHeight="1">
      <c r="B18" s="49" t="s">
        <v>236</v>
      </c>
      <c r="C18" s="101" t="s">
        <v>238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49">
        <f>CalendarioAño</f>
        <v>2025</v>
      </c>
    </row>
    <row r="19" ht="30.0" customHeight="1">
      <c r="B19" s="51"/>
      <c r="C19" s="52" t="str">
        <f>TEXT(WEEKDAY(DATE(CalendarioAño,5,1),1),"ddd")</f>
        <v>jue</v>
      </c>
      <c r="D19" s="52" t="str">
        <f>TEXT(WEEKDAY(DATE(CalendarioAño,5,2),1),"ddd")</f>
        <v>vie</v>
      </c>
      <c r="E19" s="52" t="str">
        <f>TEXT(WEEKDAY(DATE(CalendarioAño,5,3),1),"ddd")</f>
        <v>sáb</v>
      </c>
      <c r="F19" s="52" t="str">
        <f>TEXT(WEEKDAY(DATE(CalendarioAño,5,4),1),"ddd")</f>
        <v>dom</v>
      </c>
      <c r="G19" s="52" t="str">
        <f>TEXT(WEEKDAY(DATE(CalendarioAño,5,5),1),"ddd")</f>
        <v>lun</v>
      </c>
      <c r="H19" s="52" t="str">
        <f>TEXT(WEEKDAY(DATE(CalendarioAño,5,6),1),"ddd")</f>
        <v>mar</v>
      </c>
      <c r="I19" s="52" t="str">
        <f>TEXT(WEEKDAY(DATE(CalendarioAño,5,7),1),"ddd")</f>
        <v>mié</v>
      </c>
      <c r="J19" s="52" t="str">
        <f>TEXT(WEEKDAY(DATE(CalendarioAño,5,8),1),"ddd")</f>
        <v>jue</v>
      </c>
      <c r="K19" s="52" t="str">
        <f>TEXT(WEEKDAY(DATE(CalendarioAño,5,9),1),"ddd")</f>
        <v>vie</v>
      </c>
      <c r="L19" s="52" t="str">
        <f>TEXT(WEEKDAY(DATE(CalendarioAño,5,10),1),"ddd")</f>
        <v>sáb</v>
      </c>
      <c r="M19" s="52" t="str">
        <f>TEXT(WEEKDAY(DATE(CalendarioAño,5,11),1),"ddd")</f>
        <v>dom</v>
      </c>
      <c r="N19" s="52" t="str">
        <f>TEXT(WEEKDAY(DATE(CalendarioAño,5,12),1),"ddd")</f>
        <v>lun</v>
      </c>
      <c r="O19" s="52" t="str">
        <f>TEXT(WEEKDAY(DATE(CalendarioAño,5,13),1),"ddd")</f>
        <v>mar</v>
      </c>
      <c r="P19" s="52" t="str">
        <f>TEXT(WEEKDAY(DATE(CalendarioAño,5,14),1),"ddd")</f>
        <v>mié</v>
      </c>
      <c r="Q19" s="52" t="str">
        <f>TEXT(WEEKDAY(DATE(CalendarioAño,5,15),1),"ddd")</f>
        <v>jue</v>
      </c>
      <c r="R19" s="52" t="str">
        <f>TEXT(WEEKDAY(DATE(CalendarioAño,5,16),1),"ddd")</f>
        <v>vie</v>
      </c>
      <c r="S19" s="52" t="str">
        <f>TEXT(WEEKDAY(DATE(CalendarioAño,5,17),1),"ddd")</f>
        <v>sáb</v>
      </c>
      <c r="T19" s="52" t="str">
        <f>TEXT(WEEKDAY(DATE(CalendarioAño,5,18),1),"ddd")</f>
        <v>dom</v>
      </c>
      <c r="U19" s="52" t="str">
        <f>TEXT(WEEKDAY(DATE(CalendarioAño,5,19),1),"ddd")</f>
        <v>lun</v>
      </c>
      <c r="V19" s="52" t="str">
        <f>TEXT(WEEKDAY(DATE(CalendarioAño,5,20),1),"ddd")</f>
        <v>mar</v>
      </c>
      <c r="W19" s="52" t="str">
        <f>TEXT(WEEKDAY(DATE(CalendarioAño,5,21),1),"ddd")</f>
        <v>mié</v>
      </c>
      <c r="X19" s="52" t="str">
        <f>TEXT(WEEKDAY(DATE(CalendarioAño,5,22),1),"ddd")</f>
        <v>jue</v>
      </c>
      <c r="Y19" s="52" t="str">
        <f>TEXT(WEEKDAY(DATE(CalendarioAño,5,23),1),"ddd")</f>
        <v>vie</v>
      </c>
      <c r="Z19" s="52" t="str">
        <f>TEXT(WEEKDAY(DATE(CalendarioAño,5,24),1),"ddd")</f>
        <v>sáb</v>
      </c>
      <c r="AA19" s="52" t="str">
        <f>TEXT(WEEKDAY(DATE(CalendarioAño,5,25),1),"ddd")</f>
        <v>dom</v>
      </c>
      <c r="AB19" s="52" t="str">
        <f>TEXT(WEEKDAY(DATE(CalendarioAño,5,26),1),"ddd")</f>
        <v>lun</v>
      </c>
      <c r="AC19" s="52" t="str">
        <f>TEXT(WEEKDAY(DATE(CalendarioAño,5,27),1),"ddd")</f>
        <v>mar</v>
      </c>
      <c r="AD19" s="52" t="str">
        <f>TEXT(WEEKDAY(DATE(CalendarioAño,5,28),1),"ddd")</f>
        <v>mié</v>
      </c>
      <c r="AE19" s="52" t="str">
        <f>TEXT(WEEKDAY(DATE(CalendarioAño,5,29),1),"ddd")</f>
        <v>jue</v>
      </c>
      <c r="AF19" s="52" t="str">
        <f>TEXT(WEEKDAY(DATE(CalendarioAño,5,30),1),"ddd")</f>
        <v>vie</v>
      </c>
      <c r="AG19" s="52" t="str">
        <f>TEXT(WEEKDAY(DATE(CalendarioAño,5,31),1),"ddd")</f>
        <v>sáb</v>
      </c>
      <c r="AH19" s="51"/>
    </row>
    <row r="20" ht="30.0" customHeight="1">
      <c r="A20" s="102"/>
      <c r="B20" s="103" t="s">
        <v>202</v>
      </c>
      <c r="C20" s="104" t="s">
        <v>15</v>
      </c>
      <c r="D20" s="104" t="s">
        <v>16</v>
      </c>
      <c r="E20" s="104" t="s">
        <v>17</v>
      </c>
      <c r="F20" s="104" t="s">
        <v>18</v>
      </c>
      <c r="G20" s="104" t="s">
        <v>19</v>
      </c>
      <c r="H20" s="104" t="s">
        <v>20</v>
      </c>
      <c r="I20" s="104" t="s">
        <v>21</v>
      </c>
      <c r="J20" s="104" t="s">
        <v>22</v>
      </c>
      <c r="K20" s="104" t="s">
        <v>23</v>
      </c>
      <c r="L20" s="104" t="s">
        <v>24</v>
      </c>
      <c r="M20" s="104" t="s">
        <v>25</v>
      </c>
      <c r="N20" s="104" t="s">
        <v>26</v>
      </c>
      <c r="O20" s="104" t="s">
        <v>27</v>
      </c>
      <c r="P20" s="104" t="s">
        <v>28</v>
      </c>
      <c r="Q20" s="104" t="s">
        <v>29</v>
      </c>
      <c r="R20" s="104" t="s">
        <v>30</v>
      </c>
      <c r="S20" s="104" t="s">
        <v>31</v>
      </c>
      <c r="T20" s="104" t="s">
        <v>32</v>
      </c>
      <c r="U20" s="104" t="s">
        <v>33</v>
      </c>
      <c r="V20" s="104" t="s">
        <v>34</v>
      </c>
      <c r="W20" s="104" t="s">
        <v>35</v>
      </c>
      <c r="X20" s="104" t="s">
        <v>36</v>
      </c>
      <c r="Y20" s="104" t="s">
        <v>37</v>
      </c>
      <c r="Z20" s="104" t="s">
        <v>38</v>
      </c>
      <c r="AA20" s="104" t="s">
        <v>39</v>
      </c>
      <c r="AB20" s="104" t="s">
        <v>40</v>
      </c>
      <c r="AC20" s="104" t="s">
        <v>41</v>
      </c>
      <c r="AD20" s="104" t="s">
        <v>42</v>
      </c>
      <c r="AE20" s="104" t="s">
        <v>43</v>
      </c>
      <c r="AF20" s="104" t="s">
        <v>44</v>
      </c>
      <c r="AG20" s="104" t="s">
        <v>45</v>
      </c>
      <c r="AH20" s="104" t="s">
        <v>46</v>
      </c>
    </row>
    <row r="21" ht="30.0" customHeight="1">
      <c r="B21" s="47" t="s">
        <v>48</v>
      </c>
      <c r="C21" s="58"/>
      <c r="D21" s="58"/>
      <c r="E21" s="10" t="s">
        <v>6</v>
      </c>
      <c r="F21" s="58"/>
      <c r="G21" s="10" t="s">
        <v>6</v>
      </c>
      <c r="H21" s="10" t="s">
        <v>6</v>
      </c>
      <c r="I21" s="58"/>
      <c r="J21" s="10" t="s">
        <v>6</v>
      </c>
      <c r="K21" s="58"/>
      <c r="L21" s="58"/>
      <c r="M21" s="58"/>
      <c r="N21" s="10" t="s">
        <v>6</v>
      </c>
      <c r="O21" s="58"/>
      <c r="P21" s="58"/>
      <c r="Q21" s="58"/>
      <c r="R21" s="61"/>
      <c r="S21" s="10" t="s">
        <v>6</v>
      </c>
      <c r="T21" s="58"/>
      <c r="U21" s="10" t="s">
        <v>6</v>
      </c>
      <c r="V21" s="10" t="s">
        <v>6</v>
      </c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105"/>
    </row>
    <row r="22" ht="30.0" customHeight="1">
      <c r="B22" s="60" t="s">
        <v>47</v>
      </c>
      <c r="C22" s="106"/>
      <c r="D22" s="61"/>
      <c r="E22" s="10" t="s">
        <v>6</v>
      </c>
      <c r="F22" s="61"/>
      <c r="G22" s="61"/>
      <c r="H22" s="106"/>
      <c r="I22" s="61"/>
      <c r="J22" s="106"/>
      <c r="K22" s="61"/>
      <c r="L22" s="10" t="s">
        <v>6</v>
      </c>
      <c r="M22" s="61"/>
      <c r="N22" s="61"/>
      <c r="O22" s="106"/>
      <c r="P22" s="61"/>
      <c r="Q22" s="106"/>
      <c r="R22" s="61"/>
      <c r="S22" s="10" t="s">
        <v>6</v>
      </c>
      <c r="T22" s="61"/>
      <c r="U22" s="61"/>
      <c r="V22" s="61"/>
      <c r="W22" s="61"/>
      <c r="X22" s="61"/>
      <c r="Y22" s="61"/>
      <c r="Z22" s="61"/>
      <c r="AA22" s="61"/>
      <c r="AB22" s="10" t="s">
        <v>6</v>
      </c>
      <c r="AC22" s="61"/>
      <c r="AD22" s="61"/>
      <c r="AE22" s="10" t="s">
        <v>6</v>
      </c>
      <c r="AF22" s="61"/>
      <c r="AG22" s="61"/>
      <c r="AH22" s="107"/>
    </row>
    <row r="23" ht="30.0" customHeight="1">
      <c r="B23" s="57" t="s">
        <v>206</v>
      </c>
      <c r="C23" s="108"/>
      <c r="D23" s="58"/>
      <c r="E23" s="58"/>
      <c r="F23" s="108"/>
      <c r="G23" s="58"/>
      <c r="H23" s="10" t="s">
        <v>6</v>
      </c>
      <c r="I23" s="58"/>
      <c r="J23" s="10" t="s">
        <v>6</v>
      </c>
      <c r="K23" s="58"/>
      <c r="L23" s="58"/>
      <c r="M23" s="58"/>
      <c r="N23" s="58"/>
      <c r="O23" s="58"/>
      <c r="P23" s="58"/>
      <c r="Q23" s="10" t="s">
        <v>6</v>
      </c>
      <c r="R23" s="108"/>
      <c r="S23" s="58"/>
      <c r="T23" s="108"/>
      <c r="U23" s="58"/>
      <c r="V23" s="58"/>
      <c r="W23" s="108"/>
      <c r="X23" s="58"/>
      <c r="Y23" s="58"/>
      <c r="Z23" s="58"/>
      <c r="AA23" s="108"/>
      <c r="AB23" s="58"/>
      <c r="AC23" s="10" t="s">
        <v>6</v>
      </c>
      <c r="AD23" s="108"/>
      <c r="AE23" s="10" t="s">
        <v>6</v>
      </c>
      <c r="AF23" s="58"/>
      <c r="AG23" s="58"/>
      <c r="AH23" s="105"/>
    </row>
    <row r="24" ht="30.0" customHeight="1">
      <c r="B24" s="60" t="s">
        <v>51</v>
      </c>
      <c r="C24" s="61"/>
      <c r="D24" s="61"/>
      <c r="E24" s="61"/>
      <c r="F24" s="106"/>
      <c r="G24" s="61"/>
      <c r="H24" s="10" t="s">
        <v>6</v>
      </c>
      <c r="I24" s="106"/>
      <c r="J24" s="10" t="s">
        <v>6</v>
      </c>
      <c r="K24" s="61"/>
      <c r="L24" s="61"/>
      <c r="M24" s="61"/>
      <c r="N24" s="61"/>
      <c r="O24" s="10" t="s">
        <v>6</v>
      </c>
      <c r="P24" s="61"/>
      <c r="Q24" s="10" t="s">
        <v>6</v>
      </c>
      <c r="R24" s="61"/>
      <c r="S24" s="61"/>
      <c r="T24" s="61"/>
      <c r="U24" s="61"/>
      <c r="V24" s="10" t="s">
        <v>6</v>
      </c>
      <c r="W24" s="61"/>
      <c r="X24" s="61"/>
      <c r="Y24" s="61"/>
      <c r="Z24" s="61"/>
      <c r="AA24" s="61"/>
      <c r="AB24" s="61"/>
      <c r="AC24" s="10" t="s">
        <v>6</v>
      </c>
      <c r="AD24" s="61"/>
      <c r="AE24" s="10" t="s">
        <v>6</v>
      </c>
      <c r="AF24" s="61"/>
      <c r="AG24" s="61"/>
      <c r="AH24" s="107"/>
    </row>
    <row r="25" ht="30.0" customHeight="1">
      <c r="B25" s="57" t="s">
        <v>50</v>
      </c>
      <c r="C25" s="58"/>
      <c r="D25" s="58"/>
      <c r="E25" s="58"/>
      <c r="F25" s="108"/>
      <c r="G25" s="58"/>
      <c r="H25" s="10" t="s">
        <v>6</v>
      </c>
      <c r="I25" s="58"/>
      <c r="J25" s="58"/>
      <c r="K25" s="58"/>
      <c r="L25" s="10" t="s">
        <v>6</v>
      </c>
      <c r="M25" s="108"/>
      <c r="N25" s="58"/>
      <c r="O25" s="58"/>
      <c r="P25" s="58"/>
      <c r="Q25" s="58"/>
      <c r="R25" s="58"/>
      <c r="S25" s="10" t="s">
        <v>6</v>
      </c>
      <c r="T25" s="58"/>
      <c r="U25" s="58"/>
      <c r="V25" s="108"/>
      <c r="W25" s="58"/>
      <c r="X25" s="10" t="s">
        <v>6</v>
      </c>
      <c r="Y25" s="108"/>
      <c r="Z25" s="10" t="s">
        <v>6</v>
      </c>
      <c r="AA25" s="108"/>
      <c r="AB25" s="58"/>
      <c r="AC25" s="10" t="s">
        <v>6</v>
      </c>
      <c r="AD25" s="58"/>
      <c r="AE25" s="58"/>
      <c r="AF25" s="58"/>
      <c r="AG25" s="58"/>
      <c r="AH25" s="105"/>
    </row>
    <row r="26" ht="30.0" customHeight="1">
      <c r="B26" s="60" t="s">
        <v>239</v>
      </c>
      <c r="C26" s="61"/>
      <c r="D26" s="61"/>
      <c r="E26" s="61"/>
      <c r="F26" s="106"/>
      <c r="G26" s="61"/>
      <c r="H26" s="61"/>
      <c r="I26" s="61"/>
      <c r="J26" s="61"/>
      <c r="K26" s="61"/>
      <c r="L26" s="61"/>
      <c r="M26" s="106"/>
      <c r="N26" s="61"/>
      <c r="O26" s="61"/>
      <c r="P26" s="61"/>
      <c r="Q26" s="61"/>
      <c r="R26" s="61"/>
      <c r="S26" s="61"/>
      <c r="T26" s="106"/>
      <c r="U26" s="61"/>
      <c r="V26" s="61"/>
      <c r="W26" s="61"/>
      <c r="X26" s="61"/>
      <c r="Y26" s="61"/>
      <c r="Z26" s="61"/>
      <c r="AA26" s="106"/>
      <c r="AB26" s="61"/>
      <c r="AC26" s="61"/>
      <c r="AD26" s="61"/>
      <c r="AE26" s="61"/>
      <c r="AF26" s="10" t="s">
        <v>6</v>
      </c>
      <c r="AG26" s="61"/>
      <c r="AH26" s="107"/>
    </row>
    <row r="27" ht="30.0" customHeight="1">
      <c r="B27" s="58"/>
      <c r="C27" s="58"/>
      <c r="D27" s="58"/>
      <c r="E27" s="58"/>
      <c r="F27" s="108"/>
      <c r="G27" s="58"/>
      <c r="H27" s="58"/>
      <c r="I27" s="58"/>
      <c r="J27" s="58"/>
      <c r="K27" s="58"/>
      <c r="L27" s="58"/>
      <c r="M27" s="10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105"/>
    </row>
    <row r="28" ht="30.0" customHeight="1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106"/>
      <c r="AB28" s="61"/>
      <c r="AC28" s="61"/>
      <c r="AD28" s="61"/>
      <c r="AE28" s="61"/>
      <c r="AF28" s="61"/>
      <c r="AG28" s="61"/>
      <c r="AH28" s="107"/>
    </row>
    <row r="29" ht="30.0" customHeight="1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108"/>
      <c r="Y29" s="58"/>
      <c r="Z29" s="58"/>
      <c r="AA29" s="58"/>
      <c r="AB29" s="58"/>
      <c r="AC29" s="58"/>
      <c r="AD29" s="58"/>
      <c r="AE29" s="58"/>
      <c r="AF29" s="58"/>
      <c r="AG29" s="58"/>
      <c r="AH29" s="105"/>
    </row>
    <row r="30" ht="30.0" customHeight="1">
      <c r="B30" s="99" t="str">
        <f>Mayo!MonthName&amp;" Total"</f>
        <v>Mayo Total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>
        <f>SUM(C30:AG30)</f>
        <v>0</v>
      </c>
    </row>
    <row r="31" ht="30.0" customHeight="1"/>
    <row r="32" ht="30.0" customHeight="1">
      <c r="B32" s="32" t="s">
        <v>236</v>
      </c>
      <c r="C32" s="80" t="s">
        <v>240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32">
        <f>CalendarioAño</f>
        <v>2025</v>
      </c>
    </row>
    <row r="33" ht="30.0" customHeight="1">
      <c r="B33" s="32"/>
      <c r="C33" s="16" t="str">
        <f>TEXT(WEEKDAY(DATE(CalendarioAño,5,1),1),"ddd")</f>
        <v>jue</v>
      </c>
      <c r="D33" s="16" t="str">
        <f>TEXT(WEEKDAY(DATE(CalendarioAño,5,2),1),"ddd")</f>
        <v>vie</v>
      </c>
      <c r="E33" s="16" t="str">
        <f>TEXT(WEEKDAY(DATE(CalendarioAño,5,3),1),"ddd")</f>
        <v>sáb</v>
      </c>
      <c r="F33" s="16" t="str">
        <f>TEXT(WEEKDAY(DATE(CalendarioAño,5,4),1),"ddd")</f>
        <v>dom</v>
      </c>
      <c r="G33" s="16" t="str">
        <f>TEXT(WEEKDAY(DATE(CalendarioAño,5,5),1),"ddd")</f>
        <v>lun</v>
      </c>
      <c r="H33" s="16" t="str">
        <f>TEXT(WEEKDAY(DATE(CalendarioAño,5,6),1),"ddd")</f>
        <v>mar</v>
      </c>
      <c r="I33" s="16" t="str">
        <f>TEXT(WEEKDAY(DATE(CalendarioAño,5,7),1),"ddd")</f>
        <v>mié</v>
      </c>
      <c r="J33" s="16" t="str">
        <f>TEXT(WEEKDAY(DATE(CalendarioAño,5,8),1),"ddd")</f>
        <v>jue</v>
      </c>
      <c r="K33" s="16" t="str">
        <f>TEXT(WEEKDAY(DATE(CalendarioAño,5,9),1),"ddd")</f>
        <v>vie</v>
      </c>
      <c r="L33" s="16" t="str">
        <f>TEXT(WEEKDAY(DATE(CalendarioAño,5,10),1),"ddd")</f>
        <v>sáb</v>
      </c>
      <c r="M33" s="16" t="str">
        <f>TEXT(WEEKDAY(DATE(CalendarioAño,5,11),1),"ddd")</f>
        <v>dom</v>
      </c>
      <c r="N33" s="16" t="str">
        <f>TEXT(WEEKDAY(DATE(CalendarioAño,5,12),1),"ddd")</f>
        <v>lun</v>
      </c>
      <c r="O33" s="16" t="str">
        <f>TEXT(WEEKDAY(DATE(CalendarioAño,5,13),1),"ddd")</f>
        <v>mar</v>
      </c>
      <c r="P33" s="16" t="str">
        <f>TEXT(WEEKDAY(DATE(CalendarioAño,5,14),1),"ddd")</f>
        <v>mié</v>
      </c>
      <c r="Q33" s="16" t="str">
        <f>TEXT(WEEKDAY(DATE(CalendarioAño,5,15),1),"ddd")</f>
        <v>jue</v>
      </c>
      <c r="R33" s="16" t="str">
        <f>TEXT(WEEKDAY(DATE(CalendarioAño,5,16),1),"ddd")</f>
        <v>vie</v>
      </c>
      <c r="S33" s="16" t="str">
        <f>TEXT(WEEKDAY(DATE(CalendarioAño,5,17),1),"ddd")</f>
        <v>sáb</v>
      </c>
      <c r="T33" s="16" t="str">
        <f>TEXT(WEEKDAY(DATE(CalendarioAño,5,18),1),"ddd")</f>
        <v>dom</v>
      </c>
      <c r="U33" s="16" t="str">
        <f>TEXT(WEEKDAY(DATE(CalendarioAño,5,19),1),"ddd")</f>
        <v>lun</v>
      </c>
      <c r="V33" s="16" t="str">
        <f>TEXT(WEEKDAY(DATE(CalendarioAño,5,20),1),"ddd")</f>
        <v>mar</v>
      </c>
      <c r="W33" s="16" t="str">
        <f>TEXT(WEEKDAY(DATE(CalendarioAño,5,21),1),"ddd")</f>
        <v>mié</v>
      </c>
      <c r="X33" s="16" t="str">
        <f>TEXT(WEEKDAY(DATE(CalendarioAño,5,22),1),"ddd")</f>
        <v>jue</v>
      </c>
      <c r="Y33" s="16" t="str">
        <f>TEXT(WEEKDAY(DATE(CalendarioAño,5,23),1),"ddd")</f>
        <v>vie</v>
      </c>
      <c r="Z33" s="16" t="str">
        <f>TEXT(WEEKDAY(DATE(CalendarioAño,5,24),1),"ddd")</f>
        <v>sáb</v>
      </c>
      <c r="AA33" s="16" t="str">
        <f>TEXT(WEEKDAY(DATE(CalendarioAño,5,25),1),"ddd")</f>
        <v>dom</v>
      </c>
      <c r="AB33" s="16" t="str">
        <f>TEXT(WEEKDAY(DATE(CalendarioAño,5,26),1),"ddd")</f>
        <v>lun</v>
      </c>
      <c r="AC33" s="16" t="str">
        <f>TEXT(WEEKDAY(DATE(CalendarioAño,5,27),1),"ddd")</f>
        <v>mar</v>
      </c>
      <c r="AD33" s="16" t="str">
        <f>TEXT(WEEKDAY(DATE(CalendarioAño,5,28),1),"ddd")</f>
        <v>mié</v>
      </c>
      <c r="AE33" s="16" t="str">
        <f>TEXT(WEEKDAY(DATE(CalendarioAño,5,29),1),"ddd")</f>
        <v>jue</v>
      </c>
      <c r="AF33" s="16" t="str">
        <f>TEXT(WEEKDAY(DATE(CalendarioAño,5,30),1),"ddd")</f>
        <v>vie</v>
      </c>
      <c r="AG33" s="16" t="str">
        <f>TEXT(WEEKDAY(DATE(CalendarioAño,5,31),1),"ddd")</f>
        <v>sáb</v>
      </c>
      <c r="AH33" s="32"/>
    </row>
    <row r="34" ht="30.0" customHeight="1">
      <c r="B34" s="33" t="s">
        <v>202</v>
      </c>
      <c r="C34" s="19" t="s">
        <v>15</v>
      </c>
      <c r="D34" s="19" t="s">
        <v>16</v>
      </c>
      <c r="E34" s="19" t="s">
        <v>17</v>
      </c>
      <c r="F34" s="19" t="s">
        <v>18</v>
      </c>
      <c r="G34" s="19" t="s">
        <v>19</v>
      </c>
      <c r="H34" s="19" t="s">
        <v>20</v>
      </c>
      <c r="I34" s="19" t="s">
        <v>21</v>
      </c>
      <c r="J34" s="19" t="s">
        <v>22</v>
      </c>
      <c r="K34" s="19" t="s">
        <v>23</v>
      </c>
      <c r="L34" s="19" t="s">
        <v>24</v>
      </c>
      <c r="M34" s="19" t="s">
        <v>25</v>
      </c>
      <c r="N34" s="19" t="s">
        <v>26</v>
      </c>
      <c r="O34" s="19" t="s">
        <v>27</v>
      </c>
      <c r="P34" s="19" t="s">
        <v>28</v>
      </c>
      <c r="Q34" s="19" t="s">
        <v>29</v>
      </c>
      <c r="R34" s="19" t="s">
        <v>30</v>
      </c>
      <c r="S34" s="19" t="s">
        <v>31</v>
      </c>
      <c r="T34" s="19" t="s">
        <v>32</v>
      </c>
      <c r="U34" s="19" t="s">
        <v>33</v>
      </c>
      <c r="V34" s="19" t="s">
        <v>34</v>
      </c>
      <c r="W34" s="19" t="s">
        <v>35</v>
      </c>
      <c r="X34" s="19" t="s">
        <v>36</v>
      </c>
      <c r="Y34" s="19" t="s">
        <v>37</v>
      </c>
      <c r="Z34" s="19" t="s">
        <v>38</v>
      </c>
      <c r="AA34" s="19" t="s">
        <v>39</v>
      </c>
      <c r="AB34" s="19" t="s">
        <v>40</v>
      </c>
      <c r="AC34" s="19" t="s">
        <v>41</v>
      </c>
      <c r="AD34" s="19" t="s">
        <v>42</v>
      </c>
      <c r="AE34" s="19" t="s">
        <v>43</v>
      </c>
      <c r="AF34" s="19" t="s">
        <v>44</v>
      </c>
      <c r="AG34" s="19" t="s">
        <v>45</v>
      </c>
      <c r="AH34" s="19" t="s">
        <v>46</v>
      </c>
    </row>
    <row r="35" ht="30.0" customHeight="1">
      <c r="B35" s="20" t="s">
        <v>67</v>
      </c>
      <c r="C35" s="100"/>
      <c r="D35" s="10" t="s">
        <v>6</v>
      </c>
      <c r="E35" s="100"/>
      <c r="F35" s="21"/>
      <c r="G35" s="10" t="s">
        <v>6</v>
      </c>
      <c r="H35" s="100"/>
      <c r="I35" s="10" t="s">
        <v>6</v>
      </c>
      <c r="J35" s="100"/>
      <c r="K35" s="21"/>
      <c r="L35" s="21"/>
      <c r="M35" s="21"/>
      <c r="N35" s="10" t="s">
        <v>6</v>
      </c>
      <c r="O35" s="21"/>
      <c r="P35" s="21"/>
      <c r="Q35" s="21"/>
      <c r="R35" s="10" t="s">
        <v>6</v>
      </c>
      <c r="S35" s="21"/>
      <c r="T35" s="21"/>
      <c r="U35" s="21"/>
      <c r="V35" s="21"/>
      <c r="W35" s="10" t="s">
        <v>6</v>
      </c>
      <c r="X35" s="21"/>
      <c r="Y35" s="21"/>
      <c r="Z35" s="21"/>
      <c r="AA35" s="21"/>
      <c r="AB35" s="21"/>
      <c r="AC35" s="21"/>
      <c r="AD35" s="10" t="s">
        <v>6</v>
      </c>
      <c r="AE35" s="21"/>
      <c r="AF35" s="10" t="s">
        <v>6</v>
      </c>
      <c r="AG35" s="21"/>
      <c r="AH35" s="25"/>
    </row>
    <row r="36" ht="30.0" customHeight="1">
      <c r="B36" s="20" t="s">
        <v>207</v>
      </c>
      <c r="C36" s="100"/>
      <c r="D36" s="21"/>
      <c r="E36" s="10" t="s">
        <v>6</v>
      </c>
      <c r="F36" s="21"/>
      <c r="G36" s="21"/>
      <c r="H36" s="100"/>
      <c r="I36" s="21"/>
      <c r="J36" s="10" t="s">
        <v>6</v>
      </c>
      <c r="K36" s="21"/>
      <c r="L36" s="21"/>
      <c r="M36" s="21"/>
      <c r="N36" s="21"/>
      <c r="O36" s="100"/>
      <c r="P36" s="21"/>
      <c r="Q36" s="100"/>
      <c r="R36" s="21"/>
      <c r="S36" s="10" t="s">
        <v>6</v>
      </c>
      <c r="T36" s="21"/>
      <c r="U36" s="21"/>
      <c r="V36" s="21"/>
      <c r="W36" s="21"/>
      <c r="X36" s="10" t="s">
        <v>6</v>
      </c>
      <c r="Y36" s="21"/>
      <c r="Z36" s="10" t="s">
        <v>6</v>
      </c>
      <c r="AA36" s="21"/>
      <c r="AB36" s="21"/>
      <c r="AC36" s="21"/>
      <c r="AD36" s="21"/>
      <c r="AE36" s="10" t="s">
        <v>6</v>
      </c>
      <c r="AF36" s="21"/>
      <c r="AG36" s="21"/>
      <c r="AH36" s="25"/>
    </row>
    <row r="37" ht="30.0" customHeight="1">
      <c r="B37" s="20" t="s">
        <v>169</v>
      </c>
      <c r="C37" s="100"/>
      <c r="D37" s="21"/>
      <c r="E37" s="100"/>
      <c r="F37" s="100"/>
      <c r="G37" s="21"/>
      <c r="H37" s="10" t="s">
        <v>6</v>
      </c>
      <c r="I37" s="21"/>
      <c r="J37" s="10" t="s">
        <v>6</v>
      </c>
      <c r="K37" s="21"/>
      <c r="L37" s="21"/>
      <c r="M37" s="21"/>
      <c r="N37" s="21"/>
      <c r="O37" s="10" t="s">
        <v>6</v>
      </c>
      <c r="P37" s="21"/>
      <c r="Q37" s="10" t="s">
        <v>6</v>
      </c>
      <c r="R37" s="100"/>
      <c r="S37" s="21"/>
      <c r="T37" s="100"/>
      <c r="U37" s="21"/>
      <c r="V37" s="21"/>
      <c r="W37" s="100"/>
      <c r="X37" s="88" t="s">
        <v>6</v>
      </c>
      <c r="Y37" s="21"/>
      <c r="Z37" s="21"/>
      <c r="AA37" s="100"/>
      <c r="AB37" s="21"/>
      <c r="AC37" s="21"/>
      <c r="AD37" s="100"/>
      <c r="AE37" s="21"/>
      <c r="AF37" s="21"/>
      <c r="AG37" s="21"/>
      <c r="AH37" s="25"/>
    </row>
    <row r="38" ht="30.0" customHeight="1">
      <c r="B38" s="20" t="s">
        <v>225</v>
      </c>
      <c r="C38" s="21"/>
      <c r="D38" s="21"/>
      <c r="E38" s="10" t="s">
        <v>6</v>
      </c>
      <c r="F38" s="100"/>
      <c r="G38" s="21"/>
      <c r="H38" s="21"/>
      <c r="I38" s="100"/>
      <c r="J38" s="100"/>
      <c r="K38" s="21"/>
      <c r="L38" s="10" t="s">
        <v>6</v>
      </c>
      <c r="M38" s="21"/>
      <c r="N38" s="21"/>
      <c r="O38" s="21"/>
      <c r="P38" s="21"/>
      <c r="Q38" s="21"/>
      <c r="R38" s="21"/>
      <c r="S38" s="10" t="s">
        <v>6</v>
      </c>
      <c r="T38" s="21"/>
      <c r="U38" s="21"/>
      <c r="V38" s="21"/>
      <c r="W38" s="21"/>
      <c r="X38" s="21"/>
      <c r="Y38" s="21"/>
      <c r="Z38" s="10" t="s">
        <v>6</v>
      </c>
      <c r="AA38" s="21"/>
      <c r="AB38" s="21"/>
      <c r="AC38" s="21"/>
      <c r="AD38" s="21"/>
      <c r="AE38" s="21"/>
      <c r="AF38" s="21"/>
      <c r="AG38" s="21"/>
      <c r="AH38" s="36">
        <v>4.0</v>
      </c>
    </row>
    <row r="39" ht="30.0" customHeight="1">
      <c r="B39" s="20" t="s">
        <v>171</v>
      </c>
      <c r="C39" s="21"/>
      <c r="D39" s="21"/>
      <c r="E39" s="10" t="s">
        <v>6</v>
      </c>
      <c r="F39" s="100"/>
      <c r="G39" s="21"/>
      <c r="H39" s="21"/>
      <c r="I39" s="21"/>
      <c r="J39" s="21"/>
      <c r="K39" s="21"/>
      <c r="L39" s="21"/>
      <c r="M39" s="100"/>
      <c r="N39" s="21"/>
      <c r="O39" s="21"/>
      <c r="P39" s="21"/>
      <c r="Q39" s="21"/>
      <c r="R39" s="21"/>
      <c r="S39" s="21"/>
      <c r="T39" s="21"/>
      <c r="U39" s="21"/>
      <c r="V39" s="100"/>
      <c r="W39" s="21"/>
      <c r="X39" s="21"/>
      <c r="Y39" s="100"/>
      <c r="Z39" s="21"/>
      <c r="AA39" s="100"/>
      <c r="AB39" s="21"/>
      <c r="AC39" s="21"/>
      <c r="AD39" s="21"/>
      <c r="AE39" s="21"/>
      <c r="AF39" s="21"/>
      <c r="AG39" s="21"/>
      <c r="AH39" s="25"/>
    </row>
    <row r="40" ht="30.0" customHeight="1">
      <c r="B40" s="20" t="s">
        <v>208</v>
      </c>
      <c r="C40" s="21"/>
      <c r="D40" s="21"/>
      <c r="E40" s="10" t="s">
        <v>6</v>
      </c>
      <c r="F40" s="100"/>
      <c r="G40" s="21"/>
      <c r="H40" s="21"/>
      <c r="I40" s="21"/>
      <c r="J40" s="21"/>
      <c r="K40" s="21"/>
      <c r="L40" s="10" t="s">
        <v>6</v>
      </c>
      <c r="M40" s="100"/>
      <c r="N40" s="21"/>
      <c r="O40" s="21"/>
      <c r="P40" s="21"/>
      <c r="Q40" s="21"/>
      <c r="R40" s="21"/>
      <c r="S40" s="10" t="s">
        <v>6</v>
      </c>
      <c r="T40" s="100"/>
      <c r="U40" s="21"/>
      <c r="V40" s="21"/>
      <c r="W40" s="21"/>
      <c r="X40" s="21"/>
      <c r="Y40" s="21"/>
      <c r="Z40" s="21"/>
      <c r="AA40" s="100"/>
      <c r="AB40" s="21"/>
      <c r="AC40" s="21"/>
      <c r="AD40" s="21"/>
      <c r="AE40" s="21"/>
      <c r="AF40" s="21"/>
      <c r="AG40" s="21"/>
      <c r="AH40" s="25"/>
    </row>
    <row r="41" ht="30.0" customHeight="1">
      <c r="B41" s="20" t="s">
        <v>223</v>
      </c>
      <c r="C41" s="21"/>
      <c r="D41" s="21"/>
      <c r="E41" s="21"/>
      <c r="F41" s="100"/>
      <c r="G41" s="21"/>
      <c r="H41" s="10" t="s">
        <v>6</v>
      </c>
      <c r="I41" s="21"/>
      <c r="J41" s="21"/>
      <c r="K41" s="21"/>
      <c r="L41" s="10" t="s">
        <v>6</v>
      </c>
      <c r="M41" s="100"/>
      <c r="N41" s="21"/>
      <c r="O41" s="21"/>
      <c r="P41" s="21"/>
      <c r="Q41" s="10" t="s">
        <v>6</v>
      </c>
      <c r="R41" s="10" t="s">
        <v>6</v>
      </c>
      <c r="S41" s="10" t="s">
        <v>6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10" t="s">
        <v>6</v>
      </c>
      <c r="AE41" s="10" t="s">
        <v>6</v>
      </c>
      <c r="AF41" s="10" t="s">
        <v>6</v>
      </c>
      <c r="AG41" s="21"/>
      <c r="AH41" s="36">
        <v>8.0</v>
      </c>
    </row>
    <row r="42" ht="30.0" customHeight="1">
      <c r="B42" s="20" t="s">
        <v>167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0" t="s">
        <v>6</v>
      </c>
      <c r="S42" s="10" t="s">
        <v>6</v>
      </c>
      <c r="T42" s="21"/>
      <c r="U42" s="21"/>
      <c r="V42" s="21"/>
      <c r="W42" s="21"/>
      <c r="X42" s="21"/>
      <c r="Y42" s="21"/>
      <c r="Z42" s="21"/>
      <c r="AA42" s="109"/>
      <c r="AB42" s="21"/>
      <c r="AC42" s="21"/>
      <c r="AD42" s="21"/>
      <c r="AE42" s="21"/>
      <c r="AF42" s="21"/>
      <c r="AG42" s="21"/>
      <c r="AH42" s="25"/>
    </row>
    <row r="43" ht="30.0" customHeight="1">
      <c r="B43" s="20" t="s">
        <v>168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0" t="s">
        <v>6</v>
      </c>
      <c r="S43" s="10" t="s">
        <v>6</v>
      </c>
      <c r="T43" s="21"/>
      <c r="U43" s="21"/>
      <c r="V43" s="21"/>
      <c r="W43" s="21"/>
      <c r="X43" s="21"/>
      <c r="Y43" s="21"/>
      <c r="Z43" s="21"/>
      <c r="AA43" s="100"/>
      <c r="AB43" s="21"/>
      <c r="AC43" s="21"/>
      <c r="AD43" s="21"/>
      <c r="AE43" s="21"/>
      <c r="AF43" s="21"/>
      <c r="AG43" s="21"/>
      <c r="AH43" s="25"/>
    </row>
    <row r="44" ht="30.0" customHeight="1">
      <c r="B44" s="20" t="s">
        <v>241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0" t="s">
        <v>6</v>
      </c>
      <c r="S44" s="21"/>
      <c r="T44" s="21"/>
      <c r="U44" s="10" t="s">
        <v>6</v>
      </c>
      <c r="V44" s="21"/>
      <c r="W44" s="10" t="s">
        <v>6</v>
      </c>
      <c r="X44" s="109"/>
      <c r="Y44" s="21"/>
      <c r="Z44" s="21"/>
      <c r="AA44" s="21"/>
      <c r="AB44" s="10" t="s">
        <v>6</v>
      </c>
      <c r="AC44" s="21"/>
      <c r="AD44" s="10" t="s">
        <v>6</v>
      </c>
      <c r="AE44" s="21"/>
      <c r="AF44" s="21"/>
      <c r="AG44" s="21"/>
      <c r="AH44" s="25"/>
    </row>
    <row r="45" ht="30.0" customHeight="1">
      <c r="B45" s="20" t="s">
        <v>242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10" t="s">
        <v>6</v>
      </c>
      <c r="X45" s="109"/>
      <c r="Y45" s="21"/>
      <c r="Z45" s="21"/>
      <c r="AA45" s="21"/>
      <c r="AB45" s="21"/>
      <c r="AC45" s="21"/>
      <c r="AD45" s="10" t="s">
        <v>6</v>
      </c>
      <c r="AE45" s="21"/>
      <c r="AF45" s="21"/>
      <c r="AG45" s="21"/>
      <c r="AH45" s="25"/>
    </row>
    <row r="46" ht="30.0" customHeight="1">
      <c r="B46" s="20" t="s">
        <v>243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109"/>
      <c r="Y46" s="21"/>
      <c r="Z46" s="21"/>
      <c r="AA46" s="21"/>
      <c r="AB46" s="21"/>
      <c r="AC46" s="21"/>
      <c r="AD46" s="10" t="s">
        <v>6</v>
      </c>
      <c r="AE46" s="21"/>
      <c r="AF46" s="21"/>
      <c r="AG46" s="21"/>
      <c r="AH46" s="25"/>
    </row>
    <row r="47" ht="30.0" customHeight="1">
      <c r="B47" s="86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109"/>
      <c r="Y47" s="21"/>
      <c r="Z47" s="21"/>
      <c r="AA47" s="21"/>
      <c r="AB47" s="21"/>
      <c r="AC47" s="21"/>
      <c r="AD47" s="21"/>
      <c r="AE47" s="21"/>
      <c r="AF47" s="21"/>
      <c r="AG47" s="21"/>
      <c r="AH47" s="25"/>
    </row>
    <row r="48" ht="30.0" customHeight="1">
      <c r="B48" s="8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100"/>
      <c r="Y48" s="21"/>
      <c r="Z48" s="21"/>
      <c r="AA48" s="21"/>
      <c r="AB48" s="21"/>
      <c r="AC48" s="21"/>
      <c r="AD48" s="21"/>
      <c r="AE48" s="21"/>
      <c r="AF48" s="21"/>
      <c r="AG48" s="21"/>
      <c r="AH48" s="25"/>
    </row>
    <row r="49" ht="30.0" customHeight="1">
      <c r="B49" s="26" t="str">
        <f>Mayo!MonthName&amp;" Total"</f>
        <v>Mayo Total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>
        <f>SUM(C49:AG49)</f>
        <v>0</v>
      </c>
    </row>
    <row r="50" ht="30.0" customHeight="1"/>
    <row r="51" ht="30.0" customHeight="1">
      <c r="B51" s="32" t="s">
        <v>236</v>
      </c>
      <c r="C51" s="80" t="s">
        <v>244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32">
        <f>CalendarioAño</f>
        <v>2025</v>
      </c>
    </row>
    <row r="52" ht="30.0" customHeight="1">
      <c r="B52" s="32"/>
      <c r="C52" s="16" t="str">
        <f>TEXT(WEEKDAY(DATE(CalendarioAño,5,1),1),"ddd")</f>
        <v>jue</v>
      </c>
      <c r="D52" s="16" t="str">
        <f>TEXT(WEEKDAY(DATE(CalendarioAño,5,2),1),"ddd")</f>
        <v>vie</v>
      </c>
      <c r="E52" s="16" t="str">
        <f>TEXT(WEEKDAY(DATE(CalendarioAño,5,3),1),"ddd")</f>
        <v>sáb</v>
      </c>
      <c r="F52" s="16" t="str">
        <f>TEXT(WEEKDAY(DATE(CalendarioAño,5,4),1),"ddd")</f>
        <v>dom</v>
      </c>
      <c r="G52" s="16" t="str">
        <f>TEXT(WEEKDAY(DATE(CalendarioAño,5,5),1),"ddd")</f>
        <v>lun</v>
      </c>
      <c r="H52" s="16" t="str">
        <f>TEXT(WEEKDAY(DATE(CalendarioAño,5,6),1),"ddd")</f>
        <v>mar</v>
      </c>
      <c r="I52" s="16" t="str">
        <f>TEXT(WEEKDAY(DATE(CalendarioAño,5,7),1),"ddd")</f>
        <v>mié</v>
      </c>
      <c r="J52" s="16" t="str">
        <f>TEXT(WEEKDAY(DATE(CalendarioAño,5,8),1),"ddd")</f>
        <v>jue</v>
      </c>
      <c r="K52" s="16" t="str">
        <f>TEXT(WEEKDAY(DATE(CalendarioAño,5,9),1),"ddd")</f>
        <v>vie</v>
      </c>
      <c r="L52" s="16" t="str">
        <f>TEXT(WEEKDAY(DATE(CalendarioAño,5,10),1),"ddd")</f>
        <v>sáb</v>
      </c>
      <c r="M52" s="16" t="str">
        <f>TEXT(WEEKDAY(DATE(CalendarioAño,5,11),1),"ddd")</f>
        <v>dom</v>
      </c>
      <c r="N52" s="16" t="str">
        <f>TEXT(WEEKDAY(DATE(CalendarioAño,5,12),1),"ddd")</f>
        <v>lun</v>
      </c>
      <c r="O52" s="16" t="str">
        <f>TEXT(WEEKDAY(DATE(CalendarioAño,5,13),1),"ddd")</f>
        <v>mar</v>
      </c>
      <c r="P52" s="16" t="str">
        <f>TEXT(WEEKDAY(DATE(CalendarioAño,5,14),1),"ddd")</f>
        <v>mié</v>
      </c>
      <c r="Q52" s="16" t="str">
        <f>TEXT(WEEKDAY(DATE(CalendarioAño,5,15),1),"ddd")</f>
        <v>jue</v>
      </c>
      <c r="R52" s="16" t="str">
        <f>TEXT(WEEKDAY(DATE(CalendarioAño,5,16),1),"ddd")</f>
        <v>vie</v>
      </c>
      <c r="S52" s="16" t="str">
        <f>TEXT(WEEKDAY(DATE(CalendarioAño,5,17),1),"ddd")</f>
        <v>sáb</v>
      </c>
      <c r="T52" s="16" t="str">
        <f>TEXT(WEEKDAY(DATE(CalendarioAño,5,18),1),"ddd")</f>
        <v>dom</v>
      </c>
      <c r="U52" s="16" t="str">
        <f>TEXT(WEEKDAY(DATE(CalendarioAño,5,19),1),"ddd")</f>
        <v>lun</v>
      </c>
      <c r="V52" s="16" t="str">
        <f>TEXT(WEEKDAY(DATE(CalendarioAño,5,20),1),"ddd")</f>
        <v>mar</v>
      </c>
      <c r="W52" s="16" t="str">
        <f>TEXT(WEEKDAY(DATE(CalendarioAño,5,21),1),"ddd")</f>
        <v>mié</v>
      </c>
      <c r="X52" s="16" t="str">
        <f>TEXT(WEEKDAY(DATE(CalendarioAño,5,22),1),"ddd")</f>
        <v>jue</v>
      </c>
      <c r="Y52" s="16" t="str">
        <f>TEXT(WEEKDAY(DATE(CalendarioAño,5,23),1),"ddd")</f>
        <v>vie</v>
      </c>
      <c r="Z52" s="16" t="str">
        <f>TEXT(WEEKDAY(DATE(CalendarioAño,5,24),1),"ddd")</f>
        <v>sáb</v>
      </c>
      <c r="AA52" s="16" t="str">
        <f>TEXT(WEEKDAY(DATE(CalendarioAño,5,25),1),"ddd")</f>
        <v>dom</v>
      </c>
      <c r="AB52" s="16" t="str">
        <f>TEXT(WEEKDAY(DATE(CalendarioAño,5,26),1),"ddd")</f>
        <v>lun</v>
      </c>
      <c r="AC52" s="16" t="str">
        <f>TEXT(WEEKDAY(DATE(CalendarioAño,5,27),1),"ddd")</f>
        <v>mar</v>
      </c>
      <c r="AD52" s="16" t="str">
        <f>TEXT(WEEKDAY(DATE(CalendarioAño,5,28),1),"ddd")</f>
        <v>mié</v>
      </c>
      <c r="AE52" s="16" t="str">
        <f>TEXT(WEEKDAY(DATE(CalendarioAño,5,29),1),"ddd")</f>
        <v>jue</v>
      </c>
      <c r="AF52" s="16" t="str">
        <f>TEXT(WEEKDAY(DATE(CalendarioAño,5,30),1),"ddd")</f>
        <v>vie</v>
      </c>
      <c r="AG52" s="16" t="str">
        <f>TEXT(WEEKDAY(DATE(CalendarioAño,5,31),1),"ddd")</f>
        <v>sáb</v>
      </c>
      <c r="AH52" s="32"/>
    </row>
    <row r="53" ht="30.0" customHeight="1">
      <c r="B53" s="33" t="s">
        <v>202</v>
      </c>
      <c r="C53" s="19" t="s">
        <v>15</v>
      </c>
      <c r="D53" s="19" t="s">
        <v>16</v>
      </c>
      <c r="E53" s="19" t="s">
        <v>17</v>
      </c>
      <c r="F53" s="19" t="s">
        <v>18</v>
      </c>
      <c r="G53" s="19" t="s">
        <v>19</v>
      </c>
      <c r="H53" s="19" t="s">
        <v>20</v>
      </c>
      <c r="I53" s="19" t="s">
        <v>21</v>
      </c>
      <c r="J53" s="19" t="s">
        <v>22</v>
      </c>
      <c r="K53" s="19" t="s">
        <v>23</v>
      </c>
      <c r="L53" s="19" t="s">
        <v>24</v>
      </c>
      <c r="M53" s="19" t="s">
        <v>25</v>
      </c>
      <c r="N53" s="19" t="s">
        <v>26</v>
      </c>
      <c r="O53" s="19" t="s">
        <v>27</v>
      </c>
      <c r="P53" s="19" t="s">
        <v>28</v>
      </c>
      <c r="Q53" s="19" t="s">
        <v>29</v>
      </c>
      <c r="R53" s="19" t="s">
        <v>30</v>
      </c>
      <c r="S53" s="19" t="s">
        <v>31</v>
      </c>
      <c r="T53" s="19" t="s">
        <v>32</v>
      </c>
      <c r="U53" s="19" t="s">
        <v>33</v>
      </c>
      <c r="V53" s="19" t="s">
        <v>34</v>
      </c>
      <c r="W53" s="19" t="s">
        <v>35</v>
      </c>
      <c r="X53" s="19" t="s">
        <v>36</v>
      </c>
      <c r="Y53" s="19" t="s">
        <v>37</v>
      </c>
      <c r="Z53" s="19" t="s">
        <v>38</v>
      </c>
      <c r="AA53" s="19" t="s">
        <v>39</v>
      </c>
      <c r="AB53" s="19" t="s">
        <v>40</v>
      </c>
      <c r="AC53" s="19" t="s">
        <v>41</v>
      </c>
      <c r="AD53" s="19" t="s">
        <v>42</v>
      </c>
      <c r="AE53" s="19" t="s">
        <v>43</v>
      </c>
      <c r="AF53" s="19" t="s">
        <v>44</v>
      </c>
      <c r="AG53" s="19" t="s">
        <v>45</v>
      </c>
      <c r="AH53" s="19" t="s">
        <v>46</v>
      </c>
    </row>
    <row r="54" ht="30.0" customHeight="1">
      <c r="B54" s="20" t="s">
        <v>82</v>
      </c>
      <c r="C54" s="21"/>
      <c r="D54" s="10" t="s">
        <v>6</v>
      </c>
      <c r="E54" s="100"/>
      <c r="F54" s="21"/>
      <c r="G54" s="21"/>
      <c r="H54" s="100"/>
      <c r="I54" s="10" t="s">
        <v>6</v>
      </c>
      <c r="J54" s="10" t="s">
        <v>6</v>
      </c>
      <c r="K54" s="21"/>
      <c r="L54" s="21"/>
      <c r="M54" s="21"/>
      <c r="N54" s="21"/>
      <c r="O54" s="10" t="s">
        <v>6</v>
      </c>
      <c r="P54" s="21"/>
      <c r="Q54" s="21"/>
      <c r="R54" s="10" t="s">
        <v>6</v>
      </c>
      <c r="S54" s="21"/>
      <c r="T54" s="21"/>
      <c r="U54" s="21"/>
      <c r="V54" s="89"/>
      <c r="W54" s="10" t="s">
        <v>6</v>
      </c>
      <c r="X54" s="10" t="s">
        <v>6</v>
      </c>
      <c r="Y54" s="21"/>
      <c r="Z54" s="21"/>
      <c r="AA54" s="21"/>
      <c r="AB54" s="21"/>
      <c r="AC54" s="21"/>
      <c r="AD54" s="21"/>
      <c r="AE54" s="10" t="s">
        <v>6</v>
      </c>
      <c r="AF54" s="10" t="s">
        <v>6</v>
      </c>
      <c r="AG54" s="21"/>
      <c r="AH54" s="25"/>
    </row>
    <row r="55" ht="30.0" customHeight="1">
      <c r="B55" s="20" t="s">
        <v>101</v>
      </c>
      <c r="C55" s="21"/>
      <c r="D55" s="10" t="s">
        <v>6</v>
      </c>
      <c r="E55" s="83" t="s">
        <v>174</v>
      </c>
      <c r="F55" s="21"/>
      <c r="G55" s="21"/>
      <c r="H55" s="100"/>
      <c r="I55" s="21"/>
      <c r="J55" s="100"/>
      <c r="K55" s="21"/>
      <c r="L55" s="21"/>
      <c r="M55" s="21"/>
      <c r="N55" s="21"/>
      <c r="O55" s="100"/>
      <c r="P55" s="21"/>
      <c r="Q55" s="100"/>
      <c r="R55" s="21"/>
      <c r="S55" s="21"/>
      <c r="T55" s="21"/>
      <c r="U55" s="10" t="s">
        <v>6</v>
      </c>
      <c r="V55" s="21"/>
      <c r="W55" s="10" t="s">
        <v>6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5"/>
    </row>
    <row r="56" ht="30.0" customHeight="1">
      <c r="B56" s="20" t="s">
        <v>83</v>
      </c>
      <c r="C56" s="100"/>
      <c r="D56" s="21"/>
      <c r="E56" s="10" t="s">
        <v>6</v>
      </c>
      <c r="F56" s="100"/>
      <c r="G56" s="21"/>
      <c r="H56" s="21"/>
      <c r="I56" s="21"/>
      <c r="J56" s="83" t="s">
        <v>174</v>
      </c>
      <c r="K56" s="21"/>
      <c r="L56" s="83" t="s">
        <v>174</v>
      </c>
      <c r="M56" s="21"/>
      <c r="N56" s="10" t="s">
        <v>6</v>
      </c>
      <c r="O56" s="21"/>
      <c r="P56" s="21"/>
      <c r="Q56" s="10" t="s">
        <v>6</v>
      </c>
      <c r="R56" s="100"/>
      <c r="S56" s="21"/>
      <c r="T56" s="100"/>
      <c r="U56" s="21"/>
      <c r="V56" s="21"/>
      <c r="W56" s="10" t="s">
        <v>6</v>
      </c>
      <c r="X56" s="21"/>
      <c r="Y56" s="21"/>
      <c r="Z56" s="10" t="s">
        <v>6</v>
      </c>
      <c r="AA56" s="100"/>
      <c r="AB56" s="10" t="s">
        <v>6</v>
      </c>
      <c r="AC56" s="10" t="s">
        <v>6</v>
      </c>
      <c r="AD56" s="100"/>
      <c r="AE56" s="21"/>
      <c r="AF56" s="10" t="s">
        <v>6</v>
      </c>
      <c r="AG56" s="21"/>
      <c r="AH56" s="25"/>
    </row>
    <row r="57" ht="30.0" customHeight="1">
      <c r="B57" s="20" t="s">
        <v>94</v>
      </c>
      <c r="C57" s="21"/>
      <c r="D57" s="21"/>
      <c r="E57" s="10" t="s">
        <v>6</v>
      </c>
      <c r="F57" s="100"/>
      <c r="G57" s="21"/>
      <c r="H57" s="21"/>
      <c r="I57" s="100"/>
      <c r="J57" s="100"/>
      <c r="K57" s="21"/>
      <c r="L57" s="10" t="s">
        <v>6</v>
      </c>
      <c r="M57" s="21"/>
      <c r="N57" s="21"/>
      <c r="O57" s="21"/>
      <c r="P57" s="21"/>
      <c r="Q57" s="21"/>
      <c r="R57" s="21"/>
      <c r="S57" s="10" t="s">
        <v>6</v>
      </c>
      <c r="T57" s="21"/>
      <c r="U57" s="21"/>
      <c r="V57" s="21"/>
      <c r="W57" s="21"/>
      <c r="X57" s="21"/>
      <c r="Y57" s="21"/>
      <c r="Z57" s="10" t="s">
        <v>6</v>
      </c>
      <c r="AA57" s="21"/>
      <c r="AB57" s="21"/>
      <c r="AC57" s="21"/>
      <c r="AD57" s="21"/>
      <c r="AE57" s="21"/>
      <c r="AF57" s="21"/>
      <c r="AG57" s="21"/>
      <c r="AH57" s="25"/>
    </row>
    <row r="58" ht="30.0" customHeight="1">
      <c r="B58" s="20" t="s">
        <v>210</v>
      </c>
      <c r="C58" s="21"/>
      <c r="D58" s="21"/>
      <c r="E58" s="10" t="s">
        <v>6</v>
      </c>
      <c r="F58" s="100"/>
      <c r="G58" s="21"/>
      <c r="H58" s="21"/>
      <c r="I58" s="21"/>
      <c r="J58" s="21"/>
      <c r="K58" s="21"/>
      <c r="L58" s="21"/>
      <c r="M58" s="100"/>
      <c r="N58" s="21"/>
      <c r="O58" s="21"/>
      <c r="P58" s="21"/>
      <c r="Q58" s="21"/>
      <c r="R58" s="21"/>
      <c r="S58" s="21"/>
      <c r="T58" s="21"/>
      <c r="U58" s="21"/>
      <c r="V58" s="100"/>
      <c r="W58" s="21"/>
      <c r="X58" s="21"/>
      <c r="Y58" s="100"/>
      <c r="Z58" s="21"/>
      <c r="AA58" s="100"/>
      <c r="AB58" s="21"/>
      <c r="AC58" s="21"/>
      <c r="AD58" s="21"/>
      <c r="AE58" s="21"/>
      <c r="AF58" s="21"/>
      <c r="AG58" s="21"/>
      <c r="AH58" s="25"/>
    </row>
    <row r="59" ht="30.0" customHeight="1">
      <c r="B59" s="20" t="s">
        <v>65</v>
      </c>
      <c r="C59" s="21"/>
      <c r="D59" s="21"/>
      <c r="E59" s="21"/>
      <c r="F59" s="100"/>
      <c r="G59" s="10" t="s">
        <v>6</v>
      </c>
      <c r="H59" s="21"/>
      <c r="I59" s="21"/>
      <c r="J59" s="21"/>
      <c r="K59" s="10" t="s">
        <v>6</v>
      </c>
      <c r="L59" s="21"/>
      <c r="M59" s="100"/>
      <c r="N59" s="21"/>
      <c r="O59" s="21"/>
      <c r="P59" s="21"/>
      <c r="Q59" s="21"/>
      <c r="R59" s="21"/>
      <c r="S59" s="21"/>
      <c r="T59" s="100"/>
      <c r="U59" s="21"/>
      <c r="V59" s="21"/>
      <c r="W59" s="21"/>
      <c r="X59" s="10" t="s">
        <v>6</v>
      </c>
      <c r="Y59" s="21"/>
      <c r="Z59" s="21"/>
      <c r="AA59" s="100"/>
      <c r="AB59" s="21"/>
      <c r="AC59" s="21"/>
      <c r="AD59" s="10" t="s">
        <v>6</v>
      </c>
      <c r="AE59" s="10" t="s">
        <v>6</v>
      </c>
      <c r="AF59" s="21"/>
      <c r="AG59" s="21"/>
      <c r="AH59" s="25"/>
    </row>
    <row r="60" ht="30.0" customHeight="1">
      <c r="B60" s="20" t="s">
        <v>100</v>
      </c>
      <c r="C60" s="21"/>
      <c r="D60" s="21"/>
      <c r="E60" s="21"/>
      <c r="F60" s="100"/>
      <c r="G60" s="10" t="s">
        <v>6</v>
      </c>
      <c r="H60" s="21"/>
      <c r="I60" s="21"/>
      <c r="J60" s="21"/>
      <c r="K60" s="21"/>
      <c r="L60" s="21"/>
      <c r="M60" s="100"/>
      <c r="N60" s="10" t="s">
        <v>6</v>
      </c>
      <c r="O60" s="21"/>
      <c r="P60" s="21"/>
      <c r="Q60" s="21"/>
      <c r="R60" s="10" t="s">
        <v>6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5"/>
    </row>
    <row r="61" ht="30.0" customHeight="1">
      <c r="B61" s="20" t="s">
        <v>245</v>
      </c>
      <c r="C61" s="21"/>
      <c r="D61" s="21"/>
      <c r="E61" s="21"/>
      <c r="F61" s="21"/>
      <c r="G61" s="10" t="s">
        <v>6</v>
      </c>
      <c r="H61" s="21"/>
      <c r="I61" s="10" t="s">
        <v>6</v>
      </c>
      <c r="J61" s="21"/>
      <c r="K61" s="21"/>
      <c r="L61" s="21"/>
      <c r="M61" s="21"/>
      <c r="N61" s="10" t="s">
        <v>6</v>
      </c>
      <c r="O61" s="21"/>
      <c r="P61" s="21"/>
      <c r="Q61" s="21"/>
      <c r="R61" s="10" t="s">
        <v>6</v>
      </c>
      <c r="S61" s="21"/>
      <c r="T61" s="21"/>
      <c r="U61" s="10" t="s">
        <v>6</v>
      </c>
      <c r="V61" s="21"/>
      <c r="W61" s="10" t="s">
        <v>6</v>
      </c>
      <c r="X61" s="21"/>
      <c r="Y61" s="21"/>
      <c r="Z61" s="21"/>
      <c r="AA61" s="100"/>
      <c r="AB61" s="21"/>
      <c r="AC61" s="21"/>
      <c r="AD61" s="10" t="s">
        <v>6</v>
      </c>
      <c r="AE61" s="21"/>
      <c r="AF61" s="10" t="s">
        <v>6</v>
      </c>
      <c r="AG61" s="21"/>
      <c r="AH61" s="36">
        <v>8.0</v>
      </c>
    </row>
    <row r="62" ht="30.0" customHeight="1">
      <c r="B62" s="20" t="s">
        <v>209</v>
      </c>
      <c r="C62" s="21"/>
      <c r="D62" s="21"/>
      <c r="E62" s="21"/>
      <c r="F62" s="21"/>
      <c r="G62" s="21"/>
      <c r="H62" s="21"/>
      <c r="I62" s="10" t="s">
        <v>6</v>
      </c>
      <c r="J62" s="21"/>
      <c r="K62" s="10" t="s">
        <v>6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10" t="s">
        <v>6</v>
      </c>
      <c r="X62" s="10" t="s">
        <v>6</v>
      </c>
      <c r="Y62" s="10" t="s">
        <v>6</v>
      </c>
      <c r="Z62" s="10" t="s">
        <v>6</v>
      </c>
      <c r="AA62" s="21"/>
      <c r="AB62" s="21"/>
      <c r="AC62" s="21"/>
      <c r="AD62" s="21"/>
      <c r="AE62" s="10" t="s">
        <v>6</v>
      </c>
      <c r="AF62" s="10" t="s">
        <v>6</v>
      </c>
      <c r="AG62" s="21"/>
      <c r="AH62" s="36">
        <v>8.0</v>
      </c>
    </row>
    <row r="63" ht="30.0" customHeight="1">
      <c r="B63" s="20" t="s">
        <v>213</v>
      </c>
      <c r="C63" s="21"/>
      <c r="D63" s="21"/>
      <c r="E63" s="21"/>
      <c r="F63" s="21"/>
      <c r="G63" s="21"/>
      <c r="H63" s="21"/>
      <c r="I63" s="21"/>
      <c r="J63" s="10" t="s">
        <v>6</v>
      </c>
      <c r="K63" s="21"/>
      <c r="L63" s="21"/>
      <c r="M63" s="21"/>
      <c r="N63" s="10" t="s">
        <v>6</v>
      </c>
      <c r="O63" s="10" t="s">
        <v>6</v>
      </c>
      <c r="P63" s="21"/>
      <c r="Q63" s="21"/>
      <c r="R63" s="10" t="s">
        <v>6</v>
      </c>
      <c r="S63" s="21"/>
      <c r="T63" s="21"/>
      <c r="U63" s="21"/>
      <c r="V63" s="10" t="s">
        <v>6</v>
      </c>
      <c r="W63" s="21"/>
      <c r="X63" s="109"/>
      <c r="Y63" s="10" t="s">
        <v>6</v>
      </c>
      <c r="Z63" s="21"/>
      <c r="AA63" s="21"/>
      <c r="AB63" s="21"/>
      <c r="AC63" s="10" t="s">
        <v>6</v>
      </c>
      <c r="AD63" s="21"/>
      <c r="AE63" s="21"/>
      <c r="AF63" s="10" t="s">
        <v>6</v>
      </c>
      <c r="AG63" s="21"/>
      <c r="AH63" s="25"/>
    </row>
    <row r="64" ht="30.0" customHeight="1">
      <c r="B64" s="20" t="s">
        <v>54</v>
      </c>
      <c r="C64" s="21"/>
      <c r="D64" s="21"/>
      <c r="E64" s="21"/>
      <c r="F64" s="21"/>
      <c r="G64" s="21"/>
      <c r="H64" s="21"/>
      <c r="I64" s="21"/>
      <c r="J64" s="10" t="s">
        <v>6</v>
      </c>
      <c r="K64" s="21"/>
      <c r="L64" s="21"/>
      <c r="M64" s="21"/>
      <c r="N64" s="10" t="s">
        <v>6</v>
      </c>
      <c r="O64" s="10" t="s">
        <v>6</v>
      </c>
      <c r="P64" s="21"/>
      <c r="Q64" s="10" t="s">
        <v>6</v>
      </c>
      <c r="R64" s="21"/>
      <c r="S64" s="21"/>
      <c r="T64" s="21"/>
      <c r="U64" s="21"/>
      <c r="V64" s="10" t="s">
        <v>6</v>
      </c>
      <c r="W64" s="21"/>
      <c r="X64" s="10" t="s">
        <v>6</v>
      </c>
      <c r="Y64" s="21"/>
      <c r="Z64" s="21"/>
      <c r="AA64" s="21"/>
      <c r="AB64" s="21"/>
      <c r="AC64" s="10" t="s">
        <v>6</v>
      </c>
      <c r="AD64" s="21"/>
      <c r="AE64" s="10" t="s">
        <v>6</v>
      </c>
      <c r="AF64" s="21"/>
      <c r="AG64" s="21"/>
      <c r="AH64" s="25"/>
    </row>
    <row r="65" ht="30.0" customHeight="1">
      <c r="B65" s="20" t="s">
        <v>59</v>
      </c>
      <c r="C65" s="21"/>
      <c r="D65" s="21"/>
      <c r="E65" s="21"/>
      <c r="F65" s="21"/>
      <c r="G65" s="21"/>
      <c r="H65" s="21"/>
      <c r="I65" s="21"/>
      <c r="J65" s="21"/>
      <c r="K65" s="21"/>
      <c r="L65" s="10" t="s">
        <v>6</v>
      </c>
      <c r="M65" s="21"/>
      <c r="N65" s="21"/>
      <c r="O65" s="21"/>
      <c r="P65" s="21"/>
      <c r="Q65" s="10" t="s">
        <v>6</v>
      </c>
      <c r="R65" s="21"/>
      <c r="S65" s="10" t="s">
        <v>6</v>
      </c>
      <c r="T65" s="21"/>
      <c r="U65" s="21"/>
      <c r="V65" s="21"/>
      <c r="W65" s="10" t="s">
        <v>6</v>
      </c>
      <c r="X65" s="109"/>
      <c r="Y65" s="21"/>
      <c r="Z65" s="10" t="s">
        <v>6</v>
      </c>
      <c r="AA65" s="21"/>
      <c r="AB65" s="21"/>
      <c r="AC65" s="21"/>
      <c r="AD65" s="21"/>
      <c r="AE65" s="21"/>
      <c r="AF65" s="21"/>
      <c r="AG65" s="21"/>
      <c r="AH65" s="25"/>
    </row>
    <row r="66" ht="30.0" customHeight="1">
      <c r="B66" s="20" t="s">
        <v>227</v>
      </c>
      <c r="C66" s="21"/>
      <c r="D66" s="21"/>
      <c r="E66" s="21"/>
      <c r="F66" s="21"/>
      <c r="G66" s="21"/>
      <c r="H66" s="21"/>
      <c r="I66" s="21"/>
      <c r="J66" s="21"/>
      <c r="K66" s="21"/>
      <c r="L66" s="10" t="s">
        <v>6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109"/>
      <c r="Y66" s="21"/>
      <c r="Z66" s="21"/>
      <c r="AA66" s="21"/>
      <c r="AB66" s="21"/>
      <c r="AC66" s="21"/>
      <c r="AD66" s="21"/>
      <c r="AE66" s="21"/>
      <c r="AF66" s="21"/>
      <c r="AG66" s="21"/>
      <c r="AH66" s="25"/>
    </row>
    <row r="67" ht="30.0" customHeight="1">
      <c r="B67" s="20" t="s">
        <v>226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10" t="s">
        <v>6</v>
      </c>
      <c r="R67" s="21"/>
      <c r="S67" s="21"/>
      <c r="T67" s="21"/>
      <c r="U67" s="21"/>
      <c r="V67" s="10" t="s">
        <v>6</v>
      </c>
      <c r="W67" s="21"/>
      <c r="X67" s="109"/>
      <c r="Y67" s="21"/>
      <c r="Z67" s="21"/>
      <c r="AA67" s="21"/>
      <c r="AB67" s="21"/>
      <c r="AC67" s="10" t="s">
        <v>6</v>
      </c>
      <c r="AD67" s="21"/>
      <c r="AE67" s="10" t="s">
        <v>6</v>
      </c>
      <c r="AF67" s="21"/>
      <c r="AG67" s="21"/>
      <c r="AH67" s="25"/>
    </row>
    <row r="68" ht="30.0" customHeight="1">
      <c r="B68" s="20" t="s">
        <v>246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10" t="s">
        <v>6</v>
      </c>
      <c r="S68" s="10" t="s">
        <v>6</v>
      </c>
      <c r="T68" s="21"/>
      <c r="U68" s="21"/>
      <c r="V68" s="21"/>
      <c r="W68" s="10" t="s">
        <v>6</v>
      </c>
      <c r="X68" s="109"/>
      <c r="Y68" s="21"/>
      <c r="Z68" s="21"/>
      <c r="AA68" s="21"/>
      <c r="AB68" s="21"/>
      <c r="AC68" s="21"/>
      <c r="AD68" s="21"/>
      <c r="AE68" s="21"/>
      <c r="AF68" s="10" t="s">
        <v>6</v>
      </c>
      <c r="AG68" s="21"/>
      <c r="AH68" s="25"/>
    </row>
    <row r="69" ht="30.0" customHeight="1">
      <c r="B69" s="20" t="s">
        <v>211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10" t="s">
        <v>6</v>
      </c>
      <c r="V69" s="21"/>
      <c r="W69" s="21"/>
      <c r="X69" s="109"/>
      <c r="Y69" s="10" t="s">
        <v>6</v>
      </c>
      <c r="Z69" s="21"/>
      <c r="AA69" s="21"/>
      <c r="AB69" s="10" t="s">
        <v>6</v>
      </c>
      <c r="AC69" s="21"/>
      <c r="AD69" s="83" t="s">
        <v>174</v>
      </c>
      <c r="AE69" s="21"/>
      <c r="AF69" s="10" t="s">
        <v>6</v>
      </c>
      <c r="AG69" s="21"/>
      <c r="AH69" s="25"/>
    </row>
    <row r="70" ht="30.0" customHeight="1">
      <c r="B70" s="20" t="s">
        <v>222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109"/>
      <c r="Y70" s="21"/>
      <c r="Z70" s="21"/>
      <c r="AA70" s="21"/>
      <c r="AB70" s="21"/>
      <c r="AC70" s="10" t="s">
        <v>6</v>
      </c>
      <c r="AD70" s="21"/>
      <c r="AE70" s="10" t="s">
        <v>6</v>
      </c>
      <c r="AF70" s="21"/>
      <c r="AG70" s="21"/>
      <c r="AH70" s="25"/>
    </row>
    <row r="71" ht="30.0" customHeight="1">
      <c r="B71" s="20" t="s">
        <v>63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109"/>
      <c r="Y71" s="21"/>
      <c r="Z71" s="21"/>
      <c r="AA71" s="21"/>
      <c r="AB71" s="21"/>
      <c r="AC71" s="10" t="s">
        <v>6</v>
      </c>
      <c r="AD71" s="21"/>
      <c r="AE71" s="10" t="s">
        <v>6</v>
      </c>
      <c r="AF71" s="21"/>
      <c r="AG71" s="21"/>
      <c r="AH71" s="25"/>
    </row>
    <row r="72" ht="30.0" customHeight="1">
      <c r="B72" s="86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109"/>
      <c r="Y72" s="21"/>
      <c r="Z72" s="21"/>
      <c r="AA72" s="21"/>
      <c r="AB72" s="21"/>
      <c r="AC72" s="21"/>
      <c r="AD72" s="21"/>
      <c r="AE72" s="21"/>
      <c r="AF72" s="21"/>
      <c r="AG72" s="21"/>
      <c r="AH72" s="25"/>
    </row>
    <row r="73" ht="30.0" customHeight="1">
      <c r="B73" s="86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100"/>
      <c r="Y73" s="21"/>
      <c r="Z73" s="21"/>
      <c r="AA73" s="21"/>
      <c r="AB73" s="21"/>
      <c r="AC73" s="21"/>
      <c r="AD73" s="21"/>
      <c r="AE73" s="21"/>
      <c r="AF73" s="21"/>
      <c r="AG73" s="21"/>
      <c r="AH73" s="25"/>
    </row>
    <row r="74" ht="30.0" customHeight="1">
      <c r="B74" s="26" t="str">
        <f>Mayo!MonthName&amp;" Total"</f>
        <v>Mayo Total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>
        <f>SUM(C74:AG74)</f>
        <v>0</v>
      </c>
    </row>
    <row r="75" ht="30.0" customHeight="1"/>
    <row r="76" ht="30.0" customHeight="1">
      <c r="B76" s="32" t="s">
        <v>236</v>
      </c>
      <c r="C76" s="80" t="s">
        <v>247</v>
      </c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32">
        <f>CalendarioAño</f>
        <v>2025</v>
      </c>
    </row>
    <row r="77" ht="30.0" customHeight="1">
      <c r="B77" s="32"/>
      <c r="C77" s="16" t="str">
        <f>TEXT(WEEKDAY(DATE(CalendarioAño,5,1),1),"ddd")</f>
        <v>jue</v>
      </c>
      <c r="D77" s="16" t="str">
        <f>TEXT(WEEKDAY(DATE(CalendarioAño,5,2),1),"ddd")</f>
        <v>vie</v>
      </c>
      <c r="E77" s="16" t="str">
        <f>TEXT(WEEKDAY(DATE(CalendarioAño,5,3),1),"ddd")</f>
        <v>sáb</v>
      </c>
      <c r="F77" s="16" t="str">
        <f>TEXT(WEEKDAY(DATE(CalendarioAño,5,4),1),"ddd")</f>
        <v>dom</v>
      </c>
      <c r="G77" s="16" t="str">
        <f>TEXT(WEEKDAY(DATE(CalendarioAño,5,5),1),"ddd")</f>
        <v>lun</v>
      </c>
      <c r="H77" s="16" t="str">
        <f>TEXT(WEEKDAY(DATE(CalendarioAño,5,6),1),"ddd")</f>
        <v>mar</v>
      </c>
      <c r="I77" s="16" t="str">
        <f>TEXT(WEEKDAY(DATE(CalendarioAño,5,7),1),"ddd")</f>
        <v>mié</v>
      </c>
      <c r="J77" s="16" t="str">
        <f>TEXT(WEEKDAY(DATE(CalendarioAño,5,8),1),"ddd")</f>
        <v>jue</v>
      </c>
      <c r="K77" s="16" t="str">
        <f>TEXT(WEEKDAY(DATE(CalendarioAño,5,9),1),"ddd")</f>
        <v>vie</v>
      </c>
      <c r="L77" s="16" t="str">
        <f>TEXT(WEEKDAY(DATE(CalendarioAño,5,10),1),"ddd")</f>
        <v>sáb</v>
      </c>
      <c r="M77" s="16" t="str">
        <f>TEXT(WEEKDAY(DATE(CalendarioAño,5,11),1),"ddd")</f>
        <v>dom</v>
      </c>
      <c r="N77" s="16" t="str">
        <f>TEXT(WEEKDAY(DATE(CalendarioAño,5,12),1),"ddd")</f>
        <v>lun</v>
      </c>
      <c r="O77" s="16" t="str">
        <f>TEXT(WEEKDAY(DATE(CalendarioAño,5,13),1),"ddd")</f>
        <v>mar</v>
      </c>
      <c r="P77" s="16" t="str">
        <f>TEXT(WEEKDAY(DATE(CalendarioAño,5,14),1),"ddd")</f>
        <v>mié</v>
      </c>
      <c r="Q77" s="16" t="str">
        <f>TEXT(WEEKDAY(DATE(CalendarioAño,5,15),1),"ddd")</f>
        <v>jue</v>
      </c>
      <c r="R77" s="16" t="str">
        <f>TEXT(WEEKDAY(DATE(CalendarioAño,5,16),1),"ddd")</f>
        <v>vie</v>
      </c>
      <c r="S77" s="16" t="str">
        <f>TEXT(WEEKDAY(DATE(CalendarioAño,5,17),1),"ddd")</f>
        <v>sáb</v>
      </c>
      <c r="T77" s="16" t="str">
        <f>TEXT(WEEKDAY(DATE(CalendarioAño,5,18),1),"ddd")</f>
        <v>dom</v>
      </c>
      <c r="U77" s="16" t="str">
        <f>TEXT(WEEKDAY(DATE(CalendarioAño,5,19),1),"ddd")</f>
        <v>lun</v>
      </c>
      <c r="V77" s="16" t="str">
        <f>TEXT(WEEKDAY(DATE(CalendarioAño,5,20),1),"ddd")</f>
        <v>mar</v>
      </c>
      <c r="W77" s="16" t="str">
        <f>TEXT(WEEKDAY(DATE(CalendarioAño,5,21),1),"ddd")</f>
        <v>mié</v>
      </c>
      <c r="X77" s="16" t="str">
        <f>TEXT(WEEKDAY(DATE(CalendarioAño,5,22),1),"ddd")</f>
        <v>jue</v>
      </c>
      <c r="Y77" s="16" t="str">
        <f>TEXT(WEEKDAY(DATE(CalendarioAño,5,23),1),"ddd")</f>
        <v>vie</v>
      </c>
      <c r="Z77" s="16" t="str">
        <f>TEXT(WEEKDAY(DATE(CalendarioAño,5,24),1),"ddd")</f>
        <v>sáb</v>
      </c>
      <c r="AA77" s="16" t="str">
        <f>TEXT(WEEKDAY(DATE(CalendarioAño,5,25),1),"ddd")</f>
        <v>dom</v>
      </c>
      <c r="AB77" s="16" t="str">
        <f>TEXT(WEEKDAY(DATE(CalendarioAño,5,26),1),"ddd")</f>
        <v>lun</v>
      </c>
      <c r="AC77" s="16" t="str">
        <f>TEXT(WEEKDAY(DATE(CalendarioAño,5,27),1),"ddd")</f>
        <v>mar</v>
      </c>
      <c r="AD77" s="16" t="str">
        <f>TEXT(WEEKDAY(DATE(CalendarioAño,5,28),1),"ddd")</f>
        <v>mié</v>
      </c>
      <c r="AE77" s="16" t="str">
        <f>TEXT(WEEKDAY(DATE(CalendarioAño,5,29),1),"ddd")</f>
        <v>jue</v>
      </c>
      <c r="AF77" s="16" t="str">
        <f>TEXT(WEEKDAY(DATE(CalendarioAño,5,30),1),"ddd")</f>
        <v>vie</v>
      </c>
      <c r="AG77" s="16" t="str">
        <f>TEXT(WEEKDAY(DATE(CalendarioAño,5,31),1),"ddd")</f>
        <v>sáb</v>
      </c>
      <c r="AH77" s="32"/>
    </row>
    <row r="78" ht="30.0" customHeight="1">
      <c r="B78" s="33" t="s">
        <v>202</v>
      </c>
      <c r="C78" s="19" t="s">
        <v>15</v>
      </c>
      <c r="D78" s="19" t="s">
        <v>16</v>
      </c>
      <c r="E78" s="19" t="s">
        <v>17</v>
      </c>
      <c r="F78" s="19" t="s">
        <v>18</v>
      </c>
      <c r="G78" s="19" t="s">
        <v>19</v>
      </c>
      <c r="H78" s="19" t="s">
        <v>20</v>
      </c>
      <c r="I78" s="19" t="s">
        <v>21</v>
      </c>
      <c r="J78" s="19" t="s">
        <v>22</v>
      </c>
      <c r="K78" s="19" t="s">
        <v>23</v>
      </c>
      <c r="L78" s="19" t="s">
        <v>24</v>
      </c>
      <c r="M78" s="19" t="s">
        <v>25</v>
      </c>
      <c r="N78" s="19" t="s">
        <v>26</v>
      </c>
      <c r="O78" s="19" t="s">
        <v>27</v>
      </c>
      <c r="P78" s="19" t="s">
        <v>28</v>
      </c>
      <c r="Q78" s="19" t="s">
        <v>29</v>
      </c>
      <c r="R78" s="19" t="s">
        <v>30</v>
      </c>
      <c r="S78" s="19" t="s">
        <v>31</v>
      </c>
      <c r="T78" s="19" t="s">
        <v>32</v>
      </c>
      <c r="U78" s="19" t="s">
        <v>33</v>
      </c>
      <c r="V78" s="19" t="s">
        <v>34</v>
      </c>
      <c r="W78" s="19" t="s">
        <v>35</v>
      </c>
      <c r="X78" s="19" t="s">
        <v>36</v>
      </c>
      <c r="Y78" s="19" t="s">
        <v>37</v>
      </c>
      <c r="Z78" s="19" t="s">
        <v>38</v>
      </c>
      <c r="AA78" s="19" t="s">
        <v>39</v>
      </c>
      <c r="AB78" s="19" t="s">
        <v>40</v>
      </c>
      <c r="AC78" s="19" t="s">
        <v>41</v>
      </c>
      <c r="AD78" s="19" t="s">
        <v>42</v>
      </c>
      <c r="AE78" s="19" t="s">
        <v>43</v>
      </c>
      <c r="AF78" s="19" t="s">
        <v>44</v>
      </c>
      <c r="AG78" s="19" t="s">
        <v>45</v>
      </c>
      <c r="AH78" s="19" t="s">
        <v>46</v>
      </c>
    </row>
    <row r="79" ht="30.0" customHeight="1">
      <c r="B79" s="20" t="s">
        <v>115</v>
      </c>
      <c r="C79" s="21"/>
      <c r="D79" s="10" t="s">
        <v>6</v>
      </c>
      <c r="E79" s="100"/>
      <c r="F79" s="21"/>
      <c r="G79" s="21"/>
      <c r="H79" s="100"/>
      <c r="I79" s="21"/>
      <c r="J79" s="100"/>
      <c r="K79" s="10" t="s">
        <v>6</v>
      </c>
      <c r="L79" s="10" t="s">
        <v>6</v>
      </c>
      <c r="M79" s="21"/>
      <c r="N79" s="21"/>
      <c r="O79" s="21"/>
      <c r="P79" s="21"/>
      <c r="Q79" s="21"/>
      <c r="R79" s="10" t="s">
        <v>6</v>
      </c>
      <c r="S79" s="10" t="s">
        <v>6</v>
      </c>
      <c r="T79" s="21"/>
      <c r="U79" s="21"/>
      <c r="V79" s="21"/>
      <c r="W79" s="21"/>
      <c r="X79" s="21"/>
      <c r="Y79" s="10" t="s">
        <v>6</v>
      </c>
      <c r="Z79" s="10" t="s">
        <v>6</v>
      </c>
      <c r="AA79" s="21"/>
      <c r="AB79" s="21"/>
      <c r="AC79" s="21"/>
      <c r="AD79" s="21"/>
      <c r="AE79" s="21"/>
      <c r="AF79" s="83" t="s">
        <v>174</v>
      </c>
      <c r="AG79" s="21"/>
      <c r="AH79" s="25"/>
    </row>
    <row r="80" ht="30.0" customHeight="1">
      <c r="B80" s="20" t="s">
        <v>228</v>
      </c>
      <c r="C80" s="21"/>
      <c r="D80" s="10" t="s">
        <v>6</v>
      </c>
      <c r="E80" s="100"/>
      <c r="F80" s="21"/>
      <c r="G80" s="10" t="s">
        <v>6</v>
      </c>
      <c r="H80" s="100"/>
      <c r="I80" s="21"/>
      <c r="J80" s="100"/>
      <c r="K80" s="21"/>
      <c r="L80" s="10" t="s">
        <v>6</v>
      </c>
      <c r="M80" s="21"/>
      <c r="N80" s="10" t="s">
        <v>6</v>
      </c>
      <c r="O80" s="100"/>
      <c r="P80" s="21"/>
      <c r="Q80" s="100"/>
      <c r="R80" s="21"/>
      <c r="S80" s="21"/>
      <c r="T80" s="21"/>
      <c r="U80" s="10" t="s">
        <v>6</v>
      </c>
      <c r="V80" s="21"/>
      <c r="W80" s="21"/>
      <c r="X80" s="21"/>
      <c r="Y80" s="21"/>
      <c r="Z80" s="10" t="s">
        <v>6</v>
      </c>
      <c r="AA80" s="21"/>
      <c r="AB80" s="10" t="s">
        <v>6</v>
      </c>
      <c r="AC80" s="21"/>
      <c r="AD80" s="21"/>
      <c r="AE80" s="21"/>
      <c r="AF80" s="21"/>
      <c r="AG80" s="21"/>
      <c r="AH80" s="25"/>
    </row>
    <row r="81" ht="30.0" customHeight="1">
      <c r="B81" s="20" t="s">
        <v>229</v>
      </c>
      <c r="C81" s="21"/>
      <c r="D81" s="10" t="s">
        <v>6</v>
      </c>
      <c r="E81" s="21"/>
      <c r="F81" s="100"/>
      <c r="G81" s="10" t="s">
        <v>6</v>
      </c>
      <c r="H81" s="21"/>
      <c r="I81" s="21"/>
      <c r="J81" s="100"/>
      <c r="K81" s="21"/>
      <c r="L81" s="10" t="s">
        <v>6</v>
      </c>
      <c r="M81" s="21"/>
      <c r="N81" s="83" t="s">
        <v>174</v>
      </c>
      <c r="O81" s="21"/>
      <c r="P81" s="21"/>
      <c r="Q81" s="21"/>
      <c r="R81" s="100"/>
      <c r="S81" s="21"/>
      <c r="T81" s="100"/>
      <c r="U81" s="10" t="s">
        <v>6</v>
      </c>
      <c r="V81" s="21"/>
      <c r="W81" s="100"/>
      <c r="X81" s="21"/>
      <c r="Y81" s="21"/>
      <c r="Z81" s="10" t="s">
        <v>6</v>
      </c>
      <c r="AA81" s="100"/>
      <c r="AB81" s="10" t="s">
        <v>6</v>
      </c>
      <c r="AC81" s="21"/>
      <c r="AD81" s="100"/>
      <c r="AE81" s="21"/>
      <c r="AF81" s="21"/>
      <c r="AG81" s="21"/>
      <c r="AH81" s="25"/>
    </row>
    <row r="82" ht="30.0" customHeight="1">
      <c r="B82" s="20" t="s">
        <v>108</v>
      </c>
      <c r="C82" s="21"/>
      <c r="D82" s="10" t="s">
        <v>6</v>
      </c>
      <c r="E82" s="21"/>
      <c r="F82" s="100"/>
      <c r="G82" s="10" t="s">
        <v>6</v>
      </c>
      <c r="H82" s="10" t="s">
        <v>6</v>
      </c>
      <c r="I82" s="100"/>
      <c r="J82" s="10" t="s">
        <v>6</v>
      </c>
      <c r="K82" s="21"/>
      <c r="L82" s="21"/>
      <c r="M82" s="21"/>
      <c r="N82" s="21"/>
      <c r="O82" s="10" t="s">
        <v>6</v>
      </c>
      <c r="P82" s="21"/>
      <c r="Q82" s="21"/>
      <c r="R82" s="10" t="s">
        <v>6</v>
      </c>
      <c r="S82" s="21"/>
      <c r="T82" s="21"/>
      <c r="U82" s="10" t="s">
        <v>6</v>
      </c>
      <c r="V82" s="10" t="s">
        <v>6</v>
      </c>
      <c r="W82" s="10" t="s">
        <v>6</v>
      </c>
      <c r="X82" s="10" t="s">
        <v>6</v>
      </c>
      <c r="Y82" s="10" t="s">
        <v>6</v>
      </c>
      <c r="Z82" s="21"/>
      <c r="AA82" s="21"/>
      <c r="AB82" s="10" t="s">
        <v>6</v>
      </c>
      <c r="AC82" s="10" t="s">
        <v>6</v>
      </c>
      <c r="AD82" s="10" t="s">
        <v>6</v>
      </c>
      <c r="AE82" s="21"/>
      <c r="AF82" s="10" t="s">
        <v>6</v>
      </c>
      <c r="AG82" s="21"/>
      <c r="AH82" s="25"/>
    </row>
    <row r="83" ht="30.0" customHeight="1">
      <c r="B83" s="20" t="s">
        <v>121</v>
      </c>
      <c r="C83" s="21"/>
      <c r="D83" s="21"/>
      <c r="E83" s="10" t="s">
        <v>6</v>
      </c>
      <c r="F83" s="100"/>
      <c r="G83" s="21"/>
      <c r="H83" s="21"/>
      <c r="I83" s="21"/>
      <c r="J83" s="21"/>
      <c r="K83" s="21"/>
      <c r="L83" s="10" t="s">
        <v>6</v>
      </c>
      <c r="M83" s="100"/>
      <c r="N83" s="21"/>
      <c r="O83" s="21"/>
      <c r="P83" s="21"/>
      <c r="Q83" s="21"/>
      <c r="R83" s="21"/>
      <c r="S83" s="21"/>
      <c r="T83" s="21"/>
      <c r="U83" s="21"/>
      <c r="V83" s="100"/>
      <c r="W83" s="21"/>
      <c r="X83" s="21"/>
      <c r="Y83" s="100"/>
      <c r="Z83" s="10" t="s">
        <v>6</v>
      </c>
      <c r="AA83" s="100"/>
      <c r="AB83" s="21"/>
      <c r="AC83" s="21"/>
      <c r="AD83" s="21"/>
      <c r="AE83" s="21"/>
      <c r="AF83" s="21"/>
      <c r="AG83" s="21"/>
      <c r="AH83" s="25"/>
    </row>
    <row r="84" ht="30.0" customHeight="1">
      <c r="B84" s="20" t="s">
        <v>122</v>
      </c>
      <c r="C84" s="21"/>
      <c r="D84" s="21"/>
      <c r="E84" s="10" t="s">
        <v>6</v>
      </c>
      <c r="F84" s="100"/>
      <c r="G84" s="21"/>
      <c r="H84" s="21"/>
      <c r="I84" s="21"/>
      <c r="J84" s="21"/>
      <c r="K84" s="21"/>
      <c r="L84" s="10" t="s">
        <v>6</v>
      </c>
      <c r="M84" s="100"/>
      <c r="N84" s="21"/>
      <c r="O84" s="21"/>
      <c r="P84" s="21"/>
      <c r="Q84" s="21"/>
      <c r="R84" s="21"/>
      <c r="S84" s="21"/>
      <c r="T84" s="100"/>
      <c r="U84" s="21"/>
      <c r="V84" s="21"/>
      <c r="W84" s="21"/>
      <c r="X84" s="21"/>
      <c r="Y84" s="21"/>
      <c r="Z84" s="10" t="s">
        <v>6</v>
      </c>
      <c r="AA84" s="100"/>
      <c r="AB84" s="21"/>
      <c r="AC84" s="21"/>
      <c r="AD84" s="21"/>
      <c r="AE84" s="21"/>
      <c r="AF84" s="21"/>
      <c r="AG84" s="21"/>
      <c r="AH84" s="25"/>
    </row>
    <row r="85" ht="30.0" customHeight="1">
      <c r="B85" s="20" t="s">
        <v>106</v>
      </c>
      <c r="C85" s="21"/>
      <c r="D85" s="21"/>
      <c r="E85" s="21"/>
      <c r="F85" s="100"/>
      <c r="G85" s="21"/>
      <c r="H85" s="10" t="s">
        <v>6</v>
      </c>
      <c r="I85" s="21"/>
      <c r="J85" s="10" t="s">
        <v>6</v>
      </c>
      <c r="K85" s="21"/>
      <c r="L85" s="21"/>
      <c r="M85" s="100"/>
      <c r="N85" s="21"/>
      <c r="O85" s="10" t="s">
        <v>6</v>
      </c>
      <c r="P85" s="21"/>
      <c r="Q85" s="10" t="s">
        <v>6</v>
      </c>
      <c r="R85" s="21"/>
      <c r="S85" s="21"/>
      <c r="T85" s="21"/>
      <c r="U85" s="21"/>
      <c r="V85" s="10" t="s">
        <v>6</v>
      </c>
      <c r="W85" s="21"/>
      <c r="X85" s="21"/>
      <c r="Y85" s="10" t="s">
        <v>6</v>
      </c>
      <c r="Z85" s="21"/>
      <c r="AA85" s="21"/>
      <c r="AB85" s="21"/>
      <c r="AC85" s="21"/>
      <c r="AD85" s="21"/>
      <c r="AE85" s="21"/>
      <c r="AF85" s="21"/>
      <c r="AG85" s="21"/>
      <c r="AH85" s="25"/>
    </row>
    <row r="86" ht="30.0" customHeight="1">
      <c r="B86" s="20" t="s">
        <v>110</v>
      </c>
      <c r="C86" s="21"/>
      <c r="D86" s="21"/>
      <c r="E86" s="21"/>
      <c r="F86" s="21"/>
      <c r="G86" s="21"/>
      <c r="H86" s="10" t="s">
        <v>6</v>
      </c>
      <c r="I86" s="21"/>
      <c r="J86" s="10" t="s">
        <v>6</v>
      </c>
      <c r="K86" s="21"/>
      <c r="L86" s="21"/>
      <c r="M86" s="21"/>
      <c r="N86" s="21"/>
      <c r="O86" s="10" t="s">
        <v>6</v>
      </c>
      <c r="P86" s="21"/>
      <c r="Q86" s="10" t="s">
        <v>6</v>
      </c>
      <c r="R86" s="21"/>
      <c r="S86" s="21"/>
      <c r="T86" s="21"/>
      <c r="U86" s="10" t="s">
        <v>6</v>
      </c>
      <c r="V86" s="21"/>
      <c r="W86" s="21"/>
      <c r="X86" s="21"/>
      <c r="Y86" s="21"/>
      <c r="Z86" s="21"/>
      <c r="AA86" s="100"/>
      <c r="AB86" s="21"/>
      <c r="AC86" s="21"/>
      <c r="AD86" s="21"/>
      <c r="AE86" s="21"/>
      <c r="AF86" s="21"/>
      <c r="AG86" s="21"/>
      <c r="AH86" s="25"/>
    </row>
    <row r="87" ht="30.0" customHeight="1">
      <c r="B87" s="20" t="s">
        <v>79</v>
      </c>
      <c r="C87" s="21"/>
      <c r="D87" s="21"/>
      <c r="E87" s="21"/>
      <c r="F87" s="21"/>
      <c r="G87" s="10" t="s">
        <v>6</v>
      </c>
      <c r="H87" s="10" t="s">
        <v>6</v>
      </c>
      <c r="I87" s="21"/>
      <c r="J87" s="21"/>
      <c r="K87" s="21"/>
      <c r="L87" s="21"/>
      <c r="M87" s="21"/>
      <c r="N87" s="21"/>
      <c r="O87" s="10" t="s">
        <v>6</v>
      </c>
      <c r="P87" s="21"/>
      <c r="Q87" s="10" t="s">
        <v>6</v>
      </c>
      <c r="R87" s="21"/>
      <c r="S87" s="21"/>
      <c r="T87" s="21"/>
      <c r="U87" s="21"/>
      <c r="V87" s="10" t="s">
        <v>6</v>
      </c>
      <c r="W87" s="21"/>
      <c r="X87" s="10" t="s">
        <v>6</v>
      </c>
      <c r="Y87" s="21"/>
      <c r="Z87" s="21"/>
      <c r="AA87" s="21"/>
      <c r="AB87" s="21"/>
      <c r="AC87" s="10" t="s">
        <v>6</v>
      </c>
      <c r="AD87" s="21"/>
      <c r="AE87" s="10" t="s">
        <v>6</v>
      </c>
      <c r="AF87" s="21"/>
      <c r="AG87" s="21"/>
      <c r="AH87" s="25"/>
    </row>
    <row r="88" ht="30.0" customHeight="1">
      <c r="B88" s="20" t="s">
        <v>105</v>
      </c>
      <c r="C88" s="21"/>
      <c r="D88" s="21"/>
      <c r="E88" s="21"/>
      <c r="F88" s="21"/>
      <c r="G88" s="10" t="s">
        <v>6</v>
      </c>
      <c r="H88" s="21"/>
      <c r="I88" s="21"/>
      <c r="J88" s="21"/>
      <c r="K88" s="21"/>
      <c r="L88" s="21"/>
      <c r="M88" s="21"/>
      <c r="N88" s="21"/>
      <c r="O88" s="10" t="s">
        <v>6</v>
      </c>
      <c r="P88" s="21"/>
      <c r="Q88" s="21"/>
      <c r="R88" s="10" t="s">
        <v>6</v>
      </c>
      <c r="S88" s="21"/>
      <c r="T88" s="21"/>
      <c r="U88" s="10" t="s">
        <v>6</v>
      </c>
      <c r="V88" s="10" t="s">
        <v>6</v>
      </c>
      <c r="W88" s="21"/>
      <c r="X88" s="109"/>
      <c r="Y88" s="10" t="s">
        <v>6</v>
      </c>
      <c r="Z88" s="21"/>
      <c r="AA88" s="21"/>
      <c r="AB88" s="10" t="s">
        <v>6</v>
      </c>
      <c r="AC88" s="21"/>
      <c r="AD88" s="10" t="s">
        <v>6</v>
      </c>
      <c r="AE88" s="21"/>
      <c r="AF88" s="10" t="s">
        <v>6</v>
      </c>
      <c r="AG88" s="21"/>
      <c r="AH88" s="25"/>
    </row>
    <row r="89" ht="30.0" customHeight="1">
      <c r="B89" s="20" t="s">
        <v>230</v>
      </c>
      <c r="C89" s="21"/>
      <c r="D89" s="21"/>
      <c r="E89" s="21"/>
      <c r="F89" s="21"/>
      <c r="G89" s="21"/>
      <c r="H89" s="21"/>
      <c r="I89" s="10" t="s">
        <v>6</v>
      </c>
      <c r="J89" s="10" t="s">
        <v>6</v>
      </c>
      <c r="K89" s="21"/>
      <c r="L89" s="10" t="s">
        <v>6</v>
      </c>
      <c r="M89" s="21"/>
      <c r="N89" s="21"/>
      <c r="O89" s="21"/>
      <c r="P89" s="21"/>
      <c r="Q89" s="21"/>
      <c r="R89" s="10" t="s">
        <v>6</v>
      </c>
      <c r="S89" s="10" t="s">
        <v>6</v>
      </c>
      <c r="T89" s="21"/>
      <c r="U89" s="21"/>
      <c r="V89" s="21"/>
      <c r="W89" s="21"/>
      <c r="X89" s="10" t="s">
        <v>6</v>
      </c>
      <c r="Y89" s="10" t="s">
        <v>6</v>
      </c>
      <c r="Z89" s="10" t="s">
        <v>6</v>
      </c>
      <c r="AA89" s="21"/>
      <c r="AB89" s="21"/>
      <c r="AC89" s="10" t="s">
        <v>6</v>
      </c>
      <c r="AD89" s="21"/>
      <c r="AE89" s="21"/>
      <c r="AF89" s="10" t="s">
        <v>6</v>
      </c>
      <c r="AG89" s="21"/>
      <c r="AH89" s="25"/>
    </row>
    <row r="90" ht="30.0" customHeight="1">
      <c r="B90" s="20" t="s">
        <v>181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83" t="s">
        <v>174</v>
      </c>
      <c r="O90" s="83" t="s">
        <v>174</v>
      </c>
      <c r="P90" s="21"/>
      <c r="Q90" s="21"/>
      <c r="R90" s="83" t="s">
        <v>174</v>
      </c>
      <c r="S90" s="21"/>
      <c r="T90" s="21"/>
      <c r="U90" s="21"/>
      <c r="V90" s="21"/>
      <c r="W90" s="21"/>
      <c r="X90" s="109"/>
      <c r="Y90" s="21"/>
      <c r="Z90" s="21"/>
      <c r="AA90" s="21"/>
      <c r="AB90" s="21"/>
      <c r="AC90" s="21"/>
      <c r="AD90" s="21"/>
      <c r="AE90" s="21"/>
      <c r="AF90" s="21"/>
      <c r="AG90" s="21"/>
      <c r="AH90" s="25"/>
    </row>
    <row r="91" ht="30.0" customHeight="1">
      <c r="B91" s="20" t="s">
        <v>248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10" t="s">
        <v>6</v>
      </c>
      <c r="T91" s="21"/>
      <c r="U91" s="21"/>
      <c r="V91" s="21"/>
      <c r="W91" s="21"/>
      <c r="X91" s="109"/>
      <c r="Y91" s="21"/>
      <c r="Z91" s="21"/>
      <c r="AA91" s="21"/>
      <c r="AB91" s="10" t="s">
        <v>6</v>
      </c>
      <c r="AC91" s="21"/>
      <c r="AD91" s="21"/>
      <c r="AE91" s="21"/>
      <c r="AF91" s="21"/>
      <c r="AG91" s="21"/>
      <c r="AH91" s="25"/>
    </row>
    <row r="92" ht="30.0" customHeight="1">
      <c r="B92" s="20" t="s">
        <v>249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10" t="s">
        <v>6</v>
      </c>
      <c r="Y92" s="21"/>
      <c r="Z92" s="10" t="s">
        <v>6</v>
      </c>
      <c r="AA92" s="21"/>
      <c r="AB92" s="21"/>
      <c r="AC92" s="21"/>
      <c r="AD92" s="21"/>
      <c r="AE92" s="10" t="s">
        <v>6</v>
      </c>
      <c r="AF92" s="21"/>
      <c r="AG92" s="21"/>
      <c r="AH92" s="25"/>
    </row>
    <row r="93" ht="30.0" customHeight="1">
      <c r="B93" s="86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109"/>
      <c r="Y93" s="21"/>
      <c r="Z93" s="21"/>
      <c r="AA93" s="21"/>
      <c r="AB93" s="21"/>
      <c r="AC93" s="21"/>
      <c r="AD93" s="21"/>
      <c r="AE93" s="21"/>
      <c r="AF93" s="21"/>
      <c r="AG93" s="21"/>
      <c r="AH93" s="25"/>
    </row>
    <row r="94" ht="30.0" customHeight="1">
      <c r="B94" s="86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100"/>
      <c r="Y94" s="21"/>
      <c r="Z94" s="21"/>
      <c r="AA94" s="21"/>
      <c r="AB94" s="21"/>
      <c r="AC94" s="21"/>
      <c r="AD94" s="21"/>
      <c r="AE94" s="21"/>
      <c r="AF94" s="21"/>
      <c r="AG94" s="21"/>
      <c r="AH94" s="25"/>
    </row>
    <row r="95" ht="30.0" customHeight="1">
      <c r="B95" s="26" t="str">
        <f>Mayo!MonthName&amp;" Total"</f>
        <v>Mayo Total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>
        <f>SUM(C95:AG95)</f>
        <v>0</v>
      </c>
    </row>
    <row r="96" ht="30.0" customHeight="1"/>
    <row r="97" ht="30.0" customHeight="1">
      <c r="B97" s="32" t="s">
        <v>236</v>
      </c>
      <c r="C97" s="80" t="s">
        <v>250</v>
      </c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32">
        <f>CalendarioAño</f>
        <v>2025</v>
      </c>
    </row>
    <row r="98" ht="30.0" customHeight="1">
      <c r="B98" s="32"/>
      <c r="C98" s="16" t="str">
        <f>TEXT(WEEKDAY(DATE(CalendarioAño,5,1),1),"ddd")</f>
        <v>jue</v>
      </c>
      <c r="D98" s="16" t="str">
        <f>TEXT(WEEKDAY(DATE(CalendarioAño,5,2),1),"ddd")</f>
        <v>vie</v>
      </c>
      <c r="E98" s="16" t="str">
        <f>TEXT(WEEKDAY(DATE(CalendarioAño,5,3),1),"ddd")</f>
        <v>sáb</v>
      </c>
      <c r="F98" s="16" t="str">
        <f>TEXT(WEEKDAY(DATE(CalendarioAño,5,4),1),"ddd")</f>
        <v>dom</v>
      </c>
      <c r="G98" s="16" t="str">
        <f>TEXT(WEEKDAY(DATE(CalendarioAño,5,5),1),"ddd")</f>
        <v>lun</v>
      </c>
      <c r="H98" s="16" t="str">
        <f>TEXT(WEEKDAY(DATE(CalendarioAño,5,6),1),"ddd")</f>
        <v>mar</v>
      </c>
      <c r="I98" s="16" t="str">
        <f>TEXT(WEEKDAY(DATE(CalendarioAño,5,7),1),"ddd")</f>
        <v>mié</v>
      </c>
      <c r="J98" s="16" t="str">
        <f>TEXT(WEEKDAY(DATE(CalendarioAño,5,8),1),"ddd")</f>
        <v>jue</v>
      </c>
      <c r="K98" s="16" t="str">
        <f>TEXT(WEEKDAY(DATE(CalendarioAño,5,9),1),"ddd")</f>
        <v>vie</v>
      </c>
      <c r="L98" s="16" t="str">
        <f>TEXT(WEEKDAY(DATE(CalendarioAño,5,10),1),"ddd")</f>
        <v>sáb</v>
      </c>
      <c r="M98" s="16" t="str">
        <f>TEXT(WEEKDAY(DATE(CalendarioAño,5,11),1),"ddd")</f>
        <v>dom</v>
      </c>
      <c r="N98" s="16" t="str">
        <f>TEXT(WEEKDAY(DATE(CalendarioAño,5,12),1),"ddd")</f>
        <v>lun</v>
      </c>
      <c r="O98" s="16" t="str">
        <f>TEXT(WEEKDAY(DATE(CalendarioAño,5,13),1),"ddd")</f>
        <v>mar</v>
      </c>
      <c r="P98" s="16" t="str">
        <f>TEXT(WEEKDAY(DATE(CalendarioAño,5,14),1),"ddd")</f>
        <v>mié</v>
      </c>
      <c r="Q98" s="16" t="str">
        <f>TEXT(WEEKDAY(DATE(CalendarioAño,5,15),1),"ddd")</f>
        <v>jue</v>
      </c>
      <c r="R98" s="16" t="str">
        <f>TEXT(WEEKDAY(DATE(CalendarioAño,5,16),1),"ddd")</f>
        <v>vie</v>
      </c>
      <c r="S98" s="16" t="str">
        <f>TEXT(WEEKDAY(DATE(CalendarioAño,5,17),1),"ddd")</f>
        <v>sáb</v>
      </c>
      <c r="T98" s="16" t="str">
        <f>TEXT(WEEKDAY(DATE(CalendarioAño,5,18),1),"ddd")</f>
        <v>dom</v>
      </c>
      <c r="U98" s="16" t="str">
        <f>TEXT(WEEKDAY(DATE(CalendarioAño,5,19),1),"ddd")</f>
        <v>lun</v>
      </c>
      <c r="V98" s="16" t="str">
        <f>TEXT(WEEKDAY(DATE(CalendarioAño,5,20),1),"ddd")</f>
        <v>mar</v>
      </c>
      <c r="W98" s="16" t="str">
        <f>TEXT(WEEKDAY(DATE(CalendarioAño,5,21),1),"ddd")</f>
        <v>mié</v>
      </c>
      <c r="X98" s="16" t="str">
        <f>TEXT(WEEKDAY(DATE(CalendarioAño,5,22),1),"ddd")</f>
        <v>jue</v>
      </c>
      <c r="Y98" s="16" t="str">
        <f>TEXT(WEEKDAY(DATE(CalendarioAño,5,23),1),"ddd")</f>
        <v>vie</v>
      </c>
      <c r="Z98" s="16" t="str">
        <f>TEXT(WEEKDAY(DATE(CalendarioAño,5,24),1),"ddd")</f>
        <v>sáb</v>
      </c>
      <c r="AA98" s="16" t="str">
        <f>TEXT(WEEKDAY(DATE(CalendarioAño,5,25),1),"ddd")</f>
        <v>dom</v>
      </c>
      <c r="AB98" s="16" t="str">
        <f>TEXT(WEEKDAY(DATE(CalendarioAño,5,26),1),"ddd")</f>
        <v>lun</v>
      </c>
      <c r="AC98" s="16" t="str">
        <f>TEXT(WEEKDAY(DATE(CalendarioAño,5,27),1),"ddd")</f>
        <v>mar</v>
      </c>
      <c r="AD98" s="16" t="str">
        <f>TEXT(WEEKDAY(DATE(CalendarioAño,5,28),1),"ddd")</f>
        <v>mié</v>
      </c>
      <c r="AE98" s="16" t="str">
        <f>TEXT(WEEKDAY(DATE(CalendarioAño,5,29),1),"ddd")</f>
        <v>jue</v>
      </c>
      <c r="AF98" s="16" t="str">
        <f>TEXT(WEEKDAY(DATE(CalendarioAño,5,30),1),"ddd")</f>
        <v>vie</v>
      </c>
      <c r="AG98" s="16" t="str">
        <f>TEXT(WEEKDAY(DATE(CalendarioAño,5,31),1),"ddd")</f>
        <v>sáb</v>
      </c>
      <c r="AH98" s="32"/>
    </row>
    <row r="99" ht="30.0" customHeight="1">
      <c r="B99" s="33" t="s">
        <v>202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</row>
    <row r="100" ht="30.0" customHeight="1">
      <c r="B100" s="20" t="s">
        <v>215</v>
      </c>
      <c r="C100" s="21"/>
      <c r="D100" s="10" t="s">
        <v>6</v>
      </c>
      <c r="E100" s="100"/>
      <c r="F100" s="21"/>
      <c r="G100" s="21"/>
      <c r="H100" s="100"/>
      <c r="I100" s="10" t="s">
        <v>6</v>
      </c>
      <c r="J100" s="100"/>
      <c r="K100" s="10" t="s">
        <v>6</v>
      </c>
      <c r="L100" s="21"/>
      <c r="M100" s="21"/>
      <c r="N100" s="21"/>
      <c r="O100" s="21"/>
      <c r="P100" s="21"/>
      <c r="Q100" s="21"/>
      <c r="R100" s="10" t="s">
        <v>6</v>
      </c>
      <c r="S100" s="21"/>
      <c r="T100" s="21"/>
      <c r="U100" s="21"/>
      <c r="V100" s="21"/>
      <c r="W100" s="10" t="s">
        <v>6</v>
      </c>
      <c r="X100" s="21"/>
      <c r="Y100" s="21"/>
      <c r="Z100" s="10" t="s">
        <v>6</v>
      </c>
      <c r="AA100" s="21"/>
      <c r="AB100" s="21"/>
      <c r="AC100" s="21"/>
      <c r="AD100" s="83" t="s">
        <v>174</v>
      </c>
      <c r="AE100" s="21"/>
      <c r="AF100" s="10" t="s">
        <v>6</v>
      </c>
      <c r="AG100" s="21"/>
      <c r="AH100" s="25"/>
    </row>
    <row r="101" ht="30.0" customHeight="1">
      <c r="B101" s="20" t="s">
        <v>133</v>
      </c>
      <c r="C101" s="21"/>
      <c r="D101" s="10" t="s">
        <v>6</v>
      </c>
      <c r="E101" s="100"/>
      <c r="F101" s="21"/>
      <c r="G101" s="21"/>
      <c r="H101" s="100"/>
      <c r="I101" s="10" t="s">
        <v>6</v>
      </c>
      <c r="J101" s="100"/>
      <c r="K101" s="10" t="s">
        <v>6</v>
      </c>
      <c r="L101" s="21"/>
      <c r="M101" s="21"/>
      <c r="N101" s="21"/>
      <c r="O101" s="100"/>
      <c r="P101" s="21"/>
      <c r="Q101" s="100"/>
      <c r="R101" s="21"/>
      <c r="S101" s="21"/>
      <c r="T101" s="21"/>
      <c r="U101" s="21"/>
      <c r="V101" s="21"/>
      <c r="W101" s="10" t="s">
        <v>6</v>
      </c>
      <c r="X101" s="21"/>
      <c r="Y101" s="21"/>
      <c r="Z101" s="21"/>
      <c r="AA101" s="21"/>
      <c r="AB101" s="21"/>
      <c r="AC101" s="21"/>
      <c r="AD101" s="21"/>
      <c r="AE101" s="21"/>
      <c r="AF101" s="10" t="s">
        <v>6</v>
      </c>
      <c r="AG101" s="21"/>
      <c r="AH101" s="25"/>
    </row>
    <row r="102" ht="30.0" customHeight="1">
      <c r="B102" s="20" t="s">
        <v>179</v>
      </c>
      <c r="C102" s="21"/>
      <c r="D102" s="10" t="s">
        <v>6</v>
      </c>
      <c r="E102" s="10" t="s">
        <v>6</v>
      </c>
      <c r="F102" s="100"/>
      <c r="G102" s="10" t="s">
        <v>6</v>
      </c>
      <c r="H102" s="21"/>
      <c r="I102" s="21"/>
      <c r="J102" s="100"/>
      <c r="K102" s="21"/>
      <c r="L102" s="21"/>
      <c r="M102" s="21"/>
      <c r="N102" s="10" t="s">
        <v>6</v>
      </c>
      <c r="O102" s="21"/>
      <c r="P102" s="21"/>
      <c r="Q102" s="21"/>
      <c r="R102" s="100"/>
      <c r="S102" s="10" t="s">
        <v>6</v>
      </c>
      <c r="T102" s="100"/>
      <c r="U102" s="10" t="s">
        <v>6</v>
      </c>
      <c r="V102" s="21"/>
      <c r="W102" s="100"/>
      <c r="X102" s="21"/>
      <c r="Y102" s="21"/>
      <c r="Z102" s="10" t="s">
        <v>6</v>
      </c>
      <c r="AA102" s="100"/>
      <c r="AB102" s="10" t="s">
        <v>6</v>
      </c>
      <c r="AC102" s="21"/>
      <c r="AD102" s="100"/>
      <c r="AE102" s="21"/>
      <c r="AF102" s="21"/>
      <c r="AG102" s="21"/>
      <c r="AH102" s="25"/>
    </row>
    <row r="103" ht="30.0" customHeight="1">
      <c r="B103" s="20" t="s">
        <v>80</v>
      </c>
      <c r="C103" s="21"/>
      <c r="D103" s="21"/>
      <c r="E103" s="21"/>
      <c r="F103" s="100"/>
      <c r="G103" s="21"/>
      <c r="H103" s="10" t="s">
        <v>6</v>
      </c>
      <c r="I103" s="100"/>
      <c r="J103" s="100"/>
      <c r="K103" s="21"/>
      <c r="L103" s="21"/>
      <c r="M103" s="21"/>
      <c r="N103" s="21"/>
      <c r="O103" s="21"/>
      <c r="P103" s="21"/>
      <c r="Q103" s="10" t="s">
        <v>6</v>
      </c>
      <c r="R103" s="10" t="s">
        <v>6</v>
      </c>
      <c r="S103" s="10" t="s">
        <v>6</v>
      </c>
      <c r="T103" s="21"/>
      <c r="U103" s="10" t="s">
        <v>6</v>
      </c>
      <c r="V103" s="21"/>
      <c r="W103" s="21"/>
      <c r="X103" s="10" t="s">
        <v>6</v>
      </c>
      <c r="Y103" s="21"/>
      <c r="Z103" s="10" t="s">
        <v>6</v>
      </c>
      <c r="AA103" s="21"/>
      <c r="AB103" s="21"/>
      <c r="AC103" s="10" t="s">
        <v>6</v>
      </c>
      <c r="AD103" s="10" t="s">
        <v>6</v>
      </c>
      <c r="AE103" s="10" t="s">
        <v>6</v>
      </c>
      <c r="AF103" s="21"/>
      <c r="AG103" s="21"/>
      <c r="AH103" s="36">
        <v>10.0</v>
      </c>
    </row>
    <row r="104" ht="30.0" customHeight="1">
      <c r="B104" s="20" t="s">
        <v>126</v>
      </c>
      <c r="C104" s="21"/>
      <c r="D104" s="21"/>
      <c r="E104" s="21"/>
      <c r="F104" s="100"/>
      <c r="G104" s="21"/>
      <c r="H104" s="10" t="s">
        <v>6</v>
      </c>
      <c r="I104" s="21"/>
      <c r="J104" s="10" t="s">
        <v>6</v>
      </c>
      <c r="K104" s="21"/>
      <c r="L104" s="21"/>
      <c r="M104" s="100"/>
      <c r="N104" s="10" t="s">
        <v>6</v>
      </c>
      <c r="O104" s="21"/>
      <c r="P104" s="21"/>
      <c r="Q104" s="21"/>
      <c r="R104" s="21"/>
      <c r="S104" s="21"/>
      <c r="T104" s="21"/>
      <c r="U104" s="21"/>
      <c r="V104" s="100"/>
      <c r="W104" s="21"/>
      <c r="X104" s="21"/>
      <c r="Y104" s="100"/>
      <c r="Z104" s="21"/>
      <c r="AA104" s="100"/>
      <c r="AB104" s="21"/>
      <c r="AC104" s="21"/>
      <c r="AD104" s="21"/>
      <c r="AE104" s="21"/>
      <c r="AF104" s="21"/>
      <c r="AG104" s="21"/>
      <c r="AH104" s="25"/>
    </row>
    <row r="105" ht="30.0" customHeight="1">
      <c r="B105" s="20" t="s">
        <v>231</v>
      </c>
      <c r="C105" s="21"/>
      <c r="D105" s="21"/>
      <c r="E105" s="21"/>
      <c r="F105" s="100"/>
      <c r="G105" s="21"/>
      <c r="H105" s="10" t="s">
        <v>6</v>
      </c>
      <c r="I105" s="21"/>
      <c r="J105" s="10" t="s">
        <v>6</v>
      </c>
      <c r="K105" s="21"/>
      <c r="L105" s="21"/>
      <c r="M105" s="100"/>
      <c r="N105" s="21"/>
      <c r="O105" s="10" t="s">
        <v>6</v>
      </c>
      <c r="P105" s="21"/>
      <c r="Q105" s="10" t="s">
        <v>6</v>
      </c>
      <c r="R105" s="21"/>
      <c r="S105" s="21"/>
      <c r="T105" s="100"/>
      <c r="U105" s="21"/>
      <c r="V105" s="10" t="s">
        <v>6</v>
      </c>
      <c r="W105" s="21"/>
      <c r="X105" s="10" t="s">
        <v>6</v>
      </c>
      <c r="Y105" s="21"/>
      <c r="Z105" s="21"/>
      <c r="AA105" s="100"/>
      <c r="AB105" s="21"/>
      <c r="AC105" s="10" t="s">
        <v>6</v>
      </c>
      <c r="AD105" s="21"/>
      <c r="AE105" s="10" t="s">
        <v>6</v>
      </c>
      <c r="AF105" s="21"/>
      <c r="AG105" s="21"/>
      <c r="AH105" s="25"/>
    </row>
    <row r="106" ht="30.0" customHeight="1">
      <c r="B106" s="20" t="s">
        <v>214</v>
      </c>
      <c r="C106" s="21"/>
      <c r="D106" s="21"/>
      <c r="E106" s="21"/>
      <c r="F106" s="100"/>
      <c r="G106" s="21"/>
      <c r="H106" s="10" t="s">
        <v>6</v>
      </c>
      <c r="I106" s="21"/>
      <c r="J106" s="21"/>
      <c r="K106" s="21"/>
      <c r="L106" s="21"/>
      <c r="M106" s="100"/>
      <c r="N106" s="21"/>
      <c r="O106" s="10" t="s">
        <v>6</v>
      </c>
      <c r="P106" s="21"/>
      <c r="Q106" s="10" t="s">
        <v>6</v>
      </c>
      <c r="R106" s="21"/>
      <c r="S106" s="21"/>
      <c r="T106" s="21"/>
      <c r="U106" s="21"/>
      <c r="V106" s="10" t="s">
        <v>6</v>
      </c>
      <c r="W106" s="21"/>
      <c r="X106" s="10" t="s">
        <v>6</v>
      </c>
      <c r="Y106" s="21"/>
      <c r="Z106" s="21"/>
      <c r="AA106" s="21"/>
      <c r="AB106" s="21"/>
      <c r="AC106" s="10" t="s">
        <v>6</v>
      </c>
      <c r="AD106" s="21"/>
      <c r="AE106" s="10" t="s">
        <v>6</v>
      </c>
      <c r="AF106" s="21"/>
      <c r="AG106" s="21"/>
      <c r="AH106" s="25"/>
    </row>
    <row r="107" ht="30.0" customHeight="1">
      <c r="B107" s="20" t="s">
        <v>178</v>
      </c>
      <c r="C107" s="21"/>
      <c r="D107" s="21"/>
      <c r="E107" s="21"/>
      <c r="F107" s="21"/>
      <c r="G107" s="21"/>
      <c r="H107" s="21"/>
      <c r="I107" s="10" t="s">
        <v>6</v>
      </c>
      <c r="J107" s="21"/>
      <c r="K107" s="21"/>
      <c r="L107" s="21"/>
      <c r="M107" s="21"/>
      <c r="N107" s="21"/>
      <c r="O107" s="21"/>
      <c r="P107" s="21"/>
      <c r="Q107" s="21"/>
      <c r="R107" s="10" t="s">
        <v>6</v>
      </c>
      <c r="S107" s="21"/>
      <c r="T107" s="21"/>
      <c r="U107" s="21"/>
      <c r="V107" s="21"/>
      <c r="W107" s="10" t="s">
        <v>6</v>
      </c>
      <c r="X107" s="21"/>
      <c r="Y107" s="10" t="s">
        <v>6</v>
      </c>
      <c r="Z107" s="21"/>
      <c r="AA107" s="100"/>
      <c r="AB107" s="21"/>
      <c r="AC107" s="21"/>
      <c r="AD107" s="21"/>
      <c r="AE107" s="21"/>
      <c r="AF107" s="21"/>
      <c r="AG107" s="21"/>
      <c r="AH107" s="25"/>
    </row>
    <row r="108" ht="30.0" customHeight="1">
      <c r="B108" s="20" t="s">
        <v>184</v>
      </c>
      <c r="C108" s="21"/>
      <c r="D108" s="21"/>
      <c r="E108" s="21"/>
      <c r="F108" s="21"/>
      <c r="G108" s="21"/>
      <c r="H108" s="21"/>
      <c r="I108" s="10" t="s">
        <v>6</v>
      </c>
      <c r="J108" s="21"/>
      <c r="K108" s="21"/>
      <c r="L108" s="21"/>
      <c r="M108" s="21"/>
      <c r="N108" s="21"/>
      <c r="O108" s="21"/>
      <c r="P108" s="21"/>
      <c r="Q108" s="10" t="s">
        <v>6</v>
      </c>
      <c r="R108" s="21"/>
      <c r="S108" s="21"/>
      <c r="T108" s="21"/>
      <c r="U108" s="21"/>
      <c r="V108" s="10" t="s">
        <v>6</v>
      </c>
      <c r="W108" s="21"/>
      <c r="X108" s="10" t="s">
        <v>6</v>
      </c>
      <c r="Y108" s="21"/>
      <c r="Z108" s="21"/>
      <c r="AA108" s="21"/>
      <c r="AB108" s="10" t="s">
        <v>6</v>
      </c>
      <c r="AC108" s="21"/>
      <c r="AD108" s="21"/>
      <c r="AE108" s="21"/>
      <c r="AF108" s="21"/>
      <c r="AG108" s="21"/>
      <c r="AH108" s="25"/>
    </row>
    <row r="109" ht="30.0" customHeight="1">
      <c r="B109" s="20" t="s">
        <v>232</v>
      </c>
      <c r="C109" s="21"/>
      <c r="D109" s="21"/>
      <c r="E109" s="21"/>
      <c r="F109" s="21"/>
      <c r="G109" s="21"/>
      <c r="H109" s="21"/>
      <c r="I109" s="21"/>
      <c r="J109" s="10" t="s">
        <v>6</v>
      </c>
      <c r="K109" s="21"/>
      <c r="L109" s="21"/>
      <c r="M109" s="21"/>
      <c r="N109" s="21"/>
      <c r="O109" s="10" t="s">
        <v>6</v>
      </c>
      <c r="P109" s="21"/>
      <c r="Q109" s="10" t="s">
        <v>6</v>
      </c>
      <c r="R109" s="10" t="s">
        <v>6</v>
      </c>
      <c r="S109" s="21"/>
      <c r="T109" s="21"/>
      <c r="U109" s="21"/>
      <c r="V109" s="10" t="s">
        <v>6</v>
      </c>
      <c r="W109" s="10" t="s">
        <v>6</v>
      </c>
      <c r="X109" s="109"/>
      <c r="Y109" s="10" t="s">
        <v>6</v>
      </c>
      <c r="Z109" s="21"/>
      <c r="AA109" s="21"/>
      <c r="AB109" s="21"/>
      <c r="AC109" s="10" t="s">
        <v>6</v>
      </c>
      <c r="AD109" s="21"/>
      <c r="AE109" s="10" t="s">
        <v>6</v>
      </c>
      <c r="AF109" s="21"/>
      <c r="AG109" s="21"/>
      <c r="AH109" s="25"/>
    </row>
    <row r="110" ht="30.0" customHeight="1">
      <c r="B110" s="20" t="s">
        <v>111</v>
      </c>
      <c r="C110" s="21"/>
      <c r="D110" s="21"/>
      <c r="E110" s="21"/>
      <c r="F110" s="21"/>
      <c r="G110" s="21"/>
      <c r="H110" s="21"/>
      <c r="I110" s="21"/>
      <c r="J110" s="10" t="s">
        <v>6</v>
      </c>
      <c r="K110" s="21"/>
      <c r="L110" s="83" t="s">
        <v>174</v>
      </c>
      <c r="M110" s="21"/>
      <c r="N110" s="21"/>
      <c r="O110" s="21"/>
      <c r="P110" s="21"/>
      <c r="Q110" s="10" t="s">
        <v>6</v>
      </c>
      <c r="R110" s="21"/>
      <c r="S110" s="10" t="s">
        <v>6</v>
      </c>
      <c r="T110" s="21"/>
      <c r="U110" s="21"/>
      <c r="V110" s="21"/>
      <c r="W110" s="21"/>
      <c r="X110" s="109"/>
      <c r="Y110" s="21"/>
      <c r="Z110" s="21"/>
      <c r="AA110" s="21"/>
      <c r="AB110" s="21"/>
      <c r="AC110" s="21"/>
      <c r="AD110" s="21"/>
      <c r="AE110" s="21"/>
      <c r="AF110" s="10" t="s">
        <v>6</v>
      </c>
      <c r="AG110" s="21"/>
      <c r="AH110" s="25"/>
    </row>
    <row r="111" ht="30.0" customHeight="1">
      <c r="B111" s="20" t="s">
        <v>251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10" t="s">
        <v>6</v>
      </c>
      <c r="V111" s="21"/>
      <c r="W111" s="10" t="s">
        <v>6</v>
      </c>
      <c r="X111" s="109"/>
      <c r="Y111" s="21"/>
      <c r="Z111" s="21"/>
      <c r="AA111" s="21"/>
      <c r="AB111" s="10" t="s">
        <v>6</v>
      </c>
      <c r="AC111" s="21"/>
      <c r="AD111" s="10" t="s">
        <v>6</v>
      </c>
      <c r="AE111" s="21"/>
      <c r="AF111" s="21"/>
      <c r="AG111" s="21"/>
      <c r="AH111" s="25"/>
    </row>
    <row r="112" ht="30.0" customHeight="1">
      <c r="B112" s="86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109"/>
      <c r="Y112" s="21"/>
      <c r="Z112" s="21"/>
      <c r="AA112" s="21"/>
      <c r="AB112" s="21"/>
      <c r="AC112" s="21"/>
      <c r="AD112" s="21"/>
      <c r="AE112" s="21"/>
      <c r="AF112" s="21"/>
      <c r="AG112" s="21"/>
      <c r="AH112" s="25"/>
    </row>
    <row r="113" ht="30.0" customHeight="1">
      <c r="B113" s="86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100"/>
      <c r="Y113" s="21"/>
      <c r="Z113" s="21"/>
      <c r="AA113" s="21"/>
      <c r="AB113" s="21"/>
      <c r="AC113" s="21"/>
      <c r="AD113" s="21"/>
      <c r="AE113" s="21"/>
      <c r="AF113" s="21"/>
      <c r="AG113" s="21"/>
      <c r="AH113" s="25"/>
    </row>
    <row r="114" ht="30.0" customHeight="1">
      <c r="B114" s="26" t="str">
        <f>Mayo!MonthName&amp;" Total"</f>
        <v>Mayo Total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>
        <f>SUM(C114:AG114)</f>
        <v>0</v>
      </c>
    </row>
    <row r="115" ht="30.0" customHeight="1"/>
    <row r="116" ht="30.0" customHeight="1">
      <c r="B116" s="32" t="s">
        <v>236</v>
      </c>
      <c r="C116" s="80" t="s">
        <v>186</v>
      </c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32">
        <f>CalendarioAño</f>
        <v>2025</v>
      </c>
    </row>
    <row r="117" ht="30.0" customHeight="1">
      <c r="B117" s="32"/>
      <c r="C117" s="16" t="str">
        <f>TEXT(WEEKDAY(DATE(CalendarioAño,5,1),1),"ddd")</f>
        <v>jue</v>
      </c>
      <c r="D117" s="16" t="str">
        <f>TEXT(WEEKDAY(DATE(CalendarioAño,5,2),1),"ddd")</f>
        <v>vie</v>
      </c>
      <c r="E117" s="16" t="str">
        <f>TEXT(WEEKDAY(DATE(CalendarioAño,5,3),1),"ddd")</f>
        <v>sáb</v>
      </c>
      <c r="F117" s="16" t="str">
        <f>TEXT(WEEKDAY(DATE(CalendarioAño,5,4),1),"ddd")</f>
        <v>dom</v>
      </c>
      <c r="G117" s="16" t="str">
        <f>TEXT(WEEKDAY(DATE(CalendarioAño,5,5),1),"ddd")</f>
        <v>lun</v>
      </c>
      <c r="H117" s="16" t="str">
        <f>TEXT(WEEKDAY(DATE(CalendarioAño,5,6),1),"ddd")</f>
        <v>mar</v>
      </c>
      <c r="I117" s="16" t="str">
        <f>TEXT(WEEKDAY(DATE(CalendarioAño,5,7),1),"ddd")</f>
        <v>mié</v>
      </c>
      <c r="J117" s="16" t="str">
        <f>TEXT(WEEKDAY(DATE(CalendarioAño,5,8),1),"ddd")</f>
        <v>jue</v>
      </c>
      <c r="K117" s="16" t="str">
        <f>TEXT(WEEKDAY(DATE(CalendarioAño,5,9),1),"ddd")</f>
        <v>vie</v>
      </c>
      <c r="L117" s="16" t="str">
        <f>TEXT(WEEKDAY(DATE(CalendarioAño,5,10),1),"ddd")</f>
        <v>sáb</v>
      </c>
      <c r="M117" s="16" t="str">
        <f>TEXT(WEEKDAY(DATE(CalendarioAño,5,11),1),"ddd")</f>
        <v>dom</v>
      </c>
      <c r="N117" s="16" t="str">
        <f>TEXT(WEEKDAY(DATE(CalendarioAño,5,12),1),"ddd")</f>
        <v>lun</v>
      </c>
      <c r="O117" s="16" t="str">
        <f>TEXT(WEEKDAY(DATE(CalendarioAño,5,13),1),"ddd")</f>
        <v>mar</v>
      </c>
      <c r="P117" s="16" t="str">
        <f>TEXT(WEEKDAY(DATE(CalendarioAño,5,14),1),"ddd")</f>
        <v>mié</v>
      </c>
      <c r="Q117" s="16" t="str">
        <f>TEXT(WEEKDAY(DATE(CalendarioAño,5,15),1),"ddd")</f>
        <v>jue</v>
      </c>
      <c r="R117" s="16" t="str">
        <f>TEXT(WEEKDAY(DATE(CalendarioAño,5,16),1),"ddd")</f>
        <v>vie</v>
      </c>
      <c r="S117" s="16" t="str">
        <f>TEXT(WEEKDAY(DATE(CalendarioAño,5,17),1),"ddd")</f>
        <v>sáb</v>
      </c>
      <c r="T117" s="16" t="str">
        <f>TEXT(WEEKDAY(DATE(CalendarioAño,5,18),1),"ddd")</f>
        <v>dom</v>
      </c>
      <c r="U117" s="16" t="str">
        <f>TEXT(WEEKDAY(DATE(CalendarioAño,5,19),1),"ddd")</f>
        <v>lun</v>
      </c>
      <c r="V117" s="16" t="str">
        <f>TEXT(WEEKDAY(DATE(CalendarioAño,5,20),1),"ddd")</f>
        <v>mar</v>
      </c>
      <c r="W117" s="16" t="str">
        <f>TEXT(WEEKDAY(DATE(CalendarioAño,5,21),1),"ddd")</f>
        <v>mié</v>
      </c>
      <c r="X117" s="16" t="str">
        <f>TEXT(WEEKDAY(DATE(CalendarioAño,5,22),1),"ddd")</f>
        <v>jue</v>
      </c>
      <c r="Y117" s="16" t="str">
        <f>TEXT(WEEKDAY(DATE(CalendarioAño,5,23),1),"ddd")</f>
        <v>vie</v>
      </c>
      <c r="Z117" s="16" t="str">
        <f>TEXT(WEEKDAY(DATE(CalendarioAño,5,24),1),"ddd")</f>
        <v>sáb</v>
      </c>
      <c r="AA117" s="16" t="str">
        <f>TEXT(WEEKDAY(DATE(CalendarioAño,5,25),1),"ddd")</f>
        <v>dom</v>
      </c>
      <c r="AB117" s="16" t="str">
        <f>TEXT(WEEKDAY(DATE(CalendarioAño,5,26),1),"ddd")</f>
        <v>lun</v>
      </c>
      <c r="AC117" s="16" t="str">
        <f>TEXT(WEEKDAY(DATE(CalendarioAño,5,27),1),"ddd")</f>
        <v>mar</v>
      </c>
      <c r="AD117" s="16" t="str">
        <f>TEXT(WEEKDAY(DATE(CalendarioAño,5,28),1),"ddd")</f>
        <v>mié</v>
      </c>
      <c r="AE117" s="16" t="str">
        <f>TEXT(WEEKDAY(DATE(CalendarioAño,5,29),1),"ddd")</f>
        <v>jue</v>
      </c>
      <c r="AF117" s="16" t="str">
        <f>TEXT(WEEKDAY(DATE(CalendarioAño,5,30),1),"ddd")</f>
        <v>vie</v>
      </c>
      <c r="AG117" s="16" t="str">
        <f>TEXT(WEEKDAY(DATE(CalendarioAño,5,31),1),"ddd")</f>
        <v>sáb</v>
      </c>
      <c r="AH117" s="32"/>
    </row>
    <row r="118" ht="30.0" customHeight="1">
      <c r="B118" s="33" t="s">
        <v>202</v>
      </c>
      <c r="C118" s="19" t="s">
        <v>15</v>
      </c>
      <c r="D118" s="19" t="s">
        <v>16</v>
      </c>
      <c r="E118" s="19" t="s">
        <v>17</v>
      </c>
      <c r="F118" s="19" t="s">
        <v>18</v>
      </c>
      <c r="G118" s="19" t="s">
        <v>19</v>
      </c>
      <c r="H118" s="19" t="s">
        <v>20</v>
      </c>
      <c r="I118" s="19" t="s">
        <v>21</v>
      </c>
      <c r="J118" s="19" t="s">
        <v>22</v>
      </c>
      <c r="K118" s="19" t="s">
        <v>23</v>
      </c>
      <c r="L118" s="19" t="s">
        <v>24</v>
      </c>
      <c r="M118" s="19" t="s">
        <v>25</v>
      </c>
      <c r="N118" s="19" t="s">
        <v>26</v>
      </c>
      <c r="O118" s="19" t="s">
        <v>27</v>
      </c>
      <c r="P118" s="19" t="s">
        <v>28</v>
      </c>
      <c r="Q118" s="19" t="s">
        <v>29</v>
      </c>
      <c r="R118" s="19" t="s">
        <v>30</v>
      </c>
      <c r="S118" s="19" t="s">
        <v>31</v>
      </c>
      <c r="T118" s="19" t="s">
        <v>32</v>
      </c>
      <c r="U118" s="19" t="s">
        <v>33</v>
      </c>
      <c r="V118" s="19" t="s">
        <v>34</v>
      </c>
      <c r="W118" s="19" t="s">
        <v>35</v>
      </c>
      <c r="X118" s="19" t="s">
        <v>36</v>
      </c>
      <c r="Y118" s="19" t="s">
        <v>37</v>
      </c>
      <c r="Z118" s="19" t="s">
        <v>38</v>
      </c>
      <c r="AA118" s="19" t="s">
        <v>39</v>
      </c>
      <c r="AB118" s="19" t="s">
        <v>40</v>
      </c>
      <c r="AC118" s="19" t="s">
        <v>41</v>
      </c>
      <c r="AD118" s="19" t="s">
        <v>42</v>
      </c>
      <c r="AE118" s="19" t="s">
        <v>43</v>
      </c>
      <c r="AF118" s="19" t="s">
        <v>44</v>
      </c>
      <c r="AG118" s="19" t="s">
        <v>45</v>
      </c>
      <c r="AH118" s="19" t="s">
        <v>46</v>
      </c>
    </row>
    <row r="119" ht="30.0" customHeight="1">
      <c r="B119" s="20" t="s">
        <v>187</v>
      </c>
      <c r="C119" s="21"/>
      <c r="D119" s="21"/>
      <c r="E119" s="10" t="s">
        <v>6</v>
      </c>
      <c r="F119" s="21"/>
      <c r="G119" s="21"/>
      <c r="H119" s="100"/>
      <c r="I119" s="21"/>
      <c r="J119" s="100"/>
      <c r="K119" s="21"/>
      <c r="L119" s="10" t="s">
        <v>6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5"/>
    </row>
    <row r="120" ht="30.0" customHeight="1">
      <c r="B120" s="20" t="s">
        <v>252</v>
      </c>
      <c r="C120" s="100"/>
      <c r="D120" s="21"/>
      <c r="E120" s="10" t="s">
        <v>6</v>
      </c>
      <c r="F120" s="21"/>
      <c r="G120" s="21"/>
      <c r="H120" s="100"/>
      <c r="I120" s="21"/>
      <c r="J120" s="100"/>
      <c r="K120" s="21"/>
      <c r="L120" s="21"/>
      <c r="M120" s="21"/>
      <c r="N120" s="21"/>
      <c r="O120" s="10" t="s">
        <v>6</v>
      </c>
      <c r="P120" s="21"/>
      <c r="Q120" s="100"/>
      <c r="R120" s="21"/>
      <c r="S120" s="21"/>
      <c r="T120" s="21"/>
      <c r="U120" s="21"/>
      <c r="V120" s="10" t="s">
        <v>6</v>
      </c>
      <c r="W120" s="21"/>
      <c r="X120" s="21"/>
      <c r="Y120" s="21"/>
      <c r="Z120" s="21"/>
      <c r="AA120" s="21"/>
      <c r="AB120" s="21"/>
      <c r="AC120" s="10" t="s">
        <v>6</v>
      </c>
      <c r="AD120" s="21"/>
      <c r="AE120" s="21"/>
      <c r="AF120" s="21"/>
      <c r="AG120" s="21"/>
      <c r="AH120" s="25"/>
    </row>
    <row r="121" ht="30.0" customHeight="1">
      <c r="B121" s="20" t="s">
        <v>130</v>
      </c>
      <c r="C121" s="100"/>
      <c r="D121" s="21"/>
      <c r="E121" s="21"/>
      <c r="F121" s="100"/>
      <c r="G121" s="21"/>
      <c r="H121" s="10" t="s">
        <v>6</v>
      </c>
      <c r="I121" s="21"/>
      <c r="J121" s="10" t="s">
        <v>6</v>
      </c>
      <c r="K121" s="21"/>
      <c r="L121" s="21"/>
      <c r="M121" s="21"/>
      <c r="N121" s="21"/>
      <c r="O121" s="21"/>
      <c r="P121" s="21"/>
      <c r="Q121" s="83" t="s">
        <v>174</v>
      </c>
      <c r="R121" s="100"/>
      <c r="S121" s="21"/>
      <c r="T121" s="100"/>
      <c r="U121" s="21"/>
      <c r="V121" s="10" t="s">
        <v>6</v>
      </c>
      <c r="W121" s="100"/>
      <c r="X121" s="21"/>
      <c r="Y121" s="21"/>
      <c r="Z121" s="21"/>
      <c r="AA121" s="100"/>
      <c r="AB121" s="21"/>
      <c r="AC121" s="83" t="s">
        <v>174</v>
      </c>
      <c r="AD121" s="100"/>
      <c r="AE121" s="21"/>
      <c r="AF121" s="10" t="s">
        <v>6</v>
      </c>
      <c r="AG121" s="21"/>
      <c r="AH121" s="36">
        <v>8.0</v>
      </c>
    </row>
    <row r="122" ht="30.0" customHeight="1">
      <c r="B122" s="20" t="s">
        <v>75</v>
      </c>
      <c r="C122" s="21"/>
      <c r="D122" s="21"/>
      <c r="E122" s="21"/>
      <c r="F122" s="100"/>
      <c r="G122" s="10" t="s">
        <v>6</v>
      </c>
      <c r="H122" s="21"/>
      <c r="I122" s="100"/>
      <c r="J122" s="100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10" t="s">
        <v>6</v>
      </c>
      <c r="V122" s="21"/>
      <c r="W122" s="21"/>
      <c r="X122" s="21"/>
      <c r="Y122" s="21"/>
      <c r="Z122" s="21"/>
      <c r="AA122" s="21"/>
      <c r="AB122" s="21"/>
      <c r="AC122" s="21"/>
      <c r="AD122" s="10" t="s">
        <v>6</v>
      </c>
      <c r="AE122" s="21"/>
      <c r="AF122" s="21"/>
      <c r="AG122" s="21"/>
      <c r="AH122" s="36">
        <v>3.0</v>
      </c>
    </row>
    <row r="123" ht="30.0" customHeight="1">
      <c r="B123" s="20" t="s">
        <v>253</v>
      </c>
      <c r="C123" s="21"/>
      <c r="D123" s="21"/>
      <c r="E123" s="21"/>
      <c r="F123" s="100"/>
      <c r="G123" s="21"/>
      <c r="H123" s="21"/>
      <c r="I123" s="21"/>
      <c r="J123" s="21"/>
      <c r="K123" s="21"/>
      <c r="L123" s="21"/>
      <c r="M123" s="100"/>
      <c r="N123" s="21"/>
      <c r="O123" s="21"/>
      <c r="P123" s="21"/>
      <c r="Q123" s="21"/>
      <c r="R123" s="10" t="s">
        <v>6</v>
      </c>
      <c r="S123" s="10" t="s">
        <v>6</v>
      </c>
      <c r="T123" s="21"/>
      <c r="U123" s="21"/>
      <c r="V123" s="100"/>
      <c r="W123" s="21"/>
      <c r="X123" s="21"/>
      <c r="Y123" s="10" t="s">
        <v>6</v>
      </c>
      <c r="Z123" s="21"/>
      <c r="AA123" s="100"/>
      <c r="AB123" s="21"/>
      <c r="AC123" s="21"/>
      <c r="AD123" s="21"/>
      <c r="AE123" s="21"/>
      <c r="AF123" s="10" t="s">
        <v>6</v>
      </c>
      <c r="AG123" s="21"/>
      <c r="AH123" s="25"/>
    </row>
    <row r="124" ht="30.0" customHeight="1">
      <c r="B124" s="86"/>
      <c r="C124" s="21"/>
      <c r="D124" s="21"/>
      <c r="E124" s="21"/>
      <c r="F124" s="100"/>
      <c r="G124" s="21"/>
      <c r="H124" s="21"/>
      <c r="I124" s="21"/>
      <c r="J124" s="21"/>
      <c r="K124" s="21"/>
      <c r="L124" s="21"/>
      <c r="M124" s="100"/>
      <c r="N124" s="21"/>
      <c r="O124" s="21"/>
      <c r="P124" s="21"/>
      <c r="Q124" s="21"/>
      <c r="R124" s="21"/>
      <c r="S124" s="21"/>
      <c r="T124" s="100"/>
      <c r="U124" s="21"/>
      <c r="V124" s="21"/>
      <c r="W124" s="21"/>
      <c r="X124" s="21"/>
      <c r="Y124" s="21"/>
      <c r="Z124" s="21"/>
      <c r="AA124" s="100"/>
      <c r="AB124" s="21"/>
      <c r="AC124" s="21"/>
      <c r="AD124" s="21"/>
      <c r="AE124" s="21"/>
      <c r="AF124" s="21"/>
      <c r="AG124" s="21"/>
      <c r="AH124" s="25"/>
    </row>
    <row r="125" ht="30.0" customHeight="1">
      <c r="B125" s="86"/>
      <c r="C125" s="21"/>
      <c r="D125" s="21"/>
      <c r="E125" s="21"/>
      <c r="F125" s="100"/>
      <c r="G125" s="21"/>
      <c r="H125" s="21"/>
      <c r="I125" s="21"/>
      <c r="J125" s="21"/>
      <c r="K125" s="21"/>
      <c r="L125" s="21"/>
      <c r="M125" s="10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5"/>
    </row>
    <row r="126" ht="30.0" customHeight="1">
      <c r="B126" s="86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100"/>
      <c r="AB126" s="21"/>
      <c r="AC126" s="21"/>
      <c r="AD126" s="21"/>
      <c r="AE126" s="21"/>
      <c r="AF126" s="21"/>
      <c r="AG126" s="21"/>
      <c r="AH126" s="25"/>
    </row>
    <row r="127" ht="30.0" customHeight="1">
      <c r="B127" s="86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100"/>
      <c r="Y127" s="21"/>
      <c r="Z127" s="21"/>
      <c r="AA127" s="21"/>
      <c r="AB127" s="21"/>
      <c r="AC127" s="21"/>
      <c r="AD127" s="21"/>
      <c r="AE127" s="21"/>
      <c r="AF127" s="21"/>
      <c r="AG127" s="21"/>
      <c r="AH127" s="25"/>
    </row>
    <row r="128" ht="30.0" customHeight="1">
      <c r="B128" s="26" t="str">
        <f>Mayo!MonthName&amp;" Total"</f>
        <v>Mayo Total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>
        <f>SUM(C128:AG128)</f>
        <v>0</v>
      </c>
    </row>
    <row r="129" ht="30.0" customHeight="1">
      <c r="B129" s="110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23" t="s">
        <v>89</v>
      </c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</row>
    <row r="130" ht="30.0" customHeight="1">
      <c r="B130" s="32" t="s">
        <v>236</v>
      </c>
      <c r="C130" s="80" t="s">
        <v>188</v>
      </c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32">
        <f>CalendarioAño</f>
        <v>2025</v>
      </c>
    </row>
    <row r="131" ht="30.0" customHeight="1">
      <c r="B131" s="32"/>
      <c r="C131" s="16"/>
      <c r="D131" s="16" t="str">
        <f>TEXT(WEEKDAY(DATE(CalendarioAño,5,2),1),"ddd")</f>
        <v>vie</v>
      </c>
      <c r="E131" s="16" t="str">
        <f>TEXT(WEEKDAY(DATE(CalendarioAño,5,3),1),"ddd")</f>
        <v>sáb</v>
      </c>
      <c r="F131" s="16" t="str">
        <f>TEXT(WEEKDAY(DATE(CalendarioAño,5,4),1),"ddd")</f>
        <v>dom</v>
      </c>
      <c r="G131" s="16" t="str">
        <f>TEXT(WEEKDAY(DATE(CalendarioAño,5,5),1),"ddd")</f>
        <v>lun</v>
      </c>
      <c r="H131" s="16" t="str">
        <f>TEXT(WEEKDAY(DATE(CalendarioAño,5,6),1),"ddd")</f>
        <v>mar</v>
      </c>
      <c r="I131" s="16" t="str">
        <f>TEXT(WEEKDAY(DATE(CalendarioAño,5,7),1),"ddd")</f>
        <v>mié</v>
      </c>
      <c r="J131" s="16" t="str">
        <f>TEXT(WEEKDAY(DATE(CalendarioAño,5,8),1),"ddd")</f>
        <v>jue</v>
      </c>
      <c r="K131" s="16" t="str">
        <f>TEXT(WEEKDAY(DATE(CalendarioAño,5,9),1),"ddd")</f>
        <v>vie</v>
      </c>
      <c r="L131" s="16" t="str">
        <f>TEXT(WEEKDAY(DATE(CalendarioAño,5,10),1),"ddd")</f>
        <v>sáb</v>
      </c>
      <c r="M131" s="16" t="str">
        <f>TEXT(WEEKDAY(DATE(CalendarioAño,5,11),1),"ddd")</f>
        <v>dom</v>
      </c>
      <c r="N131" s="16" t="str">
        <f>TEXT(WEEKDAY(DATE(CalendarioAño,5,12),1),"ddd")</f>
        <v>lun</v>
      </c>
      <c r="O131" s="16" t="str">
        <f>TEXT(WEEKDAY(DATE(CalendarioAño,5,13),1),"ddd")</f>
        <v>mar</v>
      </c>
      <c r="P131" s="16" t="str">
        <f>TEXT(WEEKDAY(DATE(CalendarioAño,5,14),1),"ddd")</f>
        <v>mié</v>
      </c>
      <c r="Q131" s="16" t="str">
        <f>TEXT(WEEKDAY(DATE(CalendarioAño,5,15),1),"ddd")</f>
        <v>jue</v>
      </c>
      <c r="R131" s="16" t="str">
        <f>TEXT(WEEKDAY(DATE(CalendarioAño,5,16),1),"ddd")</f>
        <v>vie</v>
      </c>
      <c r="S131" s="16" t="str">
        <f>TEXT(WEEKDAY(DATE(CalendarioAño,5,17),1),"ddd")</f>
        <v>sáb</v>
      </c>
      <c r="T131" s="16" t="str">
        <f>TEXT(WEEKDAY(DATE(CalendarioAño,5,18),1),"ddd")</f>
        <v>dom</v>
      </c>
      <c r="U131" s="16" t="str">
        <f>TEXT(WEEKDAY(DATE(CalendarioAño,5,19),1),"ddd")</f>
        <v>lun</v>
      </c>
      <c r="V131" s="16" t="str">
        <f>TEXT(WEEKDAY(DATE(CalendarioAño,5,20),1),"ddd")</f>
        <v>mar</v>
      </c>
      <c r="W131" s="16" t="str">
        <f>TEXT(WEEKDAY(DATE(CalendarioAño,5,21),1),"ddd")</f>
        <v>mié</v>
      </c>
      <c r="X131" s="16" t="str">
        <f>TEXT(WEEKDAY(DATE(CalendarioAño,5,22),1),"ddd")</f>
        <v>jue</v>
      </c>
      <c r="Y131" s="16" t="str">
        <f>TEXT(WEEKDAY(DATE(CalendarioAño,5,23),1),"ddd")</f>
        <v>vie</v>
      </c>
      <c r="Z131" s="16" t="str">
        <f>TEXT(WEEKDAY(DATE(CalendarioAño,5,24),1),"ddd")</f>
        <v>sáb</v>
      </c>
      <c r="AA131" s="16" t="str">
        <f>TEXT(WEEKDAY(DATE(CalendarioAño,5,25),1),"ddd")</f>
        <v>dom</v>
      </c>
      <c r="AB131" s="16" t="str">
        <f>TEXT(WEEKDAY(DATE(CalendarioAño,5,26),1),"ddd")</f>
        <v>lun</v>
      </c>
      <c r="AC131" s="16" t="str">
        <f>TEXT(WEEKDAY(DATE(CalendarioAño,5,27),1),"ddd")</f>
        <v>mar</v>
      </c>
      <c r="AD131" s="16" t="str">
        <f>TEXT(WEEKDAY(DATE(CalendarioAño,5,28),1),"ddd")</f>
        <v>mié</v>
      </c>
      <c r="AE131" s="16" t="str">
        <f>TEXT(WEEKDAY(DATE(CalendarioAño,5,29),1),"ddd")</f>
        <v>jue</v>
      </c>
      <c r="AF131" s="16" t="str">
        <f>TEXT(WEEKDAY(DATE(CalendarioAño,5,30),1),"ddd")</f>
        <v>vie</v>
      </c>
      <c r="AG131" s="16" t="str">
        <f>TEXT(WEEKDAY(DATE(CalendarioAño,5,31),1),"ddd")</f>
        <v>sáb</v>
      </c>
      <c r="AH131" s="32"/>
    </row>
    <row r="132" ht="30.0" customHeight="1">
      <c r="B132" s="33" t="s">
        <v>202</v>
      </c>
      <c r="C132" s="19" t="s">
        <v>15</v>
      </c>
      <c r="D132" s="19" t="s">
        <v>16</v>
      </c>
      <c r="E132" s="19" t="s">
        <v>17</v>
      </c>
      <c r="F132" s="19" t="s">
        <v>18</v>
      </c>
      <c r="G132" s="19" t="s">
        <v>19</v>
      </c>
      <c r="H132" s="19" t="s">
        <v>20</v>
      </c>
      <c r="I132" s="19" t="s">
        <v>21</v>
      </c>
      <c r="J132" s="19" t="s">
        <v>22</v>
      </c>
      <c r="K132" s="19" t="s">
        <v>23</v>
      </c>
      <c r="L132" s="19" t="s">
        <v>24</v>
      </c>
      <c r="M132" s="19" t="s">
        <v>25</v>
      </c>
      <c r="N132" s="19" t="s">
        <v>26</v>
      </c>
      <c r="O132" s="19" t="s">
        <v>27</v>
      </c>
      <c r="P132" s="19" t="s">
        <v>28</v>
      </c>
      <c r="Q132" s="19" t="s">
        <v>29</v>
      </c>
      <c r="R132" s="19" t="s">
        <v>30</v>
      </c>
      <c r="S132" s="19" t="s">
        <v>31</v>
      </c>
      <c r="T132" s="19" t="s">
        <v>32</v>
      </c>
      <c r="U132" s="19" t="s">
        <v>33</v>
      </c>
      <c r="V132" s="19" t="s">
        <v>34</v>
      </c>
      <c r="W132" s="19" t="s">
        <v>35</v>
      </c>
      <c r="X132" s="19" t="s">
        <v>36</v>
      </c>
      <c r="Y132" s="19" t="s">
        <v>37</v>
      </c>
      <c r="Z132" s="19" t="s">
        <v>38</v>
      </c>
      <c r="AA132" s="19" t="s">
        <v>39</v>
      </c>
      <c r="AB132" s="19" t="s">
        <v>40</v>
      </c>
      <c r="AC132" s="19" t="s">
        <v>41</v>
      </c>
      <c r="AD132" s="19" t="s">
        <v>42</v>
      </c>
      <c r="AE132" s="19" t="s">
        <v>43</v>
      </c>
      <c r="AF132" s="19" t="s">
        <v>44</v>
      </c>
      <c r="AG132" s="19" t="s">
        <v>45</v>
      </c>
      <c r="AH132" s="19" t="s">
        <v>46</v>
      </c>
    </row>
    <row r="133" ht="30.0" customHeight="1">
      <c r="B133" s="20" t="s">
        <v>143</v>
      </c>
      <c r="C133" s="21"/>
      <c r="D133" s="21"/>
      <c r="E133" s="100"/>
      <c r="F133" s="21"/>
      <c r="G133" s="10" t="s">
        <v>6</v>
      </c>
      <c r="H133" s="100"/>
      <c r="I133" s="10" t="s">
        <v>6</v>
      </c>
      <c r="J133" s="100"/>
      <c r="K133" s="10" t="s">
        <v>6</v>
      </c>
      <c r="L133" s="21"/>
      <c r="M133" s="21"/>
      <c r="N133" s="10" t="s">
        <v>6</v>
      </c>
      <c r="O133" s="21"/>
      <c r="P133" s="21"/>
      <c r="Q133" s="21"/>
      <c r="R133" s="10" t="s">
        <v>6</v>
      </c>
      <c r="S133" s="10" t="s">
        <v>6</v>
      </c>
      <c r="T133" s="21"/>
      <c r="U133" s="10" t="s">
        <v>6</v>
      </c>
      <c r="V133" s="21"/>
      <c r="W133" s="21"/>
      <c r="X133" s="21"/>
      <c r="Y133" s="10" t="s">
        <v>6</v>
      </c>
      <c r="Z133" s="21"/>
      <c r="AA133" s="21"/>
      <c r="AB133" s="21"/>
      <c r="AC133" s="21"/>
      <c r="AD133" s="10" t="s">
        <v>6</v>
      </c>
      <c r="AE133" s="21"/>
      <c r="AF133" s="10" t="s">
        <v>6</v>
      </c>
      <c r="AG133" s="21"/>
      <c r="AH133" s="36">
        <v>10.0</v>
      </c>
    </row>
    <row r="134" ht="30.0" customHeight="1">
      <c r="B134" s="20" t="s">
        <v>147</v>
      </c>
      <c r="C134" s="100"/>
      <c r="D134" s="21"/>
      <c r="E134" s="100"/>
      <c r="F134" s="21"/>
      <c r="G134" s="21"/>
      <c r="H134" s="100"/>
      <c r="I134" s="21"/>
      <c r="J134" s="100"/>
      <c r="K134" s="21"/>
      <c r="L134" s="21"/>
      <c r="M134" s="21"/>
      <c r="N134" s="21"/>
      <c r="O134" s="100"/>
      <c r="P134" s="21"/>
      <c r="Q134" s="100"/>
      <c r="R134" s="21"/>
      <c r="S134" s="10" t="s">
        <v>6</v>
      </c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5"/>
    </row>
    <row r="135" ht="30.0" customHeight="1">
      <c r="B135" s="20" t="s">
        <v>189</v>
      </c>
      <c r="C135" s="100"/>
      <c r="D135" s="21"/>
      <c r="E135" s="21"/>
      <c r="F135" s="100"/>
      <c r="G135" s="21"/>
      <c r="H135" s="21"/>
      <c r="I135" s="10" t="s">
        <v>6</v>
      </c>
      <c r="J135" s="100"/>
      <c r="K135" s="10" t="s">
        <v>6</v>
      </c>
      <c r="L135" s="21"/>
      <c r="M135" s="21"/>
      <c r="N135" s="21"/>
      <c r="O135" s="21"/>
      <c r="P135" s="21"/>
      <c r="Q135" s="21"/>
      <c r="R135" s="100"/>
      <c r="S135" s="21"/>
      <c r="T135" s="100"/>
      <c r="U135" s="21"/>
      <c r="V135" s="21"/>
      <c r="W135" s="100"/>
      <c r="X135" s="21"/>
      <c r="Y135" s="10" t="s">
        <v>6</v>
      </c>
      <c r="Z135" s="21"/>
      <c r="AA135" s="100"/>
      <c r="AB135" s="21"/>
      <c r="AC135" s="21"/>
      <c r="AD135" s="100"/>
      <c r="AE135" s="21"/>
      <c r="AF135" s="21"/>
      <c r="AG135" s="21"/>
      <c r="AH135" s="25"/>
    </row>
    <row r="136" ht="30.0" customHeight="1">
      <c r="B136" s="20" t="s">
        <v>254</v>
      </c>
      <c r="C136" s="21"/>
      <c r="D136" s="21"/>
      <c r="E136" s="21"/>
      <c r="F136" s="100"/>
      <c r="G136" s="10" t="s">
        <v>6</v>
      </c>
      <c r="H136" s="21"/>
      <c r="I136" s="100"/>
      <c r="J136" s="100"/>
      <c r="K136" s="10" t="s">
        <v>6</v>
      </c>
      <c r="L136" s="21"/>
      <c r="M136" s="21"/>
      <c r="N136" s="23" t="s">
        <v>89</v>
      </c>
      <c r="O136" s="21"/>
      <c r="P136" s="21"/>
      <c r="Q136" s="21"/>
      <c r="R136" s="21"/>
      <c r="S136" s="21"/>
      <c r="T136" s="21"/>
      <c r="U136" s="10" t="s">
        <v>6</v>
      </c>
      <c r="V136" s="21"/>
      <c r="W136" s="21"/>
      <c r="X136" s="21"/>
      <c r="Y136" s="10" t="s">
        <v>6</v>
      </c>
      <c r="Z136" s="21"/>
      <c r="AA136" s="21"/>
      <c r="AB136" s="10" t="s">
        <v>6</v>
      </c>
      <c r="AC136" s="21"/>
      <c r="AD136" s="21"/>
      <c r="AE136" s="21"/>
      <c r="AF136" s="10" t="s">
        <v>6</v>
      </c>
      <c r="AG136" s="21"/>
      <c r="AH136" s="36">
        <v>6.0</v>
      </c>
    </row>
    <row r="137" ht="30.0" customHeight="1">
      <c r="B137" s="20" t="s">
        <v>255</v>
      </c>
      <c r="C137" s="21"/>
      <c r="D137" s="21"/>
      <c r="E137" s="21"/>
      <c r="F137" s="100"/>
      <c r="G137" s="21"/>
      <c r="H137" s="21"/>
      <c r="I137" s="21"/>
      <c r="J137" s="21"/>
      <c r="K137" s="21"/>
      <c r="L137" s="21"/>
      <c r="M137" s="100"/>
      <c r="N137" s="21"/>
      <c r="O137" s="21"/>
      <c r="P137" s="21"/>
      <c r="Q137" s="21"/>
      <c r="R137" s="10" t="s">
        <v>6</v>
      </c>
      <c r="S137" s="21"/>
      <c r="T137" s="21"/>
      <c r="U137" s="10" t="s">
        <v>6</v>
      </c>
      <c r="V137" s="100"/>
      <c r="W137" s="21"/>
      <c r="X137" s="21"/>
      <c r="Y137" s="100"/>
      <c r="Z137" s="21"/>
      <c r="AA137" s="100"/>
      <c r="AB137" s="10" t="s">
        <v>6</v>
      </c>
      <c r="AC137" s="21"/>
      <c r="AD137" s="10" t="s">
        <v>6</v>
      </c>
      <c r="AE137" s="21"/>
      <c r="AF137" s="21"/>
      <c r="AG137" s="21"/>
      <c r="AH137" s="25"/>
    </row>
    <row r="138" ht="30.0" customHeight="1">
      <c r="B138" s="86"/>
      <c r="C138" s="21"/>
      <c r="D138" s="21"/>
      <c r="E138" s="21"/>
      <c r="F138" s="100"/>
      <c r="G138" s="21"/>
      <c r="H138" s="21"/>
      <c r="I138" s="21"/>
      <c r="J138" s="21"/>
      <c r="K138" s="21"/>
      <c r="L138" s="21"/>
      <c r="M138" s="100"/>
      <c r="N138" s="21"/>
      <c r="O138" s="21"/>
      <c r="P138" s="21"/>
      <c r="Q138" s="21"/>
      <c r="R138" s="21"/>
      <c r="S138" s="21"/>
      <c r="T138" s="100"/>
      <c r="U138" s="21"/>
      <c r="V138" s="21"/>
      <c r="W138" s="21"/>
      <c r="X138" s="21"/>
      <c r="Y138" s="21"/>
      <c r="Z138" s="21"/>
      <c r="AA138" s="100"/>
      <c r="AB138" s="21"/>
      <c r="AC138" s="21"/>
      <c r="AD138" s="21"/>
      <c r="AE138" s="21"/>
      <c r="AF138" s="21"/>
      <c r="AG138" s="21"/>
      <c r="AH138" s="25"/>
    </row>
    <row r="139" ht="30.0" customHeight="1">
      <c r="B139" s="86"/>
      <c r="C139" s="21"/>
      <c r="D139" s="21"/>
      <c r="E139" s="21"/>
      <c r="F139" s="100"/>
      <c r="G139" s="21"/>
      <c r="H139" s="21"/>
      <c r="I139" s="21"/>
      <c r="J139" s="21"/>
      <c r="K139" s="21"/>
      <c r="L139" s="21"/>
      <c r="M139" s="10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5"/>
    </row>
    <row r="140" ht="30.0" customHeight="1">
      <c r="B140" s="86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100"/>
      <c r="AB140" s="21"/>
      <c r="AC140" s="21"/>
      <c r="AD140" s="21"/>
      <c r="AE140" s="21"/>
      <c r="AF140" s="21"/>
      <c r="AG140" s="21"/>
      <c r="AH140" s="25"/>
    </row>
    <row r="141" ht="30.0" customHeight="1">
      <c r="B141" s="86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100"/>
      <c r="Y141" s="21"/>
      <c r="Z141" s="21"/>
      <c r="AA141" s="21"/>
      <c r="AB141" s="21"/>
      <c r="AC141" s="21"/>
      <c r="AD141" s="21"/>
      <c r="AE141" s="21"/>
      <c r="AF141" s="21"/>
      <c r="AG141" s="21"/>
      <c r="AH141" s="25"/>
    </row>
    <row r="142" ht="30.0" customHeight="1">
      <c r="B142" s="26" t="str">
        <f>Mayo!MonthName&amp;" Total"</f>
        <v>Mayo Total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>
        <f>SUM(C142:AG142)</f>
        <v>0</v>
      </c>
    </row>
    <row r="143" ht="30.0" customHeight="1"/>
    <row r="144" ht="30.0" customHeight="1">
      <c r="B144" s="32" t="s">
        <v>236</v>
      </c>
      <c r="C144" s="80" t="s">
        <v>256</v>
      </c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32">
        <f>CalendarioAño</f>
        <v>2025</v>
      </c>
    </row>
    <row r="145" ht="30.0" customHeight="1">
      <c r="B145" s="32"/>
      <c r="C145" s="16"/>
      <c r="D145" s="16" t="str">
        <f>TEXT(WEEKDAY(DATE(CalendarioAño,5,2),1),"ddd")</f>
        <v>vie</v>
      </c>
      <c r="E145" s="16" t="str">
        <f>TEXT(WEEKDAY(DATE(CalendarioAño,5,3),1),"ddd")</f>
        <v>sáb</v>
      </c>
      <c r="F145" s="16" t="str">
        <f>TEXT(WEEKDAY(DATE(CalendarioAño,5,4),1),"ddd")</f>
        <v>dom</v>
      </c>
      <c r="G145" s="16" t="str">
        <f>TEXT(WEEKDAY(DATE(CalendarioAño,5,5),1),"ddd")</f>
        <v>lun</v>
      </c>
      <c r="H145" s="16" t="str">
        <f>TEXT(WEEKDAY(DATE(CalendarioAño,5,6),1),"ddd")</f>
        <v>mar</v>
      </c>
      <c r="I145" s="16" t="str">
        <f>TEXT(WEEKDAY(DATE(CalendarioAño,5,7),1),"ddd")</f>
        <v>mié</v>
      </c>
      <c r="J145" s="16" t="str">
        <f>TEXT(WEEKDAY(DATE(CalendarioAño,5,8),1),"ddd")</f>
        <v>jue</v>
      </c>
      <c r="K145" s="16" t="str">
        <f>TEXT(WEEKDAY(DATE(CalendarioAño,5,9),1),"ddd")</f>
        <v>vie</v>
      </c>
      <c r="L145" s="16" t="str">
        <f>TEXT(WEEKDAY(DATE(CalendarioAño,5,10),1),"ddd")</f>
        <v>sáb</v>
      </c>
      <c r="M145" s="16" t="str">
        <f>TEXT(WEEKDAY(DATE(CalendarioAño,5,11),1),"ddd")</f>
        <v>dom</v>
      </c>
      <c r="N145" s="16" t="str">
        <f>TEXT(WEEKDAY(DATE(CalendarioAño,5,12),1),"ddd")</f>
        <v>lun</v>
      </c>
      <c r="O145" s="16" t="str">
        <f>TEXT(WEEKDAY(DATE(CalendarioAño,5,13),1),"ddd")</f>
        <v>mar</v>
      </c>
      <c r="P145" s="16" t="str">
        <f>TEXT(WEEKDAY(DATE(CalendarioAño,5,14),1),"ddd")</f>
        <v>mié</v>
      </c>
      <c r="Q145" s="16" t="str">
        <f>TEXT(WEEKDAY(DATE(CalendarioAño,5,15),1),"ddd")</f>
        <v>jue</v>
      </c>
      <c r="R145" s="16" t="str">
        <f>TEXT(WEEKDAY(DATE(CalendarioAño,5,16),1),"ddd")</f>
        <v>vie</v>
      </c>
      <c r="S145" s="16" t="str">
        <f>TEXT(WEEKDAY(DATE(CalendarioAño,5,17),1),"ddd")</f>
        <v>sáb</v>
      </c>
      <c r="T145" s="16" t="str">
        <f>TEXT(WEEKDAY(DATE(CalendarioAño,5,18),1),"ddd")</f>
        <v>dom</v>
      </c>
      <c r="U145" s="16" t="str">
        <f>TEXT(WEEKDAY(DATE(CalendarioAño,5,19),1),"ddd")</f>
        <v>lun</v>
      </c>
      <c r="V145" s="16" t="str">
        <f>TEXT(WEEKDAY(DATE(CalendarioAño,5,20),1),"ddd")</f>
        <v>mar</v>
      </c>
      <c r="W145" s="16" t="str">
        <f>TEXT(WEEKDAY(DATE(CalendarioAño,5,21),1),"ddd")</f>
        <v>mié</v>
      </c>
      <c r="X145" s="16" t="str">
        <f>TEXT(WEEKDAY(DATE(CalendarioAño,5,22),1),"ddd")</f>
        <v>jue</v>
      </c>
      <c r="Y145" s="16" t="str">
        <f>TEXT(WEEKDAY(DATE(CalendarioAño,5,23),1),"ddd")</f>
        <v>vie</v>
      </c>
      <c r="Z145" s="16" t="str">
        <f>TEXT(WEEKDAY(DATE(CalendarioAño,5,24),1),"ddd")</f>
        <v>sáb</v>
      </c>
      <c r="AA145" s="16" t="str">
        <f>TEXT(WEEKDAY(DATE(CalendarioAño,5,25),1),"ddd")</f>
        <v>dom</v>
      </c>
      <c r="AB145" s="16" t="str">
        <f>TEXT(WEEKDAY(DATE(CalendarioAño,5,26),1),"ddd")</f>
        <v>lun</v>
      </c>
      <c r="AC145" s="16" t="str">
        <f>TEXT(WEEKDAY(DATE(CalendarioAño,5,27),1),"ddd")</f>
        <v>mar</v>
      </c>
      <c r="AD145" s="16" t="str">
        <f>TEXT(WEEKDAY(DATE(CalendarioAño,5,28),1),"ddd")</f>
        <v>mié</v>
      </c>
      <c r="AE145" s="16" t="str">
        <f>TEXT(WEEKDAY(DATE(CalendarioAño,5,29),1),"ddd")</f>
        <v>jue</v>
      </c>
      <c r="AF145" s="16" t="str">
        <f>TEXT(WEEKDAY(DATE(CalendarioAño,5,30),1),"ddd")</f>
        <v>vie</v>
      </c>
      <c r="AG145" s="16" t="str">
        <f>TEXT(WEEKDAY(DATE(CalendarioAño,5,31),1),"ddd")</f>
        <v>sáb</v>
      </c>
      <c r="AH145" s="32"/>
    </row>
    <row r="146" ht="30.0" customHeight="1">
      <c r="B146" s="33" t="s">
        <v>202</v>
      </c>
      <c r="C146" s="19" t="s">
        <v>15</v>
      </c>
      <c r="D146" s="19" t="s">
        <v>16</v>
      </c>
      <c r="E146" s="19" t="s">
        <v>17</v>
      </c>
      <c r="F146" s="19" t="s">
        <v>18</v>
      </c>
      <c r="G146" s="19" t="s">
        <v>19</v>
      </c>
      <c r="H146" s="19" t="s">
        <v>20</v>
      </c>
      <c r="I146" s="19" t="s">
        <v>21</v>
      </c>
      <c r="J146" s="19" t="s">
        <v>22</v>
      </c>
      <c r="K146" s="19" t="s">
        <v>23</v>
      </c>
      <c r="L146" s="19" t="s">
        <v>24</v>
      </c>
      <c r="M146" s="19" t="s">
        <v>25</v>
      </c>
      <c r="N146" s="19" t="s">
        <v>26</v>
      </c>
      <c r="O146" s="19" t="s">
        <v>27</v>
      </c>
      <c r="P146" s="19" t="s">
        <v>28</v>
      </c>
      <c r="Q146" s="19" t="s">
        <v>29</v>
      </c>
      <c r="R146" s="19" t="s">
        <v>30</v>
      </c>
      <c r="S146" s="19" t="s">
        <v>31</v>
      </c>
      <c r="T146" s="19" t="s">
        <v>32</v>
      </c>
      <c r="U146" s="19" t="s">
        <v>33</v>
      </c>
      <c r="V146" s="19" t="s">
        <v>34</v>
      </c>
      <c r="W146" s="19" t="s">
        <v>35</v>
      </c>
      <c r="X146" s="19" t="s">
        <v>36</v>
      </c>
      <c r="Y146" s="19" t="s">
        <v>37</v>
      </c>
      <c r="Z146" s="19" t="s">
        <v>38</v>
      </c>
      <c r="AA146" s="19" t="s">
        <v>39</v>
      </c>
      <c r="AB146" s="19" t="s">
        <v>40</v>
      </c>
      <c r="AC146" s="19" t="s">
        <v>41</v>
      </c>
      <c r="AD146" s="19" t="s">
        <v>42</v>
      </c>
      <c r="AE146" s="19" t="s">
        <v>43</v>
      </c>
      <c r="AF146" s="19" t="s">
        <v>44</v>
      </c>
      <c r="AG146" s="19" t="s">
        <v>45</v>
      </c>
      <c r="AH146" s="19" t="s">
        <v>46</v>
      </c>
    </row>
    <row r="147" ht="30.0" customHeight="1">
      <c r="B147" s="20" t="s">
        <v>149</v>
      </c>
      <c r="C147" s="21"/>
      <c r="D147" s="21"/>
      <c r="E147" s="10" t="s">
        <v>6</v>
      </c>
      <c r="F147" s="21"/>
      <c r="G147" s="21"/>
      <c r="H147" s="10" t="s">
        <v>6</v>
      </c>
      <c r="I147" s="21"/>
      <c r="J147" s="100"/>
      <c r="K147" s="21"/>
      <c r="L147" s="10" t="s">
        <v>6</v>
      </c>
      <c r="M147" s="21"/>
      <c r="N147" s="21"/>
      <c r="O147" s="21"/>
      <c r="P147" s="21"/>
      <c r="Q147" s="10" t="s">
        <v>6</v>
      </c>
      <c r="R147" s="21"/>
      <c r="S147" s="21"/>
      <c r="T147" s="21"/>
      <c r="U147" s="21"/>
      <c r="V147" s="21"/>
      <c r="W147" s="21"/>
      <c r="X147" s="10" t="s">
        <v>6</v>
      </c>
      <c r="Y147" s="21"/>
      <c r="Z147" s="10" t="s">
        <v>6</v>
      </c>
      <c r="AA147" s="21"/>
      <c r="AB147" s="21"/>
      <c r="AC147" s="10" t="s">
        <v>6</v>
      </c>
      <c r="AD147" s="21"/>
      <c r="AE147" s="10" t="s">
        <v>6</v>
      </c>
      <c r="AF147" s="21"/>
      <c r="AG147" s="21"/>
      <c r="AH147" s="25"/>
    </row>
    <row r="148" ht="30.0" customHeight="1">
      <c r="B148" s="20" t="s">
        <v>233</v>
      </c>
      <c r="C148" s="100"/>
      <c r="D148" s="21"/>
      <c r="E148" s="100"/>
      <c r="F148" s="21"/>
      <c r="G148" s="21"/>
      <c r="H148" s="10" t="s">
        <v>6</v>
      </c>
      <c r="I148" s="21"/>
      <c r="J148" s="10" t="s">
        <v>6</v>
      </c>
      <c r="K148" s="21"/>
      <c r="L148" s="21"/>
      <c r="M148" s="21"/>
      <c r="N148" s="21"/>
      <c r="O148" s="10" t="s">
        <v>6</v>
      </c>
      <c r="P148" s="21"/>
      <c r="Q148" s="10" t="s">
        <v>6</v>
      </c>
      <c r="R148" s="21"/>
      <c r="S148" s="10" t="s">
        <v>6</v>
      </c>
      <c r="T148" s="21"/>
      <c r="U148" s="21"/>
      <c r="V148" s="10" t="s">
        <v>6</v>
      </c>
      <c r="W148" s="21"/>
      <c r="X148" s="21"/>
      <c r="Y148" s="21"/>
      <c r="Z148" s="10" t="s">
        <v>6</v>
      </c>
      <c r="AA148" s="21"/>
      <c r="AB148" s="21"/>
      <c r="AC148" s="21"/>
      <c r="AD148" s="21"/>
      <c r="AE148" s="21"/>
      <c r="AF148" s="21"/>
      <c r="AG148" s="21"/>
      <c r="AH148" s="25"/>
    </row>
    <row r="149" ht="30.0" customHeight="1">
      <c r="B149" s="86"/>
      <c r="C149" s="100"/>
      <c r="D149" s="21"/>
      <c r="E149" s="21"/>
      <c r="F149" s="100"/>
      <c r="G149" s="21"/>
      <c r="H149" s="21"/>
      <c r="I149" s="21"/>
      <c r="J149" s="100"/>
      <c r="K149" s="21"/>
      <c r="L149" s="21"/>
      <c r="M149" s="21"/>
      <c r="N149" s="21"/>
      <c r="O149" s="21"/>
      <c r="P149" s="21"/>
      <c r="Q149" s="21"/>
      <c r="R149" s="100"/>
      <c r="S149" s="21"/>
      <c r="T149" s="100"/>
      <c r="U149" s="21"/>
      <c r="V149" s="21"/>
      <c r="W149" s="100"/>
      <c r="X149" s="21"/>
      <c r="Y149" s="21"/>
      <c r="Z149" s="21"/>
      <c r="AA149" s="100"/>
      <c r="AB149" s="21"/>
      <c r="AC149" s="21"/>
      <c r="AD149" s="100"/>
      <c r="AE149" s="21"/>
      <c r="AF149" s="21"/>
      <c r="AG149" s="21"/>
      <c r="AH149" s="25"/>
    </row>
    <row r="150" ht="30.0" customHeight="1">
      <c r="B150" s="86"/>
      <c r="C150" s="21"/>
      <c r="D150" s="21"/>
      <c r="E150" s="21"/>
      <c r="F150" s="100"/>
      <c r="G150" s="21"/>
      <c r="H150" s="21"/>
      <c r="I150" s="100"/>
      <c r="J150" s="100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5"/>
    </row>
    <row r="151" ht="30.0" customHeight="1">
      <c r="B151" s="86"/>
      <c r="C151" s="21"/>
      <c r="D151" s="21"/>
      <c r="E151" s="21"/>
      <c r="F151" s="100"/>
      <c r="G151" s="21"/>
      <c r="H151" s="21"/>
      <c r="I151" s="21"/>
      <c r="J151" s="21"/>
      <c r="K151" s="21"/>
      <c r="L151" s="21"/>
      <c r="M151" s="100"/>
      <c r="N151" s="21"/>
      <c r="O151" s="21"/>
      <c r="P151" s="21"/>
      <c r="Q151" s="21"/>
      <c r="R151" s="21"/>
      <c r="S151" s="21"/>
      <c r="T151" s="21"/>
      <c r="U151" s="21"/>
      <c r="V151" s="100"/>
      <c r="W151" s="21"/>
      <c r="X151" s="21"/>
      <c r="Y151" s="100"/>
      <c r="Z151" s="21"/>
      <c r="AA151" s="100"/>
      <c r="AB151" s="21"/>
      <c r="AC151" s="21"/>
      <c r="AD151" s="21"/>
      <c r="AE151" s="21"/>
      <c r="AF151" s="21"/>
      <c r="AG151" s="21"/>
      <c r="AH151" s="25"/>
    </row>
    <row r="152" ht="30.0" customHeight="1">
      <c r="B152" s="86"/>
      <c r="C152" s="21"/>
      <c r="D152" s="21"/>
      <c r="E152" s="21"/>
      <c r="F152" s="100"/>
      <c r="G152" s="21"/>
      <c r="H152" s="21"/>
      <c r="I152" s="21"/>
      <c r="J152" s="21"/>
      <c r="K152" s="21"/>
      <c r="L152" s="21"/>
      <c r="M152" s="100"/>
      <c r="N152" s="21"/>
      <c r="O152" s="21"/>
      <c r="P152" s="21"/>
      <c r="Q152" s="21"/>
      <c r="R152" s="21"/>
      <c r="S152" s="21"/>
      <c r="T152" s="100"/>
      <c r="U152" s="21"/>
      <c r="V152" s="21"/>
      <c r="W152" s="21"/>
      <c r="X152" s="21"/>
      <c r="Y152" s="21"/>
      <c r="Z152" s="21"/>
      <c r="AA152" s="100"/>
      <c r="AB152" s="21"/>
      <c r="AC152" s="21"/>
      <c r="AD152" s="21"/>
      <c r="AE152" s="21"/>
      <c r="AF152" s="21"/>
      <c r="AG152" s="21"/>
      <c r="AH152" s="25"/>
    </row>
    <row r="153" ht="30.0" customHeight="1">
      <c r="B153" s="86"/>
      <c r="C153" s="21"/>
      <c r="D153" s="21"/>
      <c r="E153" s="21"/>
      <c r="F153" s="100"/>
      <c r="G153" s="21"/>
      <c r="H153" s="21"/>
      <c r="I153" s="21"/>
      <c r="J153" s="21"/>
      <c r="K153" s="21"/>
      <c r="L153" s="21"/>
      <c r="M153" s="10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5"/>
    </row>
    <row r="154" ht="30.0" customHeight="1">
      <c r="B154" s="86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100"/>
      <c r="AB154" s="21"/>
      <c r="AC154" s="21"/>
      <c r="AD154" s="21"/>
      <c r="AE154" s="21"/>
      <c r="AF154" s="21"/>
      <c r="AG154" s="21"/>
      <c r="AH154" s="25"/>
    </row>
    <row r="155" ht="30.0" customHeight="1">
      <c r="B155" s="86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100"/>
      <c r="Y155" s="21"/>
      <c r="Z155" s="21"/>
      <c r="AA155" s="21"/>
      <c r="AB155" s="21"/>
      <c r="AC155" s="21"/>
      <c r="AD155" s="21"/>
      <c r="AE155" s="21"/>
      <c r="AF155" s="21"/>
      <c r="AG155" s="21"/>
      <c r="AH155" s="25"/>
    </row>
    <row r="156" ht="30.0" customHeight="1">
      <c r="B156" s="26" t="str">
        <f>Mayo!MonthName&amp;" Total"</f>
        <v>Mayo Total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>
        <f>SUM(C156:AG156)</f>
        <v>0</v>
      </c>
    </row>
    <row r="157" ht="30.0" customHeight="1"/>
    <row r="158" ht="30.0" customHeight="1">
      <c r="B158" s="32" t="s">
        <v>236</v>
      </c>
      <c r="C158" s="80" t="s">
        <v>257</v>
      </c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32">
        <f>CalendarioAño</f>
        <v>2025</v>
      </c>
    </row>
    <row r="159" ht="30.0" customHeight="1">
      <c r="B159" s="32"/>
      <c r="C159" s="16"/>
      <c r="D159" s="16" t="str">
        <f>TEXT(WEEKDAY(DATE(CalendarioAño,5,2),1),"ddd")</f>
        <v>vie</v>
      </c>
      <c r="E159" s="16" t="str">
        <f>TEXT(WEEKDAY(DATE(CalendarioAño,5,3),1),"ddd")</f>
        <v>sáb</v>
      </c>
      <c r="F159" s="16" t="str">
        <f>TEXT(WEEKDAY(DATE(CalendarioAño,5,4),1),"ddd")</f>
        <v>dom</v>
      </c>
      <c r="G159" s="16" t="str">
        <f>TEXT(WEEKDAY(DATE(CalendarioAño,5,5),1),"ddd")</f>
        <v>lun</v>
      </c>
      <c r="H159" s="16" t="str">
        <f>TEXT(WEEKDAY(DATE(CalendarioAño,5,6),1),"ddd")</f>
        <v>mar</v>
      </c>
      <c r="I159" s="16" t="str">
        <f>TEXT(WEEKDAY(DATE(CalendarioAño,5,7),1),"ddd")</f>
        <v>mié</v>
      </c>
      <c r="J159" s="16" t="str">
        <f>TEXT(WEEKDAY(DATE(CalendarioAño,5,8),1),"ddd")</f>
        <v>jue</v>
      </c>
      <c r="K159" s="16" t="str">
        <f>TEXT(WEEKDAY(DATE(CalendarioAño,5,9),1),"ddd")</f>
        <v>vie</v>
      </c>
      <c r="L159" s="16" t="str">
        <f>TEXT(WEEKDAY(DATE(CalendarioAño,5,10),1),"ddd")</f>
        <v>sáb</v>
      </c>
      <c r="M159" s="16" t="str">
        <f>TEXT(WEEKDAY(DATE(CalendarioAño,5,11),1),"ddd")</f>
        <v>dom</v>
      </c>
      <c r="N159" s="16" t="str">
        <f>TEXT(WEEKDAY(DATE(CalendarioAño,5,12),1),"ddd")</f>
        <v>lun</v>
      </c>
      <c r="O159" s="16" t="str">
        <f>TEXT(WEEKDAY(DATE(CalendarioAño,5,13),1),"ddd")</f>
        <v>mar</v>
      </c>
      <c r="P159" s="16" t="str">
        <f>TEXT(WEEKDAY(DATE(CalendarioAño,5,14),1),"ddd")</f>
        <v>mié</v>
      </c>
      <c r="Q159" s="16" t="str">
        <f>TEXT(WEEKDAY(DATE(CalendarioAño,5,15),1),"ddd")</f>
        <v>jue</v>
      </c>
      <c r="R159" s="16" t="str">
        <f>TEXT(WEEKDAY(DATE(CalendarioAño,5,16),1),"ddd")</f>
        <v>vie</v>
      </c>
      <c r="S159" s="16" t="str">
        <f>TEXT(WEEKDAY(DATE(CalendarioAño,5,17),1),"ddd")</f>
        <v>sáb</v>
      </c>
      <c r="T159" s="16" t="str">
        <f>TEXT(WEEKDAY(DATE(CalendarioAño,5,18),1),"ddd")</f>
        <v>dom</v>
      </c>
      <c r="U159" s="16" t="str">
        <f>TEXT(WEEKDAY(DATE(CalendarioAño,5,19),1),"ddd")</f>
        <v>lun</v>
      </c>
      <c r="V159" s="16" t="str">
        <f>TEXT(WEEKDAY(DATE(CalendarioAño,5,20),1),"ddd")</f>
        <v>mar</v>
      </c>
      <c r="W159" s="16" t="str">
        <f>TEXT(WEEKDAY(DATE(CalendarioAño,5,21),1),"ddd")</f>
        <v>mié</v>
      </c>
      <c r="X159" s="16" t="str">
        <f>TEXT(WEEKDAY(DATE(CalendarioAño,5,22),1),"ddd")</f>
        <v>jue</v>
      </c>
      <c r="Y159" s="16" t="str">
        <f>TEXT(WEEKDAY(DATE(CalendarioAño,5,23),1),"ddd")</f>
        <v>vie</v>
      </c>
      <c r="Z159" s="16" t="str">
        <f>TEXT(WEEKDAY(DATE(CalendarioAño,5,24),1),"ddd")</f>
        <v>sáb</v>
      </c>
      <c r="AA159" s="16" t="str">
        <f>TEXT(WEEKDAY(DATE(CalendarioAño,5,25),1),"ddd")</f>
        <v>dom</v>
      </c>
      <c r="AB159" s="16" t="str">
        <f>TEXT(WEEKDAY(DATE(CalendarioAño,5,26),1),"ddd")</f>
        <v>lun</v>
      </c>
      <c r="AC159" s="16" t="str">
        <f>TEXT(WEEKDAY(DATE(CalendarioAño,5,27),1),"ddd")</f>
        <v>mar</v>
      </c>
      <c r="AD159" s="16" t="str">
        <f>TEXT(WEEKDAY(DATE(CalendarioAño,5,28),1),"ddd")</f>
        <v>mié</v>
      </c>
      <c r="AE159" s="16" t="str">
        <f>TEXT(WEEKDAY(DATE(CalendarioAño,5,29),1),"ddd")</f>
        <v>jue</v>
      </c>
      <c r="AF159" s="16" t="str">
        <f>TEXT(WEEKDAY(DATE(CalendarioAño,5,30),1),"ddd")</f>
        <v>vie</v>
      </c>
      <c r="AG159" s="16" t="str">
        <f>TEXT(WEEKDAY(DATE(CalendarioAño,5,31),1),"ddd")</f>
        <v>sáb</v>
      </c>
      <c r="AH159" s="32"/>
    </row>
    <row r="160" ht="30.0" customHeight="1">
      <c r="B160" s="33" t="s">
        <v>202</v>
      </c>
      <c r="C160" s="19" t="s">
        <v>15</v>
      </c>
      <c r="D160" s="19" t="s">
        <v>16</v>
      </c>
      <c r="E160" s="19" t="s">
        <v>17</v>
      </c>
      <c r="F160" s="19" t="s">
        <v>18</v>
      </c>
      <c r="G160" s="19" t="s">
        <v>19</v>
      </c>
      <c r="H160" s="19" t="s">
        <v>20</v>
      </c>
      <c r="I160" s="19" t="s">
        <v>21</v>
      </c>
      <c r="J160" s="19" t="s">
        <v>22</v>
      </c>
      <c r="K160" s="19" t="s">
        <v>23</v>
      </c>
      <c r="L160" s="19" t="s">
        <v>24</v>
      </c>
      <c r="M160" s="19" t="s">
        <v>25</v>
      </c>
      <c r="N160" s="19" t="s">
        <v>26</v>
      </c>
      <c r="O160" s="19" t="s">
        <v>27</v>
      </c>
      <c r="P160" s="19" t="s">
        <v>28</v>
      </c>
      <c r="Q160" s="19" t="s">
        <v>29</v>
      </c>
      <c r="R160" s="19" t="s">
        <v>30</v>
      </c>
      <c r="S160" s="19" t="s">
        <v>31</v>
      </c>
      <c r="T160" s="19" t="s">
        <v>32</v>
      </c>
      <c r="U160" s="19" t="s">
        <v>33</v>
      </c>
      <c r="V160" s="19" t="s">
        <v>34</v>
      </c>
      <c r="W160" s="19" t="s">
        <v>35</v>
      </c>
      <c r="X160" s="19" t="s">
        <v>36</v>
      </c>
      <c r="Y160" s="19" t="s">
        <v>37</v>
      </c>
      <c r="Z160" s="19" t="s">
        <v>38</v>
      </c>
      <c r="AA160" s="19" t="s">
        <v>39</v>
      </c>
      <c r="AB160" s="19" t="s">
        <v>40</v>
      </c>
      <c r="AC160" s="19" t="s">
        <v>41</v>
      </c>
      <c r="AD160" s="19" t="s">
        <v>42</v>
      </c>
      <c r="AE160" s="19" t="s">
        <v>43</v>
      </c>
      <c r="AF160" s="19" t="s">
        <v>44</v>
      </c>
      <c r="AG160" s="19" t="s">
        <v>45</v>
      </c>
      <c r="AH160" s="19" t="s">
        <v>46</v>
      </c>
    </row>
    <row r="161" ht="30.0" customHeight="1">
      <c r="B161" s="20" t="s">
        <v>235</v>
      </c>
      <c r="C161" s="21"/>
      <c r="D161" s="21"/>
      <c r="E161" s="100"/>
      <c r="F161" s="21"/>
      <c r="G161" s="10" t="s">
        <v>6</v>
      </c>
      <c r="H161" s="100"/>
      <c r="I161" s="21"/>
      <c r="J161" s="100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5"/>
    </row>
    <row r="162" ht="30.0" customHeight="1">
      <c r="B162" s="86"/>
      <c r="C162" s="100"/>
      <c r="D162" s="21"/>
      <c r="E162" s="100"/>
      <c r="F162" s="21"/>
      <c r="G162" s="21"/>
      <c r="H162" s="100"/>
      <c r="I162" s="21"/>
      <c r="J162" s="100"/>
      <c r="K162" s="21"/>
      <c r="L162" s="21"/>
      <c r="M162" s="21"/>
      <c r="N162" s="21"/>
      <c r="O162" s="100"/>
      <c r="P162" s="21"/>
      <c r="Q162" s="100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5"/>
    </row>
    <row r="163" ht="30.0" customHeight="1">
      <c r="B163" s="86"/>
      <c r="C163" s="100"/>
      <c r="D163" s="21"/>
      <c r="E163" s="21"/>
      <c r="F163" s="100"/>
      <c r="G163" s="21"/>
      <c r="H163" s="21"/>
      <c r="I163" s="21"/>
      <c r="J163" s="100"/>
      <c r="K163" s="21"/>
      <c r="L163" s="21"/>
      <c r="M163" s="21"/>
      <c r="N163" s="21"/>
      <c r="O163" s="21"/>
      <c r="P163" s="21"/>
      <c r="Q163" s="21"/>
      <c r="R163" s="100"/>
      <c r="S163" s="21"/>
      <c r="T163" s="100"/>
      <c r="U163" s="21"/>
      <c r="V163" s="21"/>
      <c r="W163" s="100"/>
      <c r="X163" s="21"/>
      <c r="Y163" s="21"/>
      <c r="Z163" s="21"/>
      <c r="AA163" s="100"/>
      <c r="AB163" s="21"/>
      <c r="AC163" s="21"/>
      <c r="AD163" s="100"/>
      <c r="AE163" s="21"/>
      <c r="AF163" s="21"/>
      <c r="AG163" s="21"/>
      <c r="AH163" s="25"/>
    </row>
    <row r="164" ht="30.0" customHeight="1">
      <c r="B164" s="86"/>
      <c r="C164" s="21"/>
      <c r="D164" s="21"/>
      <c r="E164" s="21"/>
      <c r="F164" s="100"/>
      <c r="G164" s="21"/>
      <c r="H164" s="21"/>
      <c r="I164" s="100"/>
      <c r="J164" s="100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5"/>
    </row>
    <row r="165" ht="30.0" customHeight="1">
      <c r="B165" s="86"/>
      <c r="C165" s="21"/>
      <c r="D165" s="21"/>
      <c r="E165" s="21"/>
      <c r="F165" s="100"/>
      <c r="G165" s="21"/>
      <c r="H165" s="21"/>
      <c r="I165" s="21"/>
      <c r="J165" s="21"/>
      <c r="K165" s="21"/>
      <c r="L165" s="21"/>
      <c r="M165" s="100"/>
      <c r="N165" s="21"/>
      <c r="O165" s="21"/>
      <c r="P165" s="21"/>
      <c r="Q165" s="21"/>
      <c r="R165" s="21"/>
      <c r="S165" s="21"/>
      <c r="T165" s="21"/>
      <c r="U165" s="21"/>
      <c r="V165" s="100"/>
      <c r="W165" s="21"/>
      <c r="X165" s="21"/>
      <c r="Y165" s="100"/>
      <c r="Z165" s="21"/>
      <c r="AA165" s="100"/>
      <c r="AB165" s="21"/>
      <c r="AC165" s="21"/>
      <c r="AD165" s="21"/>
      <c r="AE165" s="21"/>
      <c r="AF165" s="21"/>
      <c r="AG165" s="21"/>
      <c r="AH165" s="25"/>
    </row>
    <row r="166" ht="30.0" customHeight="1">
      <c r="B166" s="86"/>
      <c r="C166" s="21"/>
      <c r="D166" s="21"/>
      <c r="E166" s="21"/>
      <c r="F166" s="100"/>
      <c r="G166" s="21"/>
      <c r="H166" s="21"/>
      <c r="I166" s="21"/>
      <c r="J166" s="21"/>
      <c r="K166" s="21"/>
      <c r="L166" s="21"/>
      <c r="M166" s="100"/>
      <c r="N166" s="21"/>
      <c r="O166" s="21"/>
      <c r="P166" s="21"/>
      <c r="Q166" s="21"/>
      <c r="R166" s="21"/>
      <c r="S166" s="21"/>
      <c r="T166" s="100"/>
      <c r="U166" s="21"/>
      <c r="V166" s="21"/>
      <c r="W166" s="21"/>
      <c r="X166" s="21"/>
      <c r="Y166" s="21"/>
      <c r="Z166" s="21"/>
      <c r="AA166" s="100"/>
      <c r="AB166" s="21"/>
      <c r="AC166" s="21"/>
      <c r="AD166" s="21"/>
      <c r="AE166" s="21"/>
      <c r="AF166" s="21"/>
      <c r="AG166" s="21"/>
      <c r="AH166" s="25"/>
    </row>
    <row r="167" ht="30.0" customHeight="1">
      <c r="B167" s="86"/>
      <c r="C167" s="21"/>
      <c r="D167" s="21"/>
      <c r="E167" s="21"/>
      <c r="F167" s="100"/>
      <c r="G167" s="21"/>
      <c r="H167" s="21"/>
      <c r="I167" s="21"/>
      <c r="J167" s="21"/>
      <c r="K167" s="21"/>
      <c r="L167" s="21"/>
      <c r="M167" s="10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5"/>
    </row>
    <row r="168" ht="30.0" customHeight="1">
      <c r="B168" s="86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100"/>
      <c r="AB168" s="21"/>
      <c r="AC168" s="21"/>
      <c r="AD168" s="21"/>
      <c r="AE168" s="21"/>
      <c r="AF168" s="21"/>
      <c r="AG168" s="21"/>
      <c r="AH168" s="25"/>
    </row>
    <row r="169" ht="30.0" customHeight="1">
      <c r="B169" s="86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100"/>
      <c r="Y169" s="21"/>
      <c r="Z169" s="21"/>
      <c r="AA169" s="21"/>
      <c r="AB169" s="21"/>
      <c r="AC169" s="21"/>
      <c r="AD169" s="21"/>
      <c r="AE169" s="21"/>
      <c r="AF169" s="21"/>
      <c r="AG169" s="21"/>
      <c r="AH169" s="25"/>
    </row>
    <row r="170" ht="30.0" customHeight="1">
      <c r="B170" s="26" t="str">
        <f>Mayo!MonthName&amp;" Total"</f>
        <v>Mayo Total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>
        <f>SUM(C170:AG170)</f>
        <v>0</v>
      </c>
    </row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</sheetData>
  <mergeCells count="16">
    <mergeCell ref="B1:N1"/>
    <mergeCell ref="D2:F2"/>
    <mergeCell ref="H2:J2"/>
    <mergeCell ref="L2:N2"/>
    <mergeCell ref="P2:S2"/>
    <mergeCell ref="U2:X2"/>
    <mergeCell ref="C4:AG4"/>
    <mergeCell ref="C144:AG144"/>
    <mergeCell ref="C158:AG158"/>
    <mergeCell ref="C18:AG18"/>
    <mergeCell ref="C32:AG32"/>
    <mergeCell ref="C51:AG51"/>
    <mergeCell ref="C76:AG76"/>
    <mergeCell ref="C97:AG97"/>
    <mergeCell ref="C116:AG116"/>
    <mergeCell ref="C130:AG130"/>
  </mergeCells>
  <conditionalFormatting sqref="C7 D7:E15 F7:F10 G7:G15 I7:I9 K7:L15 M7:M10 N7:N15 P7:P15 Q7 R7:R8 T7:T8 U7:U15 V7:V10 W7:W8 Y7:Y10 AA7:AA8 AB7:AB15 AD7:AD8 AE7:AG15 S8:S15 X8:X14 Z8:Z15 AC8:AC15 H9:H15 O9:O15 Q9:Q15 C10:C15 J10:J15 R10:R15 T10:T11 W10:W15 AA10 AD10:AD15 I11:I15 V12:V15 Y12:Y15 T13:T15 AA13 F14:F15 M14:M15 AA15 U21:V21 V24 E35 F35:F38 K35:K48 L35:L37 M35:M38 O35 P35:P48 Q35 S35 T35:T36 U35:U48 V35:V38 W35:W36 X35 Y35:Y38 Z35 AA35:AA36 AB35:AB43 AC35:AC48 AE35 AG35:AG48 D36:D48 G36:G48 I36:I37 N36:N48 R36 AD36 AF36:AF40 E37 S37 Z37 AE37:AE40 C38:C48 H38:H40 J38:J48 O38:O48 Q38:R40 T38:T39 W38:W48 X38:X43 AA38 AD38:AD40 I39:I48 L39 S39 Z39:Z48 V40:V48 Y40:Y48 E41:E48 T41:T48 AA41 F42:F48 H42:H48 L42:M48 Q42:Q48 AD42:AD43 AE42:AF48 S44:S48 AA44:AA48 R45:R48 AB45:AB48 AD47:AD48 C54:C55 E54 F54:F57 G54:G58 K54:K58 L54:L55 M54:M57 N54:N59 P54:P73 Q54 S54:S56 T54:T55 U54:U68 V54:V57 W54:W73 Y54:Y57 Z54:AD55 AG54:AG73 I55:I56 R55 X55:X58 AE55:AE58 AF55 D56:D73 H56:H73 O56:O62 C57:C73 J57:J62 Q57:Q63 R57:R59 T57:T58 AA57 AB57:AB68 AC57:AC62 AD57:AD58 AF57:AF60 I58:I60 L58:L64 S58:S64 Z58:Z61 E59:E73 V59:V73 Y59:Y61 K60:K61 T60:T73 X60:X61 AA60 AD60 AE60:AE61 F61:F73 M61:M73 G62:G73 N62 R62 AA62:AA73 AD62:AD68 I63:I73 K63:K73 Z63:Z64 AE63 R64:R67 Y64:Y68 AF64:AF67 J65:J73 N65:O73 AC65:AC66 AE65:AE66 Q66 S66:S67 Z66:Z73 L67:L73 Q68:Q73 AC68:AC69 AE68:AE69 R69:S73 U70:U73 Y70:Y73 AB70:AB73 AD70:AD73 AF70:AF73 AC72:AC73 AE72:AE73 C79:C94 E79:F82 G79 I79:I81 M79:M82 N79:O79 P79:P94 Q79 T79:T80 U79 V79:V82 W79:W80 X79:X81 AA79:AA80 AB79 AC79:AC81 AD79:AD80 AE79:AE86 AG79:AG94 K80:K94 R80 S80:S88 Y80:Y81 AF80:AF81 H81 O81 Q81:Q84 L82 N82:N94 T82:T83 W82:W94 Z82:AA82 D83:D94 G83:G86 H83:H84 I83:I88 J83:J84 O83:O84 R83:R87 U83:U85 X83:X86 AB83:AB87 AC83:AC86 AD83:AD87 AF83:AF87 V84:V94 Y84 E85:E94 L85:L88 T85:T94 Z85:Z88 AA85 F86:F94 M86:M94 Y86:Y87 J87:J88 U87 AA87:AA94 H88:H94 Q88:Q94 AC88 AE88:AE91 G89:G94 O89:O94 U89:U94 AB89:AB90 AD89:AD94 I90:J94 L90:L94 R90:R94 S90 Y90:Y94 Z90:Z91 AC90:AC94 AF90:AF94 S92:S94 AB92:AB94 Z93:Z94 AE93:AE94 C100:C113 E100:E101 F100:F103 G100:G101 L100:L109 M100:M103 N100:N101 O100 P100:P113 Q100 S100:U101 V100:V103 W100:W101 X100:X102 Y100:Y103 AA100:AB101 AC100:AC102 AE100:AE102 AG100:AG113 R101 Z101 AD101 H102:I102 K102:K113 O102:O104 Q102 AF102:AF109 D103:E113 G103:G113 J103 N103 T103:T104 W103:W113 AA103 AB103:AB107 I104:I106 Q104 R104:R106 S104:S109 U104:U110 X104 Z104:Z113 AC104 AD104:AD110 AE104 N105:N113 Y105:Y106 J106:J108 T106:T113 AA106 F107:F113 H107:H113 M107:M113 O107:O108 Q107 V107 X107 AC107:AC108 AE107:AE108 R108 Y108 AA108:AA113 I109:I113 AB109:AB110 O110:O113 R110:R113 V110:V113 Y110:Y113 AC110:AC113 AE110:AE113 J111:J113 L111:L113 Q111:Q113 S111:S113 AF111:AF113 U112:U113 AB112:AB113 AD112:AD113 C119 D119:D127 F119:F122 G119:G121 I119:I121 K119:K127 M119:M122 N119:N127 O119 P119:P127 Q119 R119:R120 S119:S122 T119:T120 U119:U121 V119 W119:W120 X119:X126 Y119:Y122 Z119:Z127 AA119:AA120 AB119:AB127 AC119 AD119:AD120 AE119:AE127 AF119:AF120 AG119:AG127 L120:L127 E121:E127 O121:O127 C122:C127 H122:H127 J122:J127 Q122:Q127 R122 T122:T123 V122 W122:W127 AA122 AC122:AC127 AF122 G123:G127 I123:I127 U123:U127 AD123:AD127 R124:S127 V124:V127 Y124:Y127 AF124:AF127 T125:T127 AA125 F126:F127 M126:M127 AA127 C133 D133:E141 F133:F136 L133:L141 M133:M136 O133 P133:P141 Q133 T133:T134 V133:V136 W133:W134 X133:X140 Z133:Z141 AA133:AA134 AB133:AB135 AC133:AC141 AE133:AE141 AG133:AG141 G134:G135 I134 K134 N134:N141 R134 U134:U135 Y134 AD134 AF134:AF135 H135:H141 O135:O141 Q135:Q141 S135:S141 C136:C141 J136:J141 R136 T136:T137 W136:W141 AA136 AD136 G137:G141 I137:I141 K137:K141 AF137:AF141 R138:R141 U138:V141 Y138:Y141 AB138:AB141 AD138:AD141 T139:T141 AA139 F140:F141 M140:M141 AA141 C147 D147:D155 F147:F150 G147:G155 I147:I149 K147:K155 M147:M150 N147:N155 O147 P147:P155 R147:R148 S147 T147:T148 U147:U155 V147 W147:W148 Y147:Y150 AA147:AA148 AB147:AB155 AD147:AD148 AF147:AG155 E148:E155 L148:L155 X148:X154 AC148:AC155 AE148:AE155 H149:H155 O149:O155 Q149:Q155 S149:S155 V149:V150 Z149:Z155 C150:C155 J150:J155 R150:R155 T150:T151 W150:W155 AA150 AD150:AD155 I151:I155 V152:V155 Y152:Y155 T153:T155 AA153 F154:F155 M154:M155 AA155 C161 D161:E169 F161:F164 I161:I163 K161:L169 M161:M164 N161:N169 O161 P161:P169 Q161 R161:R162 S161:S169 T161:T162 U161:U169 V161:V164 W161:W162 X161:X168 Y161:Y164 Z161:Z169 AA161:AA162 AB161:AC169 AD161:AD162 AE161:AG169 G162:G169 H163:H169 O163:O169 Q163:Q169 C164:C169 J164:J169 R164:R169 T164:T165 W164:W169 AA164 AD164:AD169 I165:I169 V166:V169 Y166:Y169 T167:T169 AA167 F168:F169 M168:M169 AA169">
    <cfRule type="expression" dxfId="5" priority="1" stopIfTrue="1">
      <formula>C7=""</formula>
    </cfRule>
  </conditionalFormatting>
  <dataValidations>
    <dataValidation type="list" allowBlank="1" showErrorMessage="1" sqref="B7:B15 B21:B29 B35:B48 B54:B73 B79:B94 B100:B113 B119:B127 B133:B141 B147:B155 B161:B169">
      <formula1>'Nombres de los alumnos '!$B$4:$B$1019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F2E8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197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2" t="s">
        <v>258</v>
      </c>
      <c r="C4" s="80" t="s">
        <v>259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32">
        <f>CalendarioAño</f>
        <v>2025</v>
      </c>
    </row>
    <row r="5" ht="15.0" customHeight="1">
      <c r="B5" s="32"/>
      <c r="C5" s="16" t="str">
        <f>TEXT(WEEKDAY(DATE(CalendarioAño,6,1),1),"ddd")</f>
        <v>dom</v>
      </c>
      <c r="D5" s="16" t="str">
        <f>TEXT(WEEKDAY(DATE(CalendarioAño,6,2),1),"ddd")</f>
        <v>lun</v>
      </c>
      <c r="E5" s="16" t="str">
        <f>TEXT(WEEKDAY(DATE(CalendarioAño,6,3),1),"ddd")</f>
        <v>mar</v>
      </c>
      <c r="F5" s="16" t="str">
        <f>TEXT(WEEKDAY(DATE(CalendarioAño,6,4),1),"ddd")</f>
        <v>mié</v>
      </c>
      <c r="G5" s="16" t="str">
        <f>TEXT(WEEKDAY(DATE(CalendarioAño,6,5),1),"ddd")</f>
        <v>jue</v>
      </c>
      <c r="H5" s="16" t="str">
        <f>TEXT(WEEKDAY(DATE(CalendarioAño,6,6),1),"ddd")</f>
        <v>vie</v>
      </c>
      <c r="I5" s="16" t="str">
        <f>TEXT(WEEKDAY(DATE(CalendarioAño,6,7),1),"ddd")</f>
        <v>sáb</v>
      </c>
      <c r="J5" s="16" t="str">
        <f>TEXT(WEEKDAY(DATE(CalendarioAño,6,8),1),"ddd")</f>
        <v>dom</v>
      </c>
      <c r="K5" s="16" t="str">
        <f>TEXT(WEEKDAY(DATE(CalendarioAño,6,9),1),"ddd")</f>
        <v>lun</v>
      </c>
      <c r="L5" s="16" t="str">
        <f>TEXT(WEEKDAY(DATE(CalendarioAño,6,10),1),"ddd")</f>
        <v>mar</v>
      </c>
      <c r="M5" s="16" t="str">
        <f>TEXT(WEEKDAY(DATE(CalendarioAño,6,11),1),"ddd")</f>
        <v>mié</v>
      </c>
      <c r="N5" s="16" t="str">
        <f>TEXT(WEEKDAY(DATE(CalendarioAño,6,12),1),"ddd")</f>
        <v>jue</v>
      </c>
      <c r="O5" s="16" t="str">
        <f>TEXT(WEEKDAY(DATE(CalendarioAño,6,13),1),"ddd")</f>
        <v>vie</v>
      </c>
      <c r="P5" s="16" t="str">
        <f>TEXT(WEEKDAY(DATE(CalendarioAño,6,14),1),"ddd")</f>
        <v>sáb</v>
      </c>
      <c r="Q5" s="16" t="str">
        <f>TEXT(WEEKDAY(DATE(CalendarioAño,6,15),1),"ddd")</f>
        <v>dom</v>
      </c>
      <c r="R5" s="16" t="str">
        <f>TEXT(WEEKDAY(DATE(CalendarioAño,6,16),1),"ddd")</f>
        <v>lun</v>
      </c>
      <c r="S5" s="16" t="str">
        <f>TEXT(WEEKDAY(DATE(CalendarioAño,6,17),1),"ddd")</f>
        <v>mar</v>
      </c>
      <c r="T5" s="16" t="str">
        <f>TEXT(WEEKDAY(DATE(CalendarioAño,6,18),1),"ddd")</f>
        <v>mié</v>
      </c>
      <c r="U5" s="16" t="str">
        <f>TEXT(WEEKDAY(DATE(CalendarioAño,6,19),1),"ddd")</f>
        <v>jue</v>
      </c>
      <c r="V5" s="16" t="str">
        <f>TEXT(WEEKDAY(DATE(CalendarioAño,6,20),1),"ddd")</f>
        <v>vie</v>
      </c>
      <c r="W5" s="16" t="str">
        <f>TEXT(WEEKDAY(DATE(CalendarioAño,6,21),1),"ddd")</f>
        <v>sáb</v>
      </c>
      <c r="X5" s="16" t="str">
        <f>TEXT(WEEKDAY(DATE(CalendarioAño,6,22),1),"ddd")</f>
        <v>dom</v>
      </c>
      <c r="Y5" s="16" t="str">
        <f>TEXT(WEEKDAY(DATE(CalendarioAño,6,23),1),"ddd")</f>
        <v>lun</v>
      </c>
      <c r="Z5" s="16" t="str">
        <f>TEXT(WEEKDAY(DATE(CalendarioAño,6,24),1),"ddd")</f>
        <v>mar</v>
      </c>
      <c r="AA5" s="16" t="str">
        <f>TEXT(WEEKDAY(DATE(CalendarioAño,6,25),1),"ddd")</f>
        <v>mié</v>
      </c>
      <c r="AB5" s="16" t="str">
        <f>TEXT(WEEKDAY(DATE(CalendarioAño,6,26),1),"ddd")</f>
        <v>jue</v>
      </c>
      <c r="AC5" s="16" t="str">
        <f>TEXT(WEEKDAY(DATE(CalendarioAño,6,27),1),"ddd")</f>
        <v>vie</v>
      </c>
      <c r="AD5" s="16" t="str">
        <f>TEXT(WEEKDAY(DATE(CalendarioAño,6,28),1),"ddd")</f>
        <v>sáb</v>
      </c>
      <c r="AE5" s="16" t="str">
        <f>TEXT(WEEKDAY(DATE(CalendarioAño,6,29),1),"ddd")</f>
        <v>dom</v>
      </c>
      <c r="AF5" s="16" t="str">
        <f>TEXT(WEEKDAY(DATE(CalendarioAño,6,30),1),"ddd")</f>
        <v>lun</v>
      </c>
      <c r="AG5" s="16"/>
      <c r="AH5" s="32"/>
    </row>
    <row r="6" ht="15.0" customHeight="1">
      <c r="A6" s="17"/>
      <c r="B6" s="33" t="s">
        <v>202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89</v>
      </c>
      <c r="AH6" s="19" t="s">
        <v>220</v>
      </c>
    </row>
    <row r="7" ht="30.0" customHeight="1">
      <c r="B7" s="20" t="s">
        <v>260</v>
      </c>
      <c r="C7" s="100"/>
      <c r="D7" s="21"/>
      <c r="E7" s="10" t="s">
        <v>6</v>
      </c>
      <c r="F7" s="21"/>
      <c r="G7" s="21"/>
      <c r="H7" s="21"/>
      <c r="I7" s="21"/>
      <c r="J7" s="100"/>
      <c r="K7" s="21"/>
      <c r="L7" s="10" t="s">
        <v>6</v>
      </c>
      <c r="M7" s="21"/>
      <c r="N7" s="10" t="s">
        <v>6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5"/>
    </row>
    <row r="8" ht="30.0" customHeight="1">
      <c r="B8" s="86"/>
      <c r="C8" s="100"/>
      <c r="D8" s="21"/>
      <c r="E8" s="21"/>
      <c r="F8" s="21"/>
      <c r="G8" s="21"/>
      <c r="H8" s="21"/>
      <c r="I8" s="21"/>
      <c r="J8" s="100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5"/>
    </row>
    <row r="9" ht="30.0" customHeight="1">
      <c r="B9" s="86"/>
      <c r="C9" s="100"/>
      <c r="D9" s="21"/>
      <c r="E9" s="21"/>
      <c r="F9" s="21"/>
      <c r="G9" s="21"/>
      <c r="H9" s="21"/>
      <c r="I9" s="100"/>
      <c r="J9" s="100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5"/>
    </row>
    <row r="10" ht="30.0" customHeight="1">
      <c r="B10" s="26" t="str">
        <f>Junio!MonthName&amp;" Total"</f>
        <v>Junio Total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ht="30.0" customHeight="1"/>
    <row r="12" ht="30.0" customHeight="1">
      <c r="B12" s="32" t="s">
        <v>258</v>
      </c>
      <c r="C12" s="80" t="s">
        <v>261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32">
        <f>CalendarioAño</f>
        <v>2025</v>
      </c>
    </row>
    <row r="13" ht="30.0" customHeight="1">
      <c r="B13" s="32"/>
      <c r="C13" s="16" t="str">
        <f>TEXT(WEEKDAY(DATE(CalendarioAño,6,1),1),"ddd")</f>
        <v>dom</v>
      </c>
      <c r="D13" s="16" t="str">
        <f>TEXT(WEEKDAY(DATE(CalendarioAño,6,2),1),"ddd")</f>
        <v>lun</v>
      </c>
      <c r="E13" s="16" t="str">
        <f>TEXT(WEEKDAY(DATE(CalendarioAño,6,3),1),"ddd")</f>
        <v>mar</v>
      </c>
      <c r="F13" s="16" t="str">
        <f>TEXT(WEEKDAY(DATE(CalendarioAño,6,4),1),"ddd")</f>
        <v>mié</v>
      </c>
      <c r="G13" s="16" t="str">
        <f>TEXT(WEEKDAY(DATE(CalendarioAño,6,5),1),"ddd")</f>
        <v>jue</v>
      </c>
      <c r="H13" s="16" t="str">
        <f>TEXT(WEEKDAY(DATE(CalendarioAño,6,6),1),"ddd")</f>
        <v>vie</v>
      </c>
      <c r="I13" s="16" t="str">
        <f>TEXT(WEEKDAY(DATE(CalendarioAño,6,7),1),"ddd")</f>
        <v>sáb</v>
      </c>
      <c r="J13" s="16" t="str">
        <f>TEXT(WEEKDAY(DATE(CalendarioAño,6,8),1),"ddd")</f>
        <v>dom</v>
      </c>
      <c r="K13" s="16" t="str">
        <f>TEXT(WEEKDAY(DATE(CalendarioAño,6,9),1),"ddd")</f>
        <v>lun</v>
      </c>
      <c r="L13" s="16" t="str">
        <f>TEXT(WEEKDAY(DATE(CalendarioAño,6,10),1),"ddd")</f>
        <v>mar</v>
      </c>
      <c r="M13" s="16" t="str">
        <f>TEXT(WEEKDAY(DATE(CalendarioAño,6,11),1),"ddd")</f>
        <v>mié</v>
      </c>
      <c r="N13" s="16" t="str">
        <f>TEXT(WEEKDAY(DATE(CalendarioAño,6,12),1),"ddd")</f>
        <v>jue</v>
      </c>
      <c r="O13" s="16" t="str">
        <f>TEXT(WEEKDAY(DATE(CalendarioAño,6,13),1),"ddd")</f>
        <v>vie</v>
      </c>
      <c r="P13" s="16" t="str">
        <f>TEXT(WEEKDAY(DATE(CalendarioAño,6,14),1),"ddd")</f>
        <v>sáb</v>
      </c>
      <c r="Q13" s="16" t="str">
        <f>TEXT(WEEKDAY(DATE(CalendarioAño,6,15),1),"ddd")</f>
        <v>dom</v>
      </c>
      <c r="R13" s="16" t="str">
        <f>TEXT(WEEKDAY(DATE(CalendarioAño,6,16),1),"ddd")</f>
        <v>lun</v>
      </c>
      <c r="S13" s="16" t="str">
        <f>TEXT(WEEKDAY(DATE(CalendarioAño,6,17),1),"ddd")</f>
        <v>mar</v>
      </c>
      <c r="T13" s="16" t="str">
        <f>TEXT(WEEKDAY(DATE(CalendarioAño,6,18),1),"ddd")</f>
        <v>mié</v>
      </c>
      <c r="U13" s="16" t="str">
        <f>TEXT(WEEKDAY(DATE(CalendarioAño,6,19),1),"ddd")</f>
        <v>jue</v>
      </c>
      <c r="V13" s="16" t="str">
        <f>TEXT(WEEKDAY(DATE(CalendarioAño,6,20),1),"ddd")</f>
        <v>vie</v>
      </c>
      <c r="W13" s="16" t="str">
        <f>TEXT(WEEKDAY(DATE(CalendarioAño,6,21),1),"ddd")</f>
        <v>sáb</v>
      </c>
      <c r="X13" s="16" t="str">
        <f>TEXT(WEEKDAY(DATE(CalendarioAño,6,22),1),"ddd")</f>
        <v>dom</v>
      </c>
      <c r="Y13" s="16" t="str">
        <f>TEXT(WEEKDAY(DATE(CalendarioAño,6,23),1),"ddd")</f>
        <v>lun</v>
      </c>
      <c r="Z13" s="16" t="str">
        <f>TEXT(WEEKDAY(DATE(CalendarioAño,6,24),1),"ddd")</f>
        <v>mar</v>
      </c>
      <c r="AA13" s="16" t="str">
        <f>TEXT(WEEKDAY(DATE(CalendarioAño,6,25),1),"ddd")</f>
        <v>mié</v>
      </c>
      <c r="AB13" s="16" t="str">
        <f>TEXT(WEEKDAY(DATE(CalendarioAño,6,26),1),"ddd")</f>
        <v>jue</v>
      </c>
      <c r="AC13" s="16" t="str">
        <f>TEXT(WEEKDAY(DATE(CalendarioAño,6,27),1),"ddd")</f>
        <v>vie</v>
      </c>
      <c r="AD13" s="16" t="str">
        <f>TEXT(WEEKDAY(DATE(CalendarioAño,6,28),1),"ddd")</f>
        <v>sáb</v>
      </c>
      <c r="AE13" s="16" t="str">
        <f>TEXT(WEEKDAY(DATE(CalendarioAño,6,29),1),"ddd")</f>
        <v>dom</v>
      </c>
      <c r="AF13" s="16" t="str">
        <f>TEXT(WEEKDAY(DATE(CalendarioAño,6,30),1),"ddd")</f>
        <v>lun</v>
      </c>
      <c r="AG13" s="16"/>
      <c r="AH13" s="32"/>
    </row>
    <row r="14" ht="30.0" customHeight="1">
      <c r="A14" s="111"/>
      <c r="B14" s="33" t="s">
        <v>202</v>
      </c>
      <c r="C14" s="19" t="s">
        <v>15</v>
      </c>
      <c r="D14" s="19" t="s">
        <v>16</v>
      </c>
      <c r="E14" s="19" t="s">
        <v>17</v>
      </c>
      <c r="F14" s="19" t="s">
        <v>18</v>
      </c>
      <c r="G14" s="19" t="s">
        <v>19</v>
      </c>
      <c r="H14" s="19" t="s">
        <v>20</v>
      </c>
      <c r="I14" s="19" t="s">
        <v>21</v>
      </c>
      <c r="J14" s="19" t="s">
        <v>22</v>
      </c>
      <c r="K14" s="19" t="s">
        <v>23</v>
      </c>
      <c r="L14" s="19" t="s">
        <v>24</v>
      </c>
      <c r="M14" s="19" t="s">
        <v>25</v>
      </c>
      <c r="N14" s="19" t="s">
        <v>26</v>
      </c>
      <c r="O14" s="19" t="s">
        <v>27</v>
      </c>
      <c r="P14" s="19" t="s">
        <v>28</v>
      </c>
      <c r="Q14" s="19" t="s">
        <v>29</v>
      </c>
      <c r="R14" s="19" t="s">
        <v>30</v>
      </c>
      <c r="S14" s="19" t="s">
        <v>31</v>
      </c>
      <c r="T14" s="19" t="s">
        <v>32</v>
      </c>
      <c r="U14" s="19" t="s">
        <v>33</v>
      </c>
      <c r="V14" s="19" t="s">
        <v>34</v>
      </c>
      <c r="W14" s="19" t="s">
        <v>35</v>
      </c>
      <c r="X14" s="19" t="s">
        <v>36</v>
      </c>
      <c r="Y14" s="19" t="s">
        <v>37</v>
      </c>
      <c r="Z14" s="19" t="s">
        <v>38</v>
      </c>
      <c r="AA14" s="19" t="s">
        <v>39</v>
      </c>
      <c r="AB14" s="19" t="s">
        <v>40</v>
      </c>
      <c r="AC14" s="19" t="s">
        <v>41</v>
      </c>
      <c r="AD14" s="19" t="s">
        <v>42</v>
      </c>
      <c r="AE14" s="19" t="s">
        <v>43</v>
      </c>
      <c r="AF14" s="19" t="s">
        <v>44</v>
      </c>
      <c r="AG14" s="19" t="s">
        <v>89</v>
      </c>
      <c r="AH14" s="19" t="s">
        <v>220</v>
      </c>
    </row>
    <row r="15" ht="30.0" customHeight="1">
      <c r="B15" s="20" t="s">
        <v>262</v>
      </c>
      <c r="C15" s="109"/>
      <c r="D15" s="10" t="s">
        <v>6</v>
      </c>
      <c r="E15" s="10" t="s">
        <v>6</v>
      </c>
      <c r="F15" s="21"/>
      <c r="G15" s="21"/>
      <c r="H15" s="10" t="s">
        <v>6</v>
      </c>
      <c r="I15" s="21"/>
      <c r="J15" s="21"/>
      <c r="K15" s="21"/>
      <c r="L15" s="21"/>
      <c r="M15" s="10" t="s">
        <v>6</v>
      </c>
      <c r="N15" s="21"/>
      <c r="O15" s="100"/>
      <c r="P15" s="21"/>
      <c r="Q15" s="21"/>
      <c r="R15" s="21"/>
      <c r="S15" s="10" t="s">
        <v>6</v>
      </c>
      <c r="T15" s="10" t="s">
        <v>6</v>
      </c>
      <c r="U15" s="21"/>
      <c r="V15" s="10" t="s">
        <v>6</v>
      </c>
      <c r="W15" s="21"/>
      <c r="X15" s="21"/>
      <c r="Y15" s="21"/>
      <c r="Z15" s="21"/>
      <c r="AA15" s="21"/>
      <c r="AB15" s="21"/>
      <c r="AC15" s="100"/>
      <c r="AD15" s="21"/>
      <c r="AE15" s="21"/>
      <c r="AF15" s="21"/>
      <c r="AG15" s="21"/>
      <c r="AH15" s="25"/>
    </row>
    <row r="16" ht="30.0" customHeight="1">
      <c r="B16" s="20" t="s">
        <v>263</v>
      </c>
      <c r="C16" s="109"/>
      <c r="D16" s="21"/>
      <c r="E16" s="10" t="s">
        <v>6</v>
      </c>
      <c r="F16" s="21"/>
      <c r="G16" s="10" t="s">
        <v>6</v>
      </c>
      <c r="H16" s="21"/>
      <c r="I16" s="21"/>
      <c r="J16" s="21"/>
      <c r="K16" s="21"/>
      <c r="L16" s="10" t="s">
        <v>6</v>
      </c>
      <c r="M16" s="100"/>
      <c r="N16" s="21"/>
      <c r="O16" s="21"/>
      <c r="P16" s="21"/>
      <c r="Q16" s="21"/>
      <c r="R16" s="21"/>
      <c r="S16" s="10" t="s">
        <v>6</v>
      </c>
      <c r="T16" s="100"/>
      <c r="U16" s="10" t="s">
        <v>6</v>
      </c>
      <c r="V16" s="21"/>
      <c r="W16" s="21"/>
      <c r="X16" s="21"/>
      <c r="Y16" s="21"/>
      <c r="Z16" s="10" t="s">
        <v>6</v>
      </c>
      <c r="AA16" s="21"/>
      <c r="AB16" s="21"/>
      <c r="AC16" s="100"/>
      <c r="AD16" s="21"/>
      <c r="AE16" s="21"/>
      <c r="AF16" s="21"/>
      <c r="AG16" s="21"/>
      <c r="AH16" s="25"/>
    </row>
    <row r="17" ht="30.0" customHeight="1">
      <c r="B17" s="20" t="s">
        <v>264</v>
      </c>
      <c r="C17" s="109"/>
      <c r="D17" s="21"/>
      <c r="E17" s="21"/>
      <c r="F17" s="21"/>
      <c r="G17" s="10" t="s">
        <v>6</v>
      </c>
      <c r="H17" s="21"/>
      <c r="I17" s="21"/>
      <c r="J17" s="21"/>
      <c r="K17" s="21"/>
      <c r="L17" s="10" t="s">
        <v>6</v>
      </c>
      <c r="M17" s="100"/>
      <c r="N17" s="10" t="s">
        <v>6</v>
      </c>
      <c r="O17" s="100"/>
      <c r="P17" s="21"/>
      <c r="Q17" s="21"/>
      <c r="R17" s="21"/>
      <c r="S17" s="21"/>
      <c r="T17" s="100"/>
      <c r="U17" s="10" t="s">
        <v>6</v>
      </c>
      <c r="V17" s="21"/>
      <c r="W17" s="21"/>
      <c r="X17" s="21"/>
      <c r="Y17" s="21"/>
      <c r="Z17" s="21"/>
      <c r="AA17" s="21"/>
      <c r="AB17" s="21"/>
      <c r="AC17" s="100"/>
      <c r="AD17" s="21"/>
      <c r="AE17" s="21"/>
      <c r="AF17" s="21"/>
      <c r="AG17" s="21"/>
      <c r="AH17" s="25"/>
    </row>
    <row r="18" ht="30.0" customHeight="1">
      <c r="B18" s="20" t="s">
        <v>205</v>
      </c>
      <c r="C18" s="100"/>
      <c r="D18" s="21"/>
      <c r="E18" s="21"/>
      <c r="F18" s="21"/>
      <c r="G18" s="21"/>
      <c r="H18" s="21"/>
      <c r="I18" s="21"/>
      <c r="J18" s="21"/>
      <c r="K18" s="21"/>
      <c r="L18" s="10" t="s">
        <v>6</v>
      </c>
      <c r="M18" s="21"/>
      <c r="N18" s="10" t="s">
        <v>6</v>
      </c>
      <c r="O18" s="21"/>
      <c r="P18" s="21"/>
      <c r="Q18" s="21"/>
      <c r="R18" s="21"/>
      <c r="S18" s="10" t="s">
        <v>6</v>
      </c>
      <c r="T18" s="21"/>
      <c r="U18" s="10" t="s">
        <v>6</v>
      </c>
      <c r="V18" s="21"/>
      <c r="W18" s="21"/>
      <c r="X18" s="21"/>
      <c r="Y18" s="21"/>
      <c r="Z18" s="21"/>
      <c r="AA18" s="21"/>
      <c r="AB18" s="10" t="s">
        <v>6</v>
      </c>
      <c r="AC18" s="21"/>
      <c r="AD18" s="21"/>
      <c r="AE18" s="21"/>
      <c r="AF18" s="21"/>
      <c r="AG18" s="21"/>
      <c r="AH18" s="25"/>
    </row>
    <row r="19" ht="30.0" customHeight="1">
      <c r="B19" s="20" t="s">
        <v>265</v>
      </c>
      <c r="C19" s="100"/>
      <c r="D19" s="21"/>
      <c r="E19" s="21"/>
      <c r="F19" s="21"/>
      <c r="G19" s="21"/>
      <c r="H19" s="21"/>
      <c r="I19" s="100"/>
      <c r="J19" s="100"/>
      <c r="K19" s="21"/>
      <c r="L19" s="21"/>
      <c r="M19" s="21"/>
      <c r="N19" s="21"/>
      <c r="O19" s="21"/>
      <c r="P19" s="10" t="s">
        <v>6</v>
      </c>
      <c r="Q19" s="21"/>
      <c r="R19" s="21"/>
      <c r="S19" s="21"/>
      <c r="T19" s="21"/>
      <c r="U19" s="21"/>
      <c r="V19" s="21"/>
      <c r="W19" s="10" t="s">
        <v>6</v>
      </c>
      <c r="X19" s="21"/>
      <c r="Y19" s="21"/>
      <c r="Z19" s="21"/>
      <c r="AA19" s="21"/>
      <c r="AB19" s="21"/>
      <c r="AC19" s="100"/>
      <c r="AD19" s="10" t="s">
        <v>6</v>
      </c>
      <c r="AE19" s="21"/>
      <c r="AF19" s="21"/>
      <c r="AG19" s="21"/>
      <c r="AH19" s="25"/>
    </row>
    <row r="20" ht="30.0" customHeight="1">
      <c r="B20" s="20" t="s">
        <v>266</v>
      </c>
      <c r="C20" s="100"/>
      <c r="D20" s="21"/>
      <c r="E20" s="21"/>
      <c r="F20" s="21"/>
      <c r="G20" s="21"/>
      <c r="H20" s="21"/>
      <c r="I20" s="21"/>
      <c r="J20" s="100"/>
      <c r="K20" s="21"/>
      <c r="L20" s="21"/>
      <c r="M20" s="100"/>
      <c r="N20" s="21"/>
      <c r="O20" s="100"/>
      <c r="P20" s="21"/>
      <c r="Q20" s="21"/>
      <c r="R20" s="21"/>
      <c r="S20" s="21"/>
      <c r="T20" s="100"/>
      <c r="U20" s="100"/>
      <c r="V20" s="21"/>
      <c r="W20" s="21"/>
      <c r="X20" s="21"/>
      <c r="Y20" s="21"/>
      <c r="Z20" s="10" t="s">
        <v>6</v>
      </c>
      <c r="AA20" s="21"/>
      <c r="AB20" s="21"/>
      <c r="AC20" s="21"/>
      <c r="AD20" s="21"/>
      <c r="AE20" s="21"/>
      <c r="AF20" s="21"/>
      <c r="AG20" s="21"/>
      <c r="AH20" s="25"/>
    </row>
    <row r="21" ht="30.0" customHeight="1">
      <c r="B21" s="86"/>
      <c r="C21" s="100"/>
      <c r="D21" s="21"/>
      <c r="E21" s="21"/>
      <c r="F21" s="21"/>
      <c r="G21" s="100"/>
      <c r="H21" s="100"/>
      <c r="I21" s="21"/>
      <c r="J21" s="100"/>
      <c r="K21" s="21"/>
      <c r="L21" s="21"/>
      <c r="M21" s="100"/>
      <c r="N21" s="21"/>
      <c r="O21" s="100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5"/>
    </row>
    <row r="22" ht="30.0" customHeight="1">
      <c r="B22" s="86"/>
      <c r="C22" s="100"/>
      <c r="D22" s="21"/>
      <c r="E22" s="21"/>
      <c r="F22" s="21"/>
      <c r="G22" s="100"/>
      <c r="H22" s="21"/>
      <c r="I22" s="21"/>
      <c r="J22" s="100"/>
      <c r="K22" s="21"/>
      <c r="L22" s="21"/>
      <c r="M22" s="21"/>
      <c r="N22" s="100"/>
      <c r="O22" s="21"/>
      <c r="P22" s="21"/>
      <c r="Q22" s="21"/>
      <c r="R22" s="21"/>
      <c r="S22" s="21"/>
      <c r="T22" s="21"/>
      <c r="U22" s="100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5"/>
    </row>
    <row r="23" ht="30.0" customHeight="1">
      <c r="B23" s="86"/>
      <c r="C23" s="21"/>
      <c r="D23" s="21"/>
      <c r="E23" s="100"/>
      <c r="F23" s="21"/>
      <c r="G23" s="100"/>
      <c r="H23" s="21"/>
      <c r="I23" s="100"/>
      <c r="J23" s="21"/>
      <c r="K23" s="21"/>
      <c r="L23" s="100"/>
      <c r="M23" s="21"/>
      <c r="N23" s="100"/>
      <c r="O23" s="21"/>
      <c r="P23" s="21"/>
      <c r="Q23" s="21"/>
      <c r="R23" s="21"/>
      <c r="S23" s="100"/>
      <c r="T23" s="21"/>
      <c r="U23" s="100"/>
      <c r="V23" s="21"/>
      <c r="W23" s="21"/>
      <c r="X23" s="21"/>
      <c r="Y23" s="21"/>
      <c r="Z23" s="100"/>
      <c r="AA23" s="21"/>
      <c r="AB23" s="21"/>
      <c r="AC23" s="100"/>
      <c r="AD23" s="21"/>
      <c r="AE23" s="21"/>
      <c r="AF23" s="21"/>
      <c r="AG23" s="21"/>
      <c r="AH23" s="25"/>
    </row>
    <row r="24" ht="30.0" customHeight="1">
      <c r="B24" s="86"/>
      <c r="C24" s="21"/>
      <c r="D24" s="21"/>
      <c r="E24" s="100"/>
      <c r="F24" s="21"/>
      <c r="G24" s="21"/>
      <c r="H24" s="100"/>
      <c r="I24" s="21"/>
      <c r="J24" s="21"/>
      <c r="K24" s="21"/>
      <c r="L24" s="100"/>
      <c r="M24" s="21"/>
      <c r="N24" s="21"/>
      <c r="O24" s="21"/>
      <c r="P24" s="100"/>
      <c r="Q24" s="21"/>
      <c r="R24" s="21"/>
      <c r="S24" s="21"/>
      <c r="T24" s="21"/>
      <c r="U24" s="21"/>
      <c r="V24" s="21"/>
      <c r="W24" s="21"/>
      <c r="X24" s="21"/>
      <c r="Y24" s="21"/>
      <c r="Z24" s="100"/>
      <c r="AA24" s="21"/>
      <c r="AB24" s="21"/>
      <c r="AC24" s="100"/>
      <c r="AD24" s="21"/>
      <c r="AE24" s="21"/>
      <c r="AF24" s="21"/>
      <c r="AG24" s="21"/>
      <c r="AH24" s="25"/>
    </row>
    <row r="25" ht="30.0" customHeight="1">
      <c r="B25" s="86"/>
      <c r="C25" s="21"/>
      <c r="D25" s="21"/>
      <c r="E25" s="21"/>
      <c r="F25" s="100"/>
      <c r="G25" s="21"/>
      <c r="H25" s="100"/>
      <c r="I25" s="21"/>
      <c r="J25" s="21"/>
      <c r="K25" s="21"/>
      <c r="L25" s="21"/>
      <c r="M25" s="21"/>
      <c r="N25" s="21"/>
      <c r="O25" s="21"/>
      <c r="P25" s="100"/>
      <c r="Q25" s="21"/>
      <c r="R25" s="21"/>
      <c r="S25" s="21"/>
      <c r="T25" s="100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5"/>
    </row>
    <row r="26" ht="30.0" customHeight="1">
      <c r="B26" s="86"/>
      <c r="C26" s="21"/>
      <c r="D26" s="21"/>
      <c r="E26" s="21"/>
      <c r="F26" s="100"/>
      <c r="G26" s="21"/>
      <c r="H26" s="21"/>
      <c r="I26" s="21"/>
      <c r="J26" s="21"/>
      <c r="K26" s="21"/>
      <c r="L26" s="21"/>
      <c r="M26" s="100"/>
      <c r="N26" s="21"/>
      <c r="O26" s="100"/>
      <c r="P26" s="21"/>
      <c r="Q26" s="21"/>
      <c r="R26" s="21"/>
      <c r="S26" s="21"/>
      <c r="T26" s="100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5"/>
    </row>
    <row r="27" ht="30.0" customHeight="1">
      <c r="B27" s="86"/>
      <c r="C27" s="21"/>
      <c r="D27" s="21"/>
      <c r="E27" s="21"/>
      <c r="F27" s="21"/>
      <c r="G27" s="100"/>
      <c r="H27" s="21"/>
      <c r="I27" s="21"/>
      <c r="J27" s="21"/>
      <c r="K27" s="21"/>
      <c r="L27" s="100"/>
      <c r="M27" s="21"/>
      <c r="N27" s="100"/>
      <c r="O27" s="21"/>
      <c r="P27" s="100"/>
      <c r="Q27" s="21"/>
      <c r="R27" s="21"/>
      <c r="S27" s="100"/>
      <c r="T27" s="21"/>
      <c r="U27" s="100"/>
      <c r="V27" s="21"/>
      <c r="W27" s="21"/>
      <c r="X27" s="21"/>
      <c r="Y27" s="21"/>
      <c r="Z27" s="100"/>
      <c r="AA27" s="21"/>
      <c r="AB27" s="21"/>
      <c r="AC27" s="21"/>
      <c r="AD27" s="21"/>
      <c r="AE27" s="21"/>
      <c r="AF27" s="21"/>
      <c r="AG27" s="21"/>
      <c r="AH27" s="25"/>
    </row>
    <row r="28" ht="30.0" customHeight="1">
      <c r="B28" s="86"/>
      <c r="C28" s="21"/>
      <c r="D28" s="21"/>
      <c r="E28" s="21"/>
      <c r="F28" s="21"/>
      <c r="G28" s="21"/>
      <c r="H28" s="21"/>
      <c r="I28" s="100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5"/>
    </row>
    <row r="29" ht="30.0" customHeight="1">
      <c r="B29" s="86"/>
      <c r="C29" s="21"/>
      <c r="D29" s="21"/>
      <c r="E29" s="21"/>
      <c r="F29" s="21"/>
      <c r="G29" s="21"/>
      <c r="H29" s="21"/>
      <c r="I29" s="21"/>
      <c r="J29" s="100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5"/>
    </row>
    <row r="30" ht="30.0" customHeight="1">
      <c r="B30" s="86"/>
      <c r="C30" s="21"/>
      <c r="D30" s="21"/>
      <c r="E30" s="21"/>
      <c r="F30" s="21"/>
      <c r="G30" s="100"/>
      <c r="H30" s="21"/>
      <c r="I30" s="21"/>
      <c r="J30" s="21"/>
      <c r="K30" s="21"/>
      <c r="L30" s="100"/>
      <c r="M30" s="21"/>
      <c r="N30" s="21"/>
      <c r="O30" s="100"/>
      <c r="P30" s="100"/>
      <c r="Q30" s="21"/>
      <c r="R30" s="21"/>
      <c r="S30" s="100"/>
      <c r="T30" s="21"/>
      <c r="U30" s="100"/>
      <c r="V30" s="21"/>
      <c r="W30" s="21"/>
      <c r="X30" s="21"/>
      <c r="Y30" s="21"/>
      <c r="Z30" s="100"/>
      <c r="AA30" s="21"/>
      <c r="AB30" s="21"/>
      <c r="AC30" s="21"/>
      <c r="AD30" s="21"/>
      <c r="AE30" s="21"/>
      <c r="AF30" s="21"/>
      <c r="AG30" s="21"/>
      <c r="AH30" s="25"/>
    </row>
    <row r="31" ht="30.0" customHeight="1">
      <c r="B31" s="86"/>
      <c r="C31" s="21"/>
      <c r="D31" s="21"/>
      <c r="E31" s="21"/>
      <c r="F31" s="21"/>
      <c r="G31" s="112"/>
      <c r="H31" s="21"/>
      <c r="I31" s="21"/>
      <c r="J31" s="21"/>
      <c r="K31" s="21"/>
      <c r="L31" s="112"/>
      <c r="M31" s="21"/>
      <c r="N31" s="21"/>
      <c r="O31" s="112"/>
      <c r="P31" s="21"/>
      <c r="Q31" s="21"/>
      <c r="R31" s="21"/>
      <c r="S31" s="21"/>
      <c r="T31" s="100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5"/>
    </row>
    <row r="32" ht="30.0" customHeight="1">
      <c r="B32" s="86"/>
      <c r="C32" s="21"/>
      <c r="D32" s="21"/>
      <c r="E32" s="21"/>
      <c r="F32" s="21"/>
      <c r="G32" s="112"/>
      <c r="H32" s="21"/>
      <c r="I32" s="21"/>
      <c r="J32" s="21"/>
      <c r="K32" s="21"/>
      <c r="L32" s="112"/>
      <c r="M32" s="21"/>
      <c r="N32" s="21"/>
      <c r="O32" s="112"/>
      <c r="P32" s="21"/>
      <c r="Q32" s="21"/>
      <c r="R32" s="21"/>
      <c r="S32" s="21"/>
      <c r="T32" s="109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5"/>
    </row>
    <row r="33" ht="30.0" customHeight="1">
      <c r="B33" s="86"/>
      <c r="C33" s="21"/>
      <c r="D33" s="21"/>
      <c r="E33" s="21"/>
      <c r="F33" s="21"/>
      <c r="G33" s="112"/>
      <c r="H33" s="21"/>
      <c r="I33" s="21"/>
      <c r="J33" s="21"/>
      <c r="K33" s="21"/>
      <c r="L33" s="112"/>
      <c r="M33" s="21"/>
      <c r="N33" s="21"/>
      <c r="O33" s="112"/>
      <c r="P33" s="21"/>
      <c r="Q33" s="21"/>
      <c r="R33" s="21"/>
      <c r="S33" s="21"/>
      <c r="T33" s="109"/>
      <c r="U33" s="21"/>
      <c r="V33" s="21"/>
      <c r="W33" s="21"/>
      <c r="X33" s="21"/>
      <c r="Y33" s="21"/>
      <c r="Z33" s="100"/>
      <c r="AA33" s="21"/>
      <c r="AB33" s="21"/>
      <c r="AC33" s="21"/>
      <c r="AD33" s="21"/>
      <c r="AE33" s="21"/>
      <c r="AF33" s="21"/>
      <c r="AG33" s="21"/>
      <c r="AH33" s="25"/>
    </row>
    <row r="34" ht="30.0" customHeight="1">
      <c r="B34" s="26" t="str">
        <f>Junio!MonthName&amp;" Total"</f>
        <v>Junio Total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 ht="30.0" customHeight="1"/>
    <row r="36" ht="30.0" customHeight="1">
      <c r="B36" s="32" t="s">
        <v>258</v>
      </c>
      <c r="C36" s="80" t="s">
        <v>267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32">
        <f>CalendarioAño</f>
        <v>2025</v>
      </c>
    </row>
    <row r="37" ht="30.0" customHeight="1">
      <c r="B37" s="32"/>
      <c r="C37" s="16" t="str">
        <f>TEXT(WEEKDAY(DATE(CalendarioAño,6,1),1),"ddd")</f>
        <v>dom</v>
      </c>
      <c r="D37" s="16" t="str">
        <f>TEXT(WEEKDAY(DATE(CalendarioAño,6,2),1),"ddd")</f>
        <v>lun</v>
      </c>
      <c r="E37" s="16" t="str">
        <f>TEXT(WEEKDAY(DATE(CalendarioAño,6,3),1),"ddd")</f>
        <v>mar</v>
      </c>
      <c r="F37" s="16" t="str">
        <f>TEXT(WEEKDAY(DATE(CalendarioAño,6,4),1),"ddd")</f>
        <v>mié</v>
      </c>
      <c r="G37" s="16" t="str">
        <f>TEXT(WEEKDAY(DATE(CalendarioAño,6,5),1),"ddd")</f>
        <v>jue</v>
      </c>
      <c r="H37" s="16" t="str">
        <f>TEXT(WEEKDAY(DATE(CalendarioAño,6,6),1),"ddd")</f>
        <v>vie</v>
      </c>
      <c r="I37" s="16" t="str">
        <f>TEXT(WEEKDAY(DATE(CalendarioAño,6,7),1),"ddd")</f>
        <v>sáb</v>
      </c>
      <c r="J37" s="16" t="str">
        <f>TEXT(WEEKDAY(DATE(CalendarioAño,6,8),1),"ddd")</f>
        <v>dom</v>
      </c>
      <c r="K37" s="16" t="str">
        <f>TEXT(WEEKDAY(DATE(CalendarioAño,6,9),1),"ddd")</f>
        <v>lun</v>
      </c>
      <c r="L37" s="16" t="str">
        <f>TEXT(WEEKDAY(DATE(CalendarioAño,6,10),1),"ddd")</f>
        <v>mar</v>
      </c>
      <c r="M37" s="16" t="str">
        <f>TEXT(WEEKDAY(DATE(CalendarioAño,6,11),1),"ddd")</f>
        <v>mié</v>
      </c>
      <c r="N37" s="16" t="str">
        <f>TEXT(WEEKDAY(DATE(CalendarioAño,6,12),1),"ddd")</f>
        <v>jue</v>
      </c>
      <c r="O37" s="16" t="str">
        <f>TEXT(WEEKDAY(DATE(CalendarioAño,6,13),1),"ddd")</f>
        <v>vie</v>
      </c>
      <c r="P37" s="16" t="str">
        <f>TEXT(WEEKDAY(DATE(CalendarioAño,6,14),1),"ddd")</f>
        <v>sáb</v>
      </c>
      <c r="Q37" s="16" t="str">
        <f>TEXT(WEEKDAY(DATE(CalendarioAño,6,15),1),"ddd")</f>
        <v>dom</v>
      </c>
      <c r="R37" s="16" t="str">
        <f>TEXT(WEEKDAY(DATE(CalendarioAño,6,16),1),"ddd")</f>
        <v>lun</v>
      </c>
      <c r="S37" s="16" t="str">
        <f>TEXT(WEEKDAY(DATE(CalendarioAño,6,17),1),"ddd")</f>
        <v>mar</v>
      </c>
      <c r="T37" s="16" t="str">
        <f>TEXT(WEEKDAY(DATE(CalendarioAño,6,18),1),"ddd")</f>
        <v>mié</v>
      </c>
      <c r="U37" s="16" t="str">
        <f>TEXT(WEEKDAY(DATE(CalendarioAño,6,19),1),"ddd")</f>
        <v>jue</v>
      </c>
      <c r="V37" s="16" t="str">
        <f>TEXT(WEEKDAY(DATE(CalendarioAño,6,20),1),"ddd")</f>
        <v>vie</v>
      </c>
      <c r="W37" s="16" t="str">
        <f>TEXT(WEEKDAY(DATE(CalendarioAño,6,21),1),"ddd")</f>
        <v>sáb</v>
      </c>
      <c r="X37" s="16" t="str">
        <f>TEXT(WEEKDAY(DATE(CalendarioAño,6,22),1),"ddd")</f>
        <v>dom</v>
      </c>
      <c r="Y37" s="16" t="str">
        <f>TEXT(WEEKDAY(DATE(CalendarioAño,6,23),1),"ddd")</f>
        <v>lun</v>
      </c>
      <c r="Z37" s="16" t="str">
        <f>TEXT(WEEKDAY(DATE(CalendarioAño,6,24),1),"ddd")</f>
        <v>mar</v>
      </c>
      <c r="AA37" s="16" t="str">
        <f>TEXT(WEEKDAY(DATE(CalendarioAño,6,25),1),"ddd")</f>
        <v>mié</v>
      </c>
      <c r="AB37" s="16" t="str">
        <f>TEXT(WEEKDAY(DATE(CalendarioAño,6,26),1),"ddd")</f>
        <v>jue</v>
      </c>
      <c r="AC37" s="16" t="str">
        <f>TEXT(WEEKDAY(DATE(CalendarioAño,6,27),1),"ddd")</f>
        <v>vie</v>
      </c>
      <c r="AD37" s="16" t="str">
        <f>TEXT(WEEKDAY(DATE(CalendarioAño,6,28),1),"ddd")</f>
        <v>sáb</v>
      </c>
      <c r="AE37" s="16" t="str">
        <f>TEXT(WEEKDAY(DATE(CalendarioAño,6,29),1),"ddd")</f>
        <v>dom</v>
      </c>
      <c r="AF37" s="16" t="str">
        <f>TEXT(WEEKDAY(DATE(CalendarioAño,6,30),1),"ddd")</f>
        <v>lun</v>
      </c>
      <c r="AG37" s="16"/>
      <c r="AH37" s="32"/>
    </row>
    <row r="38" ht="30.0" customHeight="1">
      <c r="A38" s="111"/>
      <c r="B38" s="33" t="s">
        <v>202</v>
      </c>
      <c r="C38" s="19" t="s">
        <v>15</v>
      </c>
      <c r="D38" s="19" t="s">
        <v>16</v>
      </c>
      <c r="E38" s="19" t="s">
        <v>17</v>
      </c>
      <c r="F38" s="19" t="s">
        <v>18</v>
      </c>
      <c r="G38" s="19" t="s">
        <v>19</v>
      </c>
      <c r="H38" s="19" t="s">
        <v>20</v>
      </c>
      <c r="I38" s="19" t="s">
        <v>21</v>
      </c>
      <c r="J38" s="19" t="s">
        <v>22</v>
      </c>
      <c r="K38" s="19" t="s">
        <v>23</v>
      </c>
      <c r="L38" s="19" t="s">
        <v>24</v>
      </c>
      <c r="M38" s="19" t="s">
        <v>25</v>
      </c>
      <c r="N38" s="19" t="s">
        <v>26</v>
      </c>
      <c r="O38" s="19" t="s">
        <v>27</v>
      </c>
      <c r="P38" s="19" t="s">
        <v>28</v>
      </c>
      <c r="Q38" s="19" t="s">
        <v>29</v>
      </c>
      <c r="R38" s="19" t="s">
        <v>30</v>
      </c>
      <c r="S38" s="19" t="s">
        <v>31</v>
      </c>
      <c r="T38" s="19" t="s">
        <v>32</v>
      </c>
      <c r="U38" s="19" t="s">
        <v>33</v>
      </c>
      <c r="V38" s="19" t="s">
        <v>34</v>
      </c>
      <c r="W38" s="19" t="s">
        <v>35</v>
      </c>
      <c r="X38" s="19" t="s">
        <v>36</v>
      </c>
      <c r="Y38" s="19" t="s">
        <v>37</v>
      </c>
      <c r="Z38" s="19" t="s">
        <v>38</v>
      </c>
      <c r="AA38" s="19" t="s">
        <v>39</v>
      </c>
      <c r="AB38" s="19" t="s">
        <v>40</v>
      </c>
      <c r="AC38" s="19" t="s">
        <v>41</v>
      </c>
      <c r="AD38" s="19" t="s">
        <v>42</v>
      </c>
      <c r="AE38" s="19" t="s">
        <v>43</v>
      </c>
      <c r="AF38" s="19" t="s">
        <v>44</v>
      </c>
      <c r="AG38" s="19" t="s">
        <v>89</v>
      </c>
      <c r="AH38" s="19" t="s">
        <v>220</v>
      </c>
    </row>
    <row r="39" ht="30.0" customHeight="1">
      <c r="B39" s="20" t="s">
        <v>268</v>
      </c>
      <c r="C39" s="100"/>
      <c r="D39" s="21"/>
      <c r="E39" s="10" t="s">
        <v>6</v>
      </c>
      <c r="F39" s="23" t="s">
        <v>89</v>
      </c>
      <c r="G39" s="21"/>
      <c r="H39" s="21"/>
      <c r="I39" s="21"/>
      <c r="J39" s="21"/>
      <c r="K39" s="21"/>
      <c r="L39" s="10" t="s">
        <v>6</v>
      </c>
      <c r="M39" s="21"/>
      <c r="N39" s="10" t="s">
        <v>6</v>
      </c>
      <c r="O39" s="21"/>
      <c r="P39" s="21"/>
      <c r="Q39" s="21"/>
      <c r="R39" s="21"/>
      <c r="S39" s="10" t="s">
        <v>6</v>
      </c>
      <c r="T39" s="21"/>
      <c r="U39" s="21"/>
      <c r="V39" s="21"/>
      <c r="W39" s="21"/>
      <c r="X39" s="21"/>
      <c r="Y39" s="21"/>
      <c r="Z39" s="21"/>
      <c r="AA39" s="21"/>
      <c r="AB39" s="10" t="s">
        <v>6</v>
      </c>
      <c r="AC39" s="21"/>
      <c r="AD39" s="10" t="s">
        <v>6</v>
      </c>
      <c r="AE39" s="21"/>
      <c r="AF39" s="21"/>
      <c r="AG39" s="21"/>
      <c r="AH39" s="25"/>
    </row>
    <row r="40" ht="30.0" customHeight="1">
      <c r="B40" s="20" t="s">
        <v>67</v>
      </c>
      <c r="C40" s="100"/>
      <c r="D40" s="10" t="s">
        <v>6</v>
      </c>
      <c r="E40" s="21"/>
      <c r="F40" s="10" t="s">
        <v>6</v>
      </c>
      <c r="G40" s="21"/>
      <c r="H40" s="21"/>
      <c r="I40" s="21"/>
      <c r="J40" s="21"/>
      <c r="K40" s="21"/>
      <c r="L40" s="21"/>
      <c r="M40" s="10" t="s">
        <v>6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0" t="s">
        <v>6</v>
      </c>
      <c r="AB40" s="21"/>
      <c r="AC40" s="10" t="s">
        <v>6</v>
      </c>
      <c r="AD40" s="21"/>
      <c r="AE40" s="21"/>
      <c r="AF40" s="21"/>
      <c r="AG40" s="21"/>
      <c r="AH40" s="25"/>
    </row>
    <row r="41" ht="30.0" customHeight="1">
      <c r="B41" s="20" t="s">
        <v>269</v>
      </c>
      <c r="C41" s="100"/>
      <c r="D41" s="21"/>
      <c r="E41" s="21"/>
      <c r="F41" s="21"/>
      <c r="G41" s="10" t="s">
        <v>6</v>
      </c>
      <c r="H41" s="21"/>
      <c r="I41" s="21"/>
      <c r="J41" s="100"/>
      <c r="K41" s="21"/>
      <c r="L41" s="21"/>
      <c r="M41" s="21"/>
      <c r="N41" s="100"/>
      <c r="O41" s="21"/>
      <c r="P41" s="10" t="s">
        <v>6</v>
      </c>
      <c r="Q41" s="21"/>
      <c r="R41" s="21"/>
      <c r="S41" s="21"/>
      <c r="T41" s="21"/>
      <c r="U41" s="10" t="s">
        <v>6</v>
      </c>
      <c r="V41" s="21"/>
      <c r="W41" s="10" t="s">
        <v>6</v>
      </c>
      <c r="X41" s="21"/>
      <c r="Y41" s="21"/>
      <c r="Z41" s="100"/>
      <c r="AA41" s="21"/>
      <c r="AB41" s="10" t="s">
        <v>6</v>
      </c>
      <c r="AC41" s="100"/>
      <c r="AD41" s="10" t="s">
        <v>6</v>
      </c>
      <c r="AE41" s="21"/>
      <c r="AF41" s="21"/>
      <c r="AG41" s="21"/>
      <c r="AH41" s="25"/>
    </row>
    <row r="42" ht="30.0" customHeight="1">
      <c r="B42" s="20" t="s">
        <v>241</v>
      </c>
      <c r="C42" s="21"/>
      <c r="D42" s="10" t="s">
        <v>6</v>
      </c>
      <c r="E42" s="100"/>
      <c r="F42" s="10" t="s">
        <v>6</v>
      </c>
      <c r="G42" s="21"/>
      <c r="H42" s="21"/>
      <c r="I42" s="21"/>
      <c r="J42" s="21"/>
      <c r="K42" s="10" t="s">
        <v>6</v>
      </c>
      <c r="L42" s="100"/>
      <c r="M42" s="10" t="s">
        <v>6</v>
      </c>
      <c r="N42" s="21"/>
      <c r="O42" s="100"/>
      <c r="P42" s="21"/>
      <c r="Q42" s="21"/>
      <c r="R42" s="10" t="s">
        <v>6</v>
      </c>
      <c r="S42" s="21"/>
      <c r="T42" s="10" t="s">
        <v>6</v>
      </c>
      <c r="U42" s="21"/>
      <c r="V42" s="21"/>
      <c r="W42" s="21"/>
      <c r="X42" s="21"/>
      <c r="Y42" s="21"/>
      <c r="Z42" s="21"/>
      <c r="AA42" s="10" t="s">
        <v>6</v>
      </c>
      <c r="AB42" s="21"/>
      <c r="AC42" s="21"/>
      <c r="AD42" s="21"/>
      <c r="AE42" s="21"/>
      <c r="AF42" s="10" t="s">
        <v>6</v>
      </c>
      <c r="AG42" s="21"/>
      <c r="AH42" s="25"/>
    </row>
    <row r="43" ht="30.0" customHeight="1">
      <c r="B43" s="20" t="s">
        <v>208</v>
      </c>
      <c r="C43" s="21"/>
      <c r="D43" s="21"/>
      <c r="E43" s="21"/>
      <c r="F43" s="100"/>
      <c r="G43" s="21"/>
      <c r="H43" s="10" t="s">
        <v>6</v>
      </c>
      <c r="I43" s="21"/>
      <c r="J43" s="100"/>
      <c r="K43" s="21"/>
      <c r="L43" s="21"/>
      <c r="M43" s="10" t="s">
        <v>6</v>
      </c>
      <c r="N43" s="21"/>
      <c r="O43" s="10" t="s">
        <v>6</v>
      </c>
      <c r="P43" s="100"/>
      <c r="Q43" s="21"/>
      <c r="R43" s="21"/>
      <c r="S43" s="21"/>
      <c r="T43" s="10" t="s">
        <v>6</v>
      </c>
      <c r="U43" s="21"/>
      <c r="V43" s="21"/>
      <c r="W43" s="10" t="s">
        <v>6</v>
      </c>
      <c r="X43" s="21"/>
      <c r="Y43" s="21"/>
      <c r="Z43" s="21"/>
      <c r="AA43" s="21"/>
      <c r="AB43" s="21"/>
      <c r="AC43" s="21"/>
      <c r="AD43" s="10" t="s">
        <v>6</v>
      </c>
      <c r="AE43" s="21"/>
      <c r="AF43" s="10" t="s">
        <v>6</v>
      </c>
      <c r="AG43" s="21"/>
      <c r="AH43" s="25"/>
    </row>
    <row r="44" ht="30.0" customHeight="1">
      <c r="B44" s="20" t="s">
        <v>270</v>
      </c>
      <c r="C44" s="21"/>
      <c r="D44" s="21"/>
      <c r="E44" s="21"/>
      <c r="F44" s="100"/>
      <c r="G44" s="21"/>
      <c r="H44" s="100"/>
      <c r="I44" s="21"/>
      <c r="J44" s="21"/>
      <c r="K44" s="21"/>
      <c r="L44" s="10" t="s">
        <v>6</v>
      </c>
      <c r="M44" s="100"/>
      <c r="N44" s="21"/>
      <c r="O44" s="100"/>
      <c r="P44" s="21"/>
      <c r="Q44" s="21"/>
      <c r="R44" s="21"/>
      <c r="S44" s="21"/>
      <c r="T44" s="100"/>
      <c r="U44" s="21"/>
      <c r="V44" s="21"/>
      <c r="W44" s="21"/>
      <c r="X44" s="21"/>
      <c r="Y44" s="21"/>
      <c r="Z44" s="100"/>
      <c r="AA44" s="21"/>
      <c r="AB44" s="21"/>
      <c r="AC44" s="100"/>
      <c r="AD44" s="21"/>
      <c r="AE44" s="21"/>
      <c r="AF44" s="21"/>
      <c r="AG44" s="21"/>
      <c r="AH44" s="25"/>
    </row>
    <row r="45" ht="30.0" customHeight="1">
      <c r="B45" s="20" t="s">
        <v>271</v>
      </c>
      <c r="C45" s="21"/>
      <c r="D45" s="21"/>
      <c r="E45" s="21"/>
      <c r="F45" s="100"/>
      <c r="G45" s="21"/>
      <c r="H45" s="100"/>
      <c r="I45" s="21"/>
      <c r="J45" s="21"/>
      <c r="K45" s="10" t="s">
        <v>6</v>
      </c>
      <c r="L45" s="21"/>
      <c r="M45" s="21"/>
      <c r="N45" s="10" t="s">
        <v>6</v>
      </c>
      <c r="O45" s="21"/>
      <c r="P45" s="21"/>
      <c r="Q45" s="21"/>
      <c r="R45" s="100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5"/>
    </row>
    <row r="46" ht="30.0" customHeight="1">
      <c r="B46" s="20" t="s">
        <v>272</v>
      </c>
      <c r="C46" s="21"/>
      <c r="D46" s="21"/>
      <c r="E46" s="21"/>
      <c r="F46" s="100"/>
      <c r="G46" s="21"/>
      <c r="H46" s="21"/>
      <c r="I46" s="21"/>
      <c r="J46" s="21"/>
      <c r="K46" s="10" t="s">
        <v>6</v>
      </c>
      <c r="L46" s="21"/>
      <c r="M46" s="21"/>
      <c r="N46" s="10" t="s">
        <v>6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5"/>
    </row>
    <row r="47" ht="30.0" customHeight="1">
      <c r="B47" s="20" t="s">
        <v>273</v>
      </c>
      <c r="C47" s="21"/>
      <c r="D47" s="21"/>
      <c r="E47" s="21"/>
      <c r="F47" s="21"/>
      <c r="G47" s="100"/>
      <c r="H47" s="100"/>
      <c r="I47" s="21"/>
      <c r="J47" s="21"/>
      <c r="K47" s="21"/>
      <c r="L47" s="21"/>
      <c r="M47" s="21"/>
      <c r="N47" s="21"/>
      <c r="O47" s="10" t="s">
        <v>6</v>
      </c>
      <c r="P47" s="10" t="s">
        <v>6</v>
      </c>
      <c r="Q47" s="21"/>
      <c r="R47" s="21"/>
      <c r="S47" s="21"/>
      <c r="T47" s="21"/>
      <c r="U47" s="21"/>
      <c r="V47" s="10" t="s">
        <v>6</v>
      </c>
      <c r="W47" s="10" t="s">
        <v>6</v>
      </c>
      <c r="X47" s="21"/>
      <c r="Y47" s="21"/>
      <c r="Z47" s="21"/>
      <c r="AA47" s="21"/>
      <c r="AB47" s="21"/>
      <c r="AC47" s="10" t="s">
        <v>6</v>
      </c>
      <c r="AD47" s="21"/>
      <c r="AE47" s="21"/>
      <c r="AF47" s="21"/>
      <c r="AG47" s="21"/>
      <c r="AH47" s="25"/>
    </row>
    <row r="48" ht="30.0" customHeight="1">
      <c r="B48" s="20" t="s">
        <v>47</v>
      </c>
      <c r="C48" s="21"/>
      <c r="D48" s="21"/>
      <c r="E48" s="21"/>
      <c r="F48" s="21"/>
      <c r="G48" s="21"/>
      <c r="H48" s="21"/>
      <c r="I48" s="100"/>
      <c r="J48" s="100"/>
      <c r="K48" s="21"/>
      <c r="L48" s="21"/>
      <c r="M48" s="21"/>
      <c r="N48" s="21"/>
      <c r="O48" s="21"/>
      <c r="P48" s="10" t="s">
        <v>6</v>
      </c>
      <c r="Q48" s="21"/>
      <c r="R48" s="21"/>
      <c r="S48" s="21"/>
      <c r="T48" s="21"/>
      <c r="U48" s="21"/>
      <c r="V48" s="21"/>
      <c r="W48" s="10" t="s">
        <v>6</v>
      </c>
      <c r="X48" s="21"/>
      <c r="Y48" s="21"/>
      <c r="Z48" s="21"/>
      <c r="AA48" s="21"/>
      <c r="AB48" s="21"/>
      <c r="AC48" s="100"/>
      <c r="AD48" s="10" t="s">
        <v>6</v>
      </c>
      <c r="AE48" s="21"/>
      <c r="AF48" s="21"/>
      <c r="AG48" s="21"/>
      <c r="AH48" s="25"/>
    </row>
    <row r="49" ht="30.0" customHeight="1">
      <c r="B49" s="20" t="s">
        <v>274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00"/>
      <c r="O49" s="21"/>
      <c r="P49" s="100"/>
      <c r="Q49" s="21"/>
      <c r="R49" s="10" t="s">
        <v>6</v>
      </c>
      <c r="S49" s="21"/>
      <c r="T49" s="21"/>
      <c r="U49" s="100"/>
      <c r="V49" s="21"/>
      <c r="W49" s="21"/>
      <c r="X49" s="21"/>
      <c r="Y49" s="21"/>
      <c r="Z49" s="21"/>
      <c r="AA49" s="10" t="s">
        <v>6</v>
      </c>
      <c r="AB49" s="21"/>
      <c r="AC49" s="10" t="s">
        <v>6</v>
      </c>
      <c r="AD49" s="10" t="s">
        <v>6</v>
      </c>
      <c r="AE49" s="21"/>
      <c r="AF49" s="21"/>
      <c r="AG49" s="21"/>
      <c r="AH49" s="25"/>
    </row>
    <row r="50" ht="30.0" customHeight="1">
      <c r="B50" s="20" t="s">
        <v>275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100"/>
      <c r="P50" s="21"/>
      <c r="Q50" s="21"/>
      <c r="R50" s="10" t="s">
        <v>6</v>
      </c>
      <c r="S50" s="100"/>
      <c r="T50" s="21"/>
      <c r="U50" s="10" t="s">
        <v>6</v>
      </c>
      <c r="V50" s="10" t="s">
        <v>6</v>
      </c>
      <c r="W50" s="21"/>
      <c r="X50" s="21"/>
      <c r="Y50" s="21"/>
      <c r="Z50" s="100"/>
      <c r="AA50" s="10" t="s">
        <v>6</v>
      </c>
      <c r="AB50" s="21"/>
      <c r="AC50" s="10" t="s">
        <v>6</v>
      </c>
      <c r="AD50" s="21"/>
      <c r="AE50" s="21"/>
      <c r="AF50" s="21"/>
      <c r="AG50" s="21"/>
      <c r="AH50" s="25"/>
    </row>
    <row r="51" ht="30.0" customHeight="1">
      <c r="B51" s="20" t="s">
        <v>276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100"/>
      <c r="AA51" s="21"/>
      <c r="AB51" s="21"/>
      <c r="AC51" s="21"/>
      <c r="AD51" s="10" t="s">
        <v>6</v>
      </c>
      <c r="AE51" s="21"/>
      <c r="AF51" s="21"/>
      <c r="AG51" s="21"/>
      <c r="AH51" s="25"/>
    </row>
    <row r="52" ht="30.0" customHeight="1">
      <c r="B52" s="26" t="str">
        <f>Junio!MonthName&amp;" Total"</f>
        <v>Junio Total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ht="30.0" customHeight="1"/>
    <row r="54" ht="30.0" customHeight="1">
      <c r="B54" s="32" t="s">
        <v>258</v>
      </c>
      <c r="C54" s="80" t="s">
        <v>277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32">
        <f>CalendarioAño</f>
        <v>2025</v>
      </c>
    </row>
    <row r="55" ht="30.0" customHeight="1">
      <c r="B55" s="32"/>
      <c r="C55" s="16" t="str">
        <f>TEXT(WEEKDAY(DATE(CalendarioAño,6,1),1),"ddd")</f>
        <v>dom</v>
      </c>
      <c r="D55" s="16" t="str">
        <f>TEXT(WEEKDAY(DATE(CalendarioAño,6,2),1),"ddd")</f>
        <v>lun</v>
      </c>
      <c r="E55" s="16" t="str">
        <f>TEXT(WEEKDAY(DATE(CalendarioAño,6,3),1),"ddd")</f>
        <v>mar</v>
      </c>
      <c r="F55" s="16" t="str">
        <f>TEXT(WEEKDAY(DATE(CalendarioAño,6,4),1),"ddd")</f>
        <v>mié</v>
      </c>
      <c r="G55" s="16" t="str">
        <f>TEXT(WEEKDAY(DATE(CalendarioAño,6,5),1),"ddd")</f>
        <v>jue</v>
      </c>
      <c r="H55" s="16" t="str">
        <f>TEXT(WEEKDAY(DATE(CalendarioAño,6,6),1),"ddd")</f>
        <v>vie</v>
      </c>
      <c r="I55" s="16" t="str">
        <f>TEXT(WEEKDAY(DATE(CalendarioAño,6,7),1),"ddd")</f>
        <v>sáb</v>
      </c>
      <c r="J55" s="16" t="str">
        <f>TEXT(WEEKDAY(DATE(CalendarioAño,6,8),1),"ddd")</f>
        <v>dom</v>
      </c>
      <c r="K55" s="16" t="str">
        <f>TEXT(WEEKDAY(DATE(CalendarioAño,6,9),1),"ddd")</f>
        <v>lun</v>
      </c>
      <c r="L55" s="16" t="str">
        <f>TEXT(WEEKDAY(DATE(CalendarioAño,6,10),1),"ddd")</f>
        <v>mar</v>
      </c>
      <c r="M55" s="16" t="str">
        <f>TEXT(WEEKDAY(DATE(CalendarioAño,6,11),1),"ddd")</f>
        <v>mié</v>
      </c>
      <c r="N55" s="16" t="str">
        <f>TEXT(WEEKDAY(DATE(CalendarioAño,6,12),1),"ddd")</f>
        <v>jue</v>
      </c>
      <c r="O55" s="16" t="str">
        <f>TEXT(WEEKDAY(DATE(CalendarioAño,6,13),1),"ddd")</f>
        <v>vie</v>
      </c>
      <c r="P55" s="16" t="str">
        <f>TEXT(WEEKDAY(DATE(CalendarioAño,6,14),1),"ddd")</f>
        <v>sáb</v>
      </c>
      <c r="Q55" s="16" t="str">
        <f>TEXT(WEEKDAY(DATE(CalendarioAño,6,15),1),"ddd")</f>
        <v>dom</v>
      </c>
      <c r="R55" s="16" t="str">
        <f>TEXT(WEEKDAY(DATE(CalendarioAño,6,16),1),"ddd")</f>
        <v>lun</v>
      </c>
      <c r="S55" s="16" t="str">
        <f>TEXT(WEEKDAY(DATE(CalendarioAño,6,17),1),"ddd")</f>
        <v>mar</v>
      </c>
      <c r="T55" s="16" t="str">
        <f>TEXT(WEEKDAY(DATE(CalendarioAño,6,18),1),"ddd")</f>
        <v>mié</v>
      </c>
      <c r="U55" s="16" t="str">
        <f>TEXT(WEEKDAY(DATE(CalendarioAño,6,19),1),"ddd")</f>
        <v>jue</v>
      </c>
      <c r="V55" s="16" t="str">
        <f>TEXT(WEEKDAY(DATE(CalendarioAño,6,20),1),"ddd")</f>
        <v>vie</v>
      </c>
      <c r="W55" s="16" t="str">
        <f>TEXT(WEEKDAY(DATE(CalendarioAño,6,21),1),"ddd")</f>
        <v>sáb</v>
      </c>
      <c r="X55" s="16" t="str">
        <f>TEXT(WEEKDAY(DATE(CalendarioAño,6,22),1),"ddd")</f>
        <v>dom</v>
      </c>
      <c r="Y55" s="16" t="str">
        <f>TEXT(WEEKDAY(DATE(CalendarioAño,6,23),1),"ddd")</f>
        <v>lun</v>
      </c>
      <c r="Z55" s="16" t="str">
        <f>TEXT(WEEKDAY(DATE(CalendarioAño,6,24),1),"ddd")</f>
        <v>mar</v>
      </c>
      <c r="AA55" s="16" t="str">
        <f>TEXT(WEEKDAY(DATE(CalendarioAño,6,25),1),"ddd")</f>
        <v>mié</v>
      </c>
      <c r="AB55" s="16" t="str">
        <f>TEXT(WEEKDAY(DATE(CalendarioAño,6,26),1),"ddd")</f>
        <v>jue</v>
      </c>
      <c r="AC55" s="16" t="str">
        <f>TEXT(WEEKDAY(DATE(CalendarioAño,6,27),1),"ddd")</f>
        <v>vie</v>
      </c>
      <c r="AD55" s="16" t="str">
        <f>TEXT(WEEKDAY(DATE(CalendarioAño,6,28),1),"ddd")</f>
        <v>sáb</v>
      </c>
      <c r="AE55" s="16" t="str">
        <f>TEXT(WEEKDAY(DATE(CalendarioAño,6,29),1),"ddd")</f>
        <v>dom</v>
      </c>
      <c r="AF55" s="16" t="str">
        <f>TEXT(WEEKDAY(DATE(CalendarioAño,6,30),1),"ddd")</f>
        <v>lun</v>
      </c>
      <c r="AG55" s="16"/>
      <c r="AH55" s="32"/>
    </row>
    <row r="56" ht="30.0" customHeight="1">
      <c r="A56" s="111"/>
      <c r="B56" s="33" t="s">
        <v>202</v>
      </c>
      <c r="C56" s="19" t="s">
        <v>15</v>
      </c>
      <c r="D56" s="19" t="s">
        <v>16</v>
      </c>
      <c r="E56" s="19" t="s">
        <v>17</v>
      </c>
      <c r="F56" s="19" t="s">
        <v>18</v>
      </c>
      <c r="G56" s="19" t="s">
        <v>19</v>
      </c>
      <c r="H56" s="19" t="s">
        <v>20</v>
      </c>
      <c r="I56" s="19" t="s">
        <v>21</v>
      </c>
      <c r="J56" s="19" t="s">
        <v>22</v>
      </c>
      <c r="K56" s="19" t="s">
        <v>23</v>
      </c>
      <c r="L56" s="19" t="s">
        <v>24</v>
      </c>
      <c r="M56" s="19" t="s">
        <v>25</v>
      </c>
      <c r="N56" s="19" t="s">
        <v>26</v>
      </c>
      <c r="O56" s="19" t="s">
        <v>27</v>
      </c>
      <c r="P56" s="19" t="s">
        <v>28</v>
      </c>
      <c r="Q56" s="19" t="s">
        <v>29</v>
      </c>
      <c r="R56" s="19" t="s">
        <v>30</v>
      </c>
      <c r="S56" s="19" t="s">
        <v>31</v>
      </c>
      <c r="T56" s="19" t="s">
        <v>32</v>
      </c>
      <c r="U56" s="19" t="s">
        <v>33</v>
      </c>
      <c r="V56" s="19" t="s">
        <v>34</v>
      </c>
      <c r="W56" s="19" t="s">
        <v>35</v>
      </c>
      <c r="X56" s="19" t="s">
        <v>36</v>
      </c>
      <c r="Y56" s="19" t="s">
        <v>37</v>
      </c>
      <c r="Z56" s="19" t="s">
        <v>38</v>
      </c>
      <c r="AA56" s="19" t="s">
        <v>39</v>
      </c>
      <c r="AB56" s="19" t="s">
        <v>40</v>
      </c>
      <c r="AC56" s="19" t="s">
        <v>41</v>
      </c>
      <c r="AD56" s="19" t="s">
        <v>42</v>
      </c>
      <c r="AE56" s="19" t="s">
        <v>43</v>
      </c>
      <c r="AF56" s="19" t="s">
        <v>44</v>
      </c>
      <c r="AG56" s="19" t="s">
        <v>89</v>
      </c>
      <c r="AH56" s="19" t="s">
        <v>220</v>
      </c>
    </row>
    <row r="57" ht="30.0" customHeight="1">
      <c r="B57" s="20" t="s">
        <v>278</v>
      </c>
      <c r="C57" s="21"/>
      <c r="D57" s="21"/>
      <c r="E57" s="10" t="s">
        <v>6</v>
      </c>
      <c r="F57" s="21"/>
      <c r="G57" s="100"/>
      <c r="H57" s="10" t="s">
        <v>6</v>
      </c>
      <c r="I57" s="21"/>
      <c r="J57" s="21"/>
      <c r="K57" s="21"/>
      <c r="L57" s="21"/>
      <c r="M57" s="21"/>
      <c r="N57" s="100"/>
      <c r="O57" s="10" t="s">
        <v>6</v>
      </c>
      <c r="P57" s="10" t="s">
        <v>6</v>
      </c>
      <c r="Q57" s="21"/>
      <c r="R57" s="21"/>
      <c r="S57" s="10" t="s">
        <v>6</v>
      </c>
      <c r="T57" s="21"/>
      <c r="U57" s="100"/>
      <c r="V57" s="10" t="s">
        <v>6</v>
      </c>
      <c r="W57" s="21"/>
      <c r="X57" s="21"/>
      <c r="Y57" s="21"/>
      <c r="Z57" s="10" t="s">
        <v>6</v>
      </c>
      <c r="AA57" s="21"/>
      <c r="AB57" s="21"/>
      <c r="AC57" s="10" t="s">
        <v>6</v>
      </c>
      <c r="AD57" s="21"/>
      <c r="AE57" s="21"/>
      <c r="AF57" s="21"/>
      <c r="AG57" s="21"/>
      <c r="AH57" s="25"/>
    </row>
    <row r="58" ht="30.0" customHeight="1">
      <c r="B58" s="20" t="s">
        <v>279</v>
      </c>
      <c r="C58" s="21"/>
      <c r="D58" s="21"/>
      <c r="E58" s="10" t="s">
        <v>6</v>
      </c>
      <c r="F58" s="21"/>
      <c r="G58" s="100"/>
      <c r="H58" s="21"/>
      <c r="I58" s="21"/>
      <c r="J58" s="21"/>
      <c r="K58" s="21"/>
      <c r="L58" s="21"/>
      <c r="M58" s="21"/>
      <c r="N58" s="21"/>
      <c r="O58" s="21"/>
      <c r="P58" s="100"/>
      <c r="Q58" s="21"/>
      <c r="R58" s="10" t="s">
        <v>6</v>
      </c>
      <c r="S58" s="10" t="s">
        <v>6</v>
      </c>
      <c r="T58" s="21"/>
      <c r="U58" s="100"/>
      <c r="V58" s="10" t="s">
        <v>6</v>
      </c>
      <c r="W58" s="10" t="s">
        <v>6</v>
      </c>
      <c r="X58" s="21"/>
      <c r="Y58" s="21"/>
      <c r="Z58" s="21"/>
      <c r="AA58" s="21"/>
      <c r="AB58" s="21"/>
      <c r="AC58" s="21"/>
      <c r="AD58" s="21"/>
      <c r="AE58" s="21"/>
      <c r="AF58" s="10" t="s">
        <v>6</v>
      </c>
      <c r="AG58" s="21"/>
      <c r="AH58" s="25"/>
    </row>
    <row r="59" ht="30.0" customHeight="1">
      <c r="B59" s="20" t="s">
        <v>63</v>
      </c>
      <c r="C59" s="21"/>
      <c r="D59" s="21"/>
      <c r="E59" s="10" t="s">
        <v>6</v>
      </c>
      <c r="F59" s="21"/>
      <c r="G59" s="10" t="s">
        <v>6</v>
      </c>
      <c r="H59" s="21"/>
      <c r="I59" s="21"/>
      <c r="J59" s="21"/>
      <c r="K59" s="21"/>
      <c r="L59" s="21"/>
      <c r="M59" s="21"/>
      <c r="N59" s="10" t="s">
        <v>6</v>
      </c>
      <c r="O59" s="100"/>
      <c r="P59" s="10" t="s">
        <v>6</v>
      </c>
      <c r="Q59" s="21"/>
      <c r="R59" s="21"/>
      <c r="S59" s="10" t="s">
        <v>6</v>
      </c>
      <c r="T59" s="21"/>
      <c r="U59" s="100"/>
      <c r="V59" s="21"/>
      <c r="W59" s="21"/>
      <c r="X59" s="21"/>
      <c r="Y59" s="21"/>
      <c r="Z59" s="10" t="s">
        <v>6</v>
      </c>
      <c r="AA59" s="21"/>
      <c r="AB59" s="21"/>
      <c r="AC59" s="21"/>
      <c r="AD59" s="21"/>
      <c r="AE59" s="21"/>
      <c r="AF59" s="21"/>
      <c r="AG59" s="21"/>
      <c r="AH59" s="25"/>
    </row>
    <row r="60" ht="30.0" customHeight="1">
      <c r="B60" s="20" t="s">
        <v>280</v>
      </c>
      <c r="C60" s="21"/>
      <c r="D60" s="21"/>
      <c r="E60" s="10" t="s">
        <v>6</v>
      </c>
      <c r="F60" s="21"/>
      <c r="G60" s="21"/>
      <c r="H60" s="21"/>
      <c r="I60" s="21"/>
      <c r="J60" s="21"/>
      <c r="K60" s="21"/>
      <c r="L60" s="10" t="s">
        <v>6</v>
      </c>
      <c r="M60" s="21"/>
      <c r="N60" s="10" t="s">
        <v>6</v>
      </c>
      <c r="O60" s="21"/>
      <c r="P60" s="100"/>
      <c r="Q60" s="21"/>
      <c r="R60" s="21"/>
      <c r="S60" s="23" t="s">
        <v>89</v>
      </c>
      <c r="T60" s="10" t="s">
        <v>6</v>
      </c>
      <c r="U60" s="10" t="s">
        <v>6</v>
      </c>
      <c r="V60" s="21"/>
      <c r="W60" s="21"/>
      <c r="X60" s="21"/>
      <c r="Y60" s="21"/>
      <c r="Z60" s="10" t="s">
        <v>6</v>
      </c>
      <c r="AA60" s="21"/>
      <c r="AB60" s="10" t="s">
        <v>6</v>
      </c>
      <c r="AC60" s="100"/>
      <c r="AD60" s="21"/>
      <c r="AE60" s="21"/>
      <c r="AF60" s="10" t="s">
        <v>6</v>
      </c>
      <c r="AG60" s="21"/>
      <c r="AH60" s="25"/>
    </row>
    <row r="61" ht="30.0" customHeight="1">
      <c r="B61" s="20" t="s">
        <v>211</v>
      </c>
      <c r="C61" s="21"/>
      <c r="D61" s="10" t="s">
        <v>6</v>
      </c>
      <c r="E61" s="21"/>
      <c r="F61" s="10" t="s">
        <v>6</v>
      </c>
      <c r="G61" s="21"/>
      <c r="H61" s="21"/>
      <c r="I61" s="21"/>
      <c r="J61" s="109"/>
      <c r="K61" s="10" t="s">
        <v>6</v>
      </c>
      <c r="L61" s="21"/>
      <c r="M61" s="10" t="s">
        <v>6</v>
      </c>
      <c r="N61" s="21"/>
      <c r="O61" s="21"/>
      <c r="P61" s="21"/>
      <c r="Q61" s="21"/>
      <c r="R61" s="10" t="s">
        <v>6</v>
      </c>
      <c r="S61" s="21"/>
      <c r="T61" s="10" t="s">
        <v>6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10" t="s">
        <v>6</v>
      </c>
      <c r="AG61" s="21"/>
      <c r="AH61" s="25"/>
    </row>
    <row r="62" ht="30.0" customHeight="1">
      <c r="B62" s="20" t="s">
        <v>281</v>
      </c>
      <c r="C62" s="21"/>
      <c r="D62" s="10" t="s">
        <v>6</v>
      </c>
      <c r="E62" s="21"/>
      <c r="F62" s="21"/>
      <c r="G62" s="21"/>
      <c r="H62" s="10" t="s">
        <v>6</v>
      </c>
      <c r="I62" s="21"/>
      <c r="J62" s="109"/>
      <c r="K62" s="10" t="s">
        <v>6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10" t="s">
        <v>6</v>
      </c>
      <c r="AG62" s="21"/>
      <c r="AH62" s="25"/>
    </row>
    <row r="63" ht="30.0" customHeight="1">
      <c r="B63" s="20" t="s">
        <v>242</v>
      </c>
      <c r="C63" s="21"/>
      <c r="D63" s="21"/>
      <c r="E63" s="21"/>
      <c r="F63" s="10" t="s">
        <v>6</v>
      </c>
      <c r="G63" s="21"/>
      <c r="H63" s="21"/>
      <c r="I63" s="21"/>
      <c r="J63" s="109"/>
      <c r="K63" s="21"/>
      <c r="L63" s="21"/>
      <c r="M63" s="10" t="s">
        <v>6</v>
      </c>
      <c r="N63" s="21"/>
      <c r="O63" s="10" t="s">
        <v>6</v>
      </c>
      <c r="P63" s="21"/>
      <c r="Q63" s="21"/>
      <c r="R63" s="21"/>
      <c r="S63" s="21"/>
      <c r="T63" s="10" t="s">
        <v>6</v>
      </c>
      <c r="U63" s="21"/>
      <c r="V63" s="10" t="s">
        <v>6</v>
      </c>
      <c r="W63" s="21"/>
      <c r="X63" s="21"/>
      <c r="Y63" s="21"/>
      <c r="Z63" s="21"/>
      <c r="AA63" s="10" t="s">
        <v>6</v>
      </c>
      <c r="AB63" s="21"/>
      <c r="AC63" s="21"/>
      <c r="AD63" s="21"/>
      <c r="AE63" s="21"/>
      <c r="AF63" s="21"/>
      <c r="AG63" s="21"/>
      <c r="AH63" s="25"/>
    </row>
    <row r="64" ht="30.0" customHeight="1">
      <c r="B64" s="20" t="s">
        <v>282</v>
      </c>
      <c r="C64" s="21"/>
      <c r="D64" s="21"/>
      <c r="E64" s="21"/>
      <c r="F64" s="21"/>
      <c r="G64" s="10" t="s">
        <v>6</v>
      </c>
      <c r="H64" s="21"/>
      <c r="I64" s="21"/>
      <c r="J64" s="109"/>
      <c r="K64" s="21"/>
      <c r="L64" s="10" t="s">
        <v>6</v>
      </c>
      <c r="M64" s="21"/>
      <c r="N64" s="10" t="s">
        <v>6</v>
      </c>
      <c r="O64" s="21"/>
      <c r="P64" s="21"/>
      <c r="Q64" s="21"/>
      <c r="R64" s="21"/>
      <c r="S64" s="10" t="s">
        <v>6</v>
      </c>
      <c r="T64" s="21"/>
      <c r="U64" s="10" t="s">
        <v>6</v>
      </c>
      <c r="V64" s="21"/>
      <c r="W64" s="21"/>
      <c r="X64" s="21"/>
      <c r="Y64" s="21"/>
      <c r="Z64" s="21"/>
      <c r="AA64" s="21"/>
      <c r="AB64" s="10" t="s">
        <v>6</v>
      </c>
      <c r="AC64" s="21"/>
      <c r="AD64" s="21"/>
      <c r="AE64" s="21"/>
      <c r="AF64" s="21"/>
      <c r="AG64" s="21"/>
      <c r="AH64" s="25"/>
    </row>
    <row r="65" ht="30.0" customHeight="1">
      <c r="B65" s="20" t="s">
        <v>283</v>
      </c>
      <c r="C65" s="21"/>
      <c r="D65" s="21"/>
      <c r="E65" s="21"/>
      <c r="F65" s="21"/>
      <c r="G65" s="10" t="s">
        <v>6</v>
      </c>
      <c r="H65" s="10" t="s">
        <v>6</v>
      </c>
      <c r="I65" s="21"/>
      <c r="J65" s="109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5"/>
    </row>
    <row r="66" ht="30.0" customHeight="1">
      <c r="B66" s="20" t="s">
        <v>284</v>
      </c>
      <c r="C66" s="21"/>
      <c r="D66" s="21"/>
      <c r="E66" s="21"/>
      <c r="F66" s="21"/>
      <c r="G66" s="21"/>
      <c r="H66" s="83" t="s">
        <v>174</v>
      </c>
      <c r="I66" s="21"/>
      <c r="J66" s="109"/>
      <c r="K66" s="10" t="s">
        <v>6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10" t="s">
        <v>6</v>
      </c>
      <c r="AE66" s="21"/>
      <c r="AF66" s="10" t="s">
        <v>6</v>
      </c>
      <c r="AG66" s="21"/>
      <c r="AH66" s="25"/>
    </row>
    <row r="67" ht="30.0" customHeight="1">
      <c r="B67" s="20" t="s">
        <v>285</v>
      </c>
      <c r="C67" s="21"/>
      <c r="D67" s="21"/>
      <c r="E67" s="21"/>
      <c r="F67" s="21"/>
      <c r="G67" s="21"/>
      <c r="H67" s="21"/>
      <c r="I67" s="21"/>
      <c r="J67" s="109"/>
      <c r="K67" s="21"/>
      <c r="L67" s="10" t="s">
        <v>6</v>
      </c>
      <c r="M67" s="10" t="s">
        <v>6</v>
      </c>
      <c r="N67" s="21"/>
      <c r="O67" s="21"/>
      <c r="P67" s="21"/>
      <c r="Q67" s="21"/>
      <c r="R67" s="10" t="s">
        <v>6</v>
      </c>
      <c r="S67" s="10" t="s">
        <v>6</v>
      </c>
      <c r="T67" s="21"/>
      <c r="U67" s="10" t="s">
        <v>6</v>
      </c>
      <c r="V67" s="21"/>
      <c r="W67" s="21"/>
      <c r="X67" s="21"/>
      <c r="Y67" s="10" t="s">
        <v>6</v>
      </c>
      <c r="Z67" s="21"/>
      <c r="AA67" s="10" t="s">
        <v>6</v>
      </c>
      <c r="AB67" s="21"/>
      <c r="AC67" s="21"/>
      <c r="AD67" s="21"/>
      <c r="AE67" s="21"/>
      <c r="AF67" s="21"/>
      <c r="AG67" s="21"/>
      <c r="AH67" s="25"/>
    </row>
    <row r="68" ht="30.0" customHeight="1">
      <c r="B68" s="20" t="s">
        <v>64</v>
      </c>
      <c r="C68" s="21"/>
      <c r="D68" s="21"/>
      <c r="E68" s="21"/>
      <c r="F68" s="21"/>
      <c r="G68" s="21"/>
      <c r="H68" s="21"/>
      <c r="I68" s="21"/>
      <c r="J68" s="109"/>
      <c r="K68" s="21"/>
      <c r="L68" s="10" t="s">
        <v>6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10" t="s">
        <v>6</v>
      </c>
      <c r="AC68" s="21"/>
      <c r="AD68" s="21"/>
      <c r="AE68" s="21"/>
      <c r="AF68" s="21"/>
      <c r="AG68" s="21"/>
      <c r="AH68" s="25"/>
    </row>
    <row r="69" ht="30.0" customHeight="1">
      <c r="B69" s="20" t="s">
        <v>286</v>
      </c>
      <c r="C69" s="21"/>
      <c r="D69" s="21"/>
      <c r="E69" s="21"/>
      <c r="F69" s="21"/>
      <c r="G69" s="21"/>
      <c r="H69" s="21"/>
      <c r="I69" s="21"/>
      <c r="J69" s="109"/>
      <c r="K69" s="21"/>
      <c r="L69" s="10" t="s">
        <v>6</v>
      </c>
      <c r="M69" s="21"/>
      <c r="N69" s="21"/>
      <c r="O69" s="21"/>
      <c r="P69" s="21"/>
      <c r="Q69" s="21"/>
      <c r="R69" s="21"/>
      <c r="S69" s="10" t="s">
        <v>6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5"/>
    </row>
    <row r="70" ht="30.0" customHeight="1">
      <c r="B70" s="20" t="s">
        <v>287</v>
      </c>
      <c r="C70" s="21"/>
      <c r="D70" s="21"/>
      <c r="E70" s="21"/>
      <c r="F70" s="21"/>
      <c r="G70" s="21"/>
      <c r="H70" s="21"/>
      <c r="I70" s="21"/>
      <c r="J70" s="109"/>
      <c r="K70" s="21"/>
      <c r="L70" s="21"/>
      <c r="M70" s="21"/>
      <c r="N70" s="21"/>
      <c r="O70" s="10" t="s">
        <v>6</v>
      </c>
      <c r="P70" s="10" t="s">
        <v>6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10" t="s">
        <v>6</v>
      </c>
      <c r="AE70" s="21"/>
      <c r="AF70" s="21"/>
      <c r="AG70" s="21"/>
      <c r="AH70" s="25"/>
    </row>
    <row r="71" ht="30.0" customHeight="1">
      <c r="B71" s="20" t="s">
        <v>281</v>
      </c>
      <c r="C71" s="21"/>
      <c r="D71" s="21"/>
      <c r="E71" s="21"/>
      <c r="F71" s="21"/>
      <c r="G71" s="21"/>
      <c r="H71" s="21"/>
      <c r="I71" s="21"/>
      <c r="J71" s="109"/>
      <c r="K71" s="21"/>
      <c r="L71" s="21"/>
      <c r="M71" s="21"/>
      <c r="N71" s="21"/>
      <c r="O71" s="21"/>
      <c r="P71" s="21"/>
      <c r="Q71" s="21"/>
      <c r="R71" s="10" t="s">
        <v>6</v>
      </c>
      <c r="S71" s="21"/>
      <c r="T71" s="21"/>
      <c r="U71" s="21"/>
      <c r="V71" s="10" t="s">
        <v>6</v>
      </c>
      <c r="W71" s="21"/>
      <c r="X71" s="21"/>
      <c r="Y71" s="10" t="s">
        <v>6</v>
      </c>
      <c r="Z71" s="21"/>
      <c r="AA71" s="21"/>
      <c r="AB71" s="21"/>
      <c r="AC71" s="21"/>
      <c r="AD71" s="21"/>
      <c r="AE71" s="21"/>
      <c r="AF71" s="21"/>
      <c r="AG71" s="21"/>
      <c r="AH71" s="25"/>
    </row>
    <row r="72" ht="30.0" customHeight="1">
      <c r="B72" s="20" t="s">
        <v>288</v>
      </c>
      <c r="C72" s="21"/>
      <c r="D72" s="21"/>
      <c r="E72" s="21"/>
      <c r="F72" s="21"/>
      <c r="G72" s="21"/>
      <c r="H72" s="21"/>
      <c r="I72" s="21"/>
      <c r="J72" s="100"/>
      <c r="K72" s="21"/>
      <c r="L72" s="21"/>
      <c r="M72" s="21"/>
      <c r="N72" s="21"/>
      <c r="O72" s="21"/>
      <c r="P72" s="21"/>
      <c r="Q72" s="21"/>
      <c r="R72" s="21"/>
      <c r="S72" s="10" t="s">
        <v>6</v>
      </c>
      <c r="T72" s="21"/>
      <c r="U72" s="10" t="s">
        <v>6</v>
      </c>
      <c r="V72" s="21"/>
      <c r="W72" s="21"/>
      <c r="X72" s="21"/>
      <c r="Y72" s="21"/>
      <c r="Z72" s="10" t="s">
        <v>6</v>
      </c>
      <c r="AA72" s="21"/>
      <c r="AB72" s="10" t="s">
        <v>6</v>
      </c>
      <c r="AC72" s="21"/>
      <c r="AD72" s="21"/>
      <c r="AE72" s="21"/>
      <c r="AF72" s="21"/>
      <c r="AG72" s="21"/>
      <c r="AH72" s="25"/>
    </row>
    <row r="73" ht="30.0" customHeight="1">
      <c r="B73" s="20" t="s">
        <v>227</v>
      </c>
      <c r="C73" s="21"/>
      <c r="D73" s="21"/>
      <c r="E73" s="21"/>
      <c r="F73" s="21"/>
      <c r="G73" s="21"/>
      <c r="H73" s="21"/>
      <c r="I73" s="21"/>
      <c r="J73" s="109"/>
      <c r="K73" s="21"/>
      <c r="L73" s="21"/>
      <c r="M73" s="21"/>
      <c r="N73" s="21"/>
      <c r="O73" s="21"/>
      <c r="P73" s="21"/>
      <c r="Q73" s="21"/>
      <c r="R73" s="21"/>
      <c r="S73" s="10" t="s">
        <v>6</v>
      </c>
      <c r="T73" s="21"/>
      <c r="U73" s="21"/>
      <c r="V73" s="21"/>
      <c r="W73" s="10" t="s">
        <v>6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5"/>
    </row>
    <row r="74" ht="30.0" customHeight="1">
      <c r="B74" s="20" t="s">
        <v>59</v>
      </c>
      <c r="C74" s="21"/>
      <c r="D74" s="21"/>
      <c r="E74" s="21"/>
      <c r="F74" s="21"/>
      <c r="G74" s="21"/>
      <c r="H74" s="21"/>
      <c r="I74" s="21"/>
      <c r="J74" s="109"/>
      <c r="K74" s="21"/>
      <c r="L74" s="21"/>
      <c r="M74" s="21"/>
      <c r="N74" s="21"/>
      <c r="O74" s="21"/>
      <c r="P74" s="21"/>
      <c r="Q74" s="21"/>
      <c r="R74" s="21"/>
      <c r="S74" s="113"/>
      <c r="T74" s="21"/>
      <c r="U74" s="21"/>
      <c r="V74" s="10" t="s">
        <v>6</v>
      </c>
      <c r="W74" s="10" t="s">
        <v>6</v>
      </c>
      <c r="X74" s="21"/>
      <c r="Y74" s="21"/>
      <c r="Z74" s="21"/>
      <c r="AA74" s="21"/>
      <c r="AB74" s="10" t="s">
        <v>6</v>
      </c>
      <c r="AC74" s="21"/>
      <c r="AD74" s="21"/>
      <c r="AE74" s="21"/>
      <c r="AF74" s="21"/>
      <c r="AG74" s="21"/>
      <c r="AH74" s="25"/>
    </row>
    <row r="75" ht="30.0" customHeight="1">
      <c r="B75" s="20" t="s">
        <v>289</v>
      </c>
      <c r="C75" s="21"/>
      <c r="D75" s="21"/>
      <c r="E75" s="21"/>
      <c r="F75" s="21"/>
      <c r="G75" s="21"/>
      <c r="H75" s="21"/>
      <c r="I75" s="21"/>
      <c r="J75" s="109"/>
      <c r="K75" s="21"/>
      <c r="L75" s="21"/>
      <c r="M75" s="21"/>
      <c r="N75" s="21"/>
      <c r="O75" s="21"/>
      <c r="P75" s="21"/>
      <c r="Q75" s="21"/>
      <c r="R75" s="21"/>
      <c r="S75" s="113"/>
      <c r="T75" s="21"/>
      <c r="U75" s="21"/>
      <c r="V75" s="113"/>
      <c r="W75" s="10" t="s">
        <v>6</v>
      </c>
      <c r="X75" s="21"/>
      <c r="Y75" s="10" t="s">
        <v>6</v>
      </c>
      <c r="Z75" s="21"/>
      <c r="AA75" s="21"/>
      <c r="AB75" s="21"/>
      <c r="AC75" s="21"/>
      <c r="AD75" s="10" t="s">
        <v>6</v>
      </c>
      <c r="AE75" s="21"/>
      <c r="AF75" s="21"/>
      <c r="AG75" s="21"/>
      <c r="AH75" s="25"/>
    </row>
    <row r="76" ht="30.0" customHeight="1">
      <c r="B76" s="20" t="s">
        <v>290</v>
      </c>
      <c r="C76" s="21"/>
      <c r="D76" s="21"/>
      <c r="E76" s="21"/>
      <c r="F76" s="21"/>
      <c r="G76" s="21"/>
      <c r="H76" s="21"/>
      <c r="I76" s="21"/>
      <c r="J76" s="109"/>
      <c r="K76" s="21"/>
      <c r="L76" s="21"/>
      <c r="M76" s="21"/>
      <c r="N76" s="21"/>
      <c r="O76" s="21"/>
      <c r="P76" s="21"/>
      <c r="Q76" s="21"/>
      <c r="R76" s="21"/>
      <c r="S76" s="113"/>
      <c r="T76" s="21"/>
      <c r="U76" s="21"/>
      <c r="V76" s="113"/>
      <c r="W76" s="113"/>
      <c r="X76" s="21"/>
      <c r="Y76" s="113"/>
      <c r="Z76" s="10" t="s">
        <v>6</v>
      </c>
      <c r="AA76" s="21"/>
      <c r="AB76" s="21"/>
      <c r="AC76" s="10" t="s">
        <v>6</v>
      </c>
      <c r="AD76" s="21"/>
      <c r="AE76" s="21"/>
      <c r="AF76" s="21"/>
      <c r="AG76" s="21"/>
      <c r="AH76" s="25"/>
    </row>
    <row r="77" ht="30.0" customHeight="1">
      <c r="B77" s="26" t="str">
        <f>Junio!MonthName&amp;" Total"</f>
        <v>Junio Total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 ht="30.0" customHeight="1">
      <c r="B78" s="110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23" t="s">
        <v>89</v>
      </c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</row>
    <row r="79" ht="30.0" customHeight="1">
      <c r="B79" s="32" t="s">
        <v>258</v>
      </c>
      <c r="C79" s="80" t="s">
        <v>291</v>
      </c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32">
        <f>CalendarioAño</f>
        <v>2025</v>
      </c>
    </row>
    <row r="80" ht="30.0" customHeight="1">
      <c r="B80" s="32"/>
      <c r="C80" s="16" t="str">
        <f>TEXT(WEEKDAY(DATE(CalendarioAño,6,1),1),"ddd")</f>
        <v>dom</v>
      </c>
      <c r="D80" s="16" t="str">
        <f>TEXT(WEEKDAY(DATE(CalendarioAño,6,2),1),"ddd")</f>
        <v>lun</v>
      </c>
      <c r="E80" s="16" t="str">
        <f>TEXT(WEEKDAY(DATE(CalendarioAño,6,3),1),"ddd")</f>
        <v>mar</v>
      </c>
      <c r="F80" s="16" t="str">
        <f>TEXT(WEEKDAY(DATE(CalendarioAño,6,4),1),"ddd")</f>
        <v>mié</v>
      </c>
      <c r="G80" s="16" t="str">
        <f>TEXT(WEEKDAY(DATE(CalendarioAño,6,5),1),"ddd")</f>
        <v>jue</v>
      </c>
      <c r="H80" s="16" t="str">
        <f>TEXT(WEEKDAY(DATE(CalendarioAño,6,6),1),"ddd")</f>
        <v>vie</v>
      </c>
      <c r="I80" s="16" t="str">
        <f>TEXT(WEEKDAY(DATE(CalendarioAño,6,7),1),"ddd")</f>
        <v>sáb</v>
      </c>
      <c r="J80" s="16" t="str">
        <f>TEXT(WEEKDAY(DATE(CalendarioAño,6,8),1),"ddd")</f>
        <v>dom</v>
      </c>
      <c r="K80" s="16" t="str">
        <f>TEXT(WEEKDAY(DATE(CalendarioAño,6,9),1),"ddd")</f>
        <v>lun</v>
      </c>
      <c r="L80" s="16" t="str">
        <f>TEXT(WEEKDAY(DATE(CalendarioAño,6,10),1),"ddd")</f>
        <v>mar</v>
      </c>
      <c r="M80" s="16" t="str">
        <f>TEXT(WEEKDAY(DATE(CalendarioAño,6,11),1),"ddd")</f>
        <v>mié</v>
      </c>
      <c r="N80" s="16" t="str">
        <f>TEXT(WEEKDAY(DATE(CalendarioAño,6,12),1),"ddd")</f>
        <v>jue</v>
      </c>
      <c r="O80" s="16" t="str">
        <f>TEXT(WEEKDAY(DATE(CalendarioAño,6,13),1),"ddd")</f>
        <v>vie</v>
      </c>
      <c r="P80" s="16" t="str">
        <f>TEXT(WEEKDAY(DATE(CalendarioAño,6,14),1),"ddd")</f>
        <v>sáb</v>
      </c>
      <c r="Q80" s="16" t="str">
        <f>TEXT(WEEKDAY(DATE(CalendarioAño,6,15),1),"ddd")</f>
        <v>dom</v>
      </c>
      <c r="R80" s="16" t="str">
        <f>TEXT(WEEKDAY(DATE(CalendarioAño,6,16),1),"ddd")</f>
        <v>lun</v>
      </c>
      <c r="S80" s="16" t="str">
        <f>TEXT(WEEKDAY(DATE(CalendarioAño,6,17),1),"ddd")</f>
        <v>mar</v>
      </c>
      <c r="T80" s="16" t="str">
        <f>TEXT(WEEKDAY(DATE(CalendarioAño,6,18),1),"ddd")</f>
        <v>mié</v>
      </c>
      <c r="U80" s="16" t="str">
        <f>TEXT(WEEKDAY(DATE(CalendarioAño,6,19),1),"ddd")</f>
        <v>jue</v>
      </c>
      <c r="V80" s="16" t="str">
        <f>TEXT(WEEKDAY(DATE(CalendarioAño,6,20),1),"ddd")</f>
        <v>vie</v>
      </c>
      <c r="W80" s="16" t="str">
        <f>TEXT(WEEKDAY(DATE(CalendarioAño,6,21),1),"ddd")</f>
        <v>sáb</v>
      </c>
      <c r="X80" s="16" t="str">
        <f>TEXT(WEEKDAY(DATE(CalendarioAño,6,22),1),"ddd")</f>
        <v>dom</v>
      </c>
      <c r="Y80" s="16" t="str">
        <f>TEXT(WEEKDAY(DATE(CalendarioAño,6,23),1),"ddd")</f>
        <v>lun</v>
      </c>
      <c r="Z80" s="16" t="str">
        <f>TEXT(WEEKDAY(DATE(CalendarioAño,6,24),1),"ddd")</f>
        <v>mar</v>
      </c>
      <c r="AA80" s="16" t="str">
        <f>TEXT(WEEKDAY(DATE(CalendarioAño,6,25),1),"ddd")</f>
        <v>mié</v>
      </c>
      <c r="AB80" s="16" t="str">
        <f>TEXT(WEEKDAY(DATE(CalendarioAño,6,26),1),"ddd")</f>
        <v>jue</v>
      </c>
      <c r="AC80" s="16" t="str">
        <f>TEXT(WEEKDAY(DATE(CalendarioAño,6,27),1),"ddd")</f>
        <v>vie</v>
      </c>
      <c r="AD80" s="16" t="str">
        <f>TEXT(WEEKDAY(DATE(CalendarioAño,6,28),1),"ddd")</f>
        <v>sáb</v>
      </c>
      <c r="AE80" s="16" t="str">
        <f>TEXT(WEEKDAY(DATE(CalendarioAño,6,29),1),"ddd")</f>
        <v>dom</v>
      </c>
      <c r="AF80" s="16" t="str">
        <f>TEXT(WEEKDAY(DATE(CalendarioAño,6,30),1),"ddd")</f>
        <v>lun</v>
      </c>
      <c r="AG80" s="16"/>
      <c r="AH80" s="32"/>
    </row>
    <row r="81" ht="30.0" customHeight="1">
      <c r="A81" s="111"/>
      <c r="B81" s="33" t="s">
        <v>202</v>
      </c>
      <c r="C81" s="19" t="s">
        <v>15</v>
      </c>
      <c r="D81" s="19" t="s">
        <v>16</v>
      </c>
      <c r="E81" s="19" t="s">
        <v>17</v>
      </c>
      <c r="F81" s="19" t="s">
        <v>18</v>
      </c>
      <c r="G81" s="19" t="s">
        <v>19</v>
      </c>
      <c r="H81" s="19" t="s">
        <v>20</v>
      </c>
      <c r="I81" s="19" t="s">
        <v>21</v>
      </c>
      <c r="J81" s="19" t="s">
        <v>22</v>
      </c>
      <c r="K81" s="19" t="s">
        <v>23</v>
      </c>
      <c r="L81" s="19" t="s">
        <v>24</v>
      </c>
      <c r="M81" s="19" t="s">
        <v>25</v>
      </c>
      <c r="N81" s="19" t="s">
        <v>26</v>
      </c>
      <c r="O81" s="19" t="s">
        <v>27</v>
      </c>
      <c r="P81" s="19" t="s">
        <v>28</v>
      </c>
      <c r="Q81" s="19" t="s">
        <v>29</v>
      </c>
      <c r="R81" s="19" t="s">
        <v>30</v>
      </c>
      <c r="S81" s="19" t="s">
        <v>31</v>
      </c>
      <c r="T81" s="19" t="s">
        <v>32</v>
      </c>
      <c r="U81" s="19" t="s">
        <v>33</v>
      </c>
      <c r="V81" s="19" t="s">
        <v>34</v>
      </c>
      <c r="W81" s="19" t="s">
        <v>35</v>
      </c>
      <c r="X81" s="19" t="s">
        <v>36</v>
      </c>
      <c r="Y81" s="19" t="s">
        <v>37</v>
      </c>
      <c r="Z81" s="19" t="s">
        <v>38</v>
      </c>
      <c r="AA81" s="19" t="s">
        <v>39</v>
      </c>
      <c r="AB81" s="19" t="s">
        <v>40</v>
      </c>
      <c r="AC81" s="19" t="s">
        <v>41</v>
      </c>
      <c r="AD81" s="19" t="s">
        <v>42</v>
      </c>
      <c r="AE81" s="19" t="s">
        <v>43</v>
      </c>
      <c r="AF81" s="19" t="s">
        <v>44</v>
      </c>
      <c r="AG81" s="19" t="s">
        <v>89</v>
      </c>
      <c r="AH81" s="19" t="s">
        <v>220</v>
      </c>
    </row>
    <row r="82" ht="30.0" customHeight="1">
      <c r="B82" s="20" t="s">
        <v>105</v>
      </c>
      <c r="C82" s="100"/>
      <c r="D82" s="10" t="s">
        <v>6</v>
      </c>
      <c r="E82" s="10" t="s">
        <v>6</v>
      </c>
      <c r="F82" s="21"/>
      <c r="G82" s="21"/>
      <c r="H82" s="10" t="s">
        <v>6</v>
      </c>
      <c r="I82" s="21"/>
      <c r="J82" s="21"/>
      <c r="K82" s="21"/>
      <c r="L82" s="10" t="s">
        <v>6</v>
      </c>
      <c r="M82" s="10" t="s">
        <v>6</v>
      </c>
      <c r="N82" s="21"/>
      <c r="O82" s="10" t="s">
        <v>6</v>
      </c>
      <c r="P82" s="21"/>
      <c r="Q82" s="21"/>
      <c r="R82" s="10" t="s">
        <v>6</v>
      </c>
      <c r="S82" s="10" t="s">
        <v>6</v>
      </c>
      <c r="T82" s="21"/>
      <c r="U82" s="21"/>
      <c r="V82" s="21"/>
      <c r="W82" s="21"/>
      <c r="X82" s="21"/>
      <c r="Y82" s="10" t="s">
        <v>6</v>
      </c>
      <c r="Z82" s="21"/>
      <c r="AA82" s="10" t="s">
        <v>6</v>
      </c>
      <c r="AB82" s="21"/>
      <c r="AC82" s="10" t="s">
        <v>6</v>
      </c>
      <c r="AD82" s="21"/>
      <c r="AE82" s="21"/>
      <c r="AF82" s="10" t="s">
        <v>6</v>
      </c>
      <c r="AG82" s="21"/>
      <c r="AH82" s="25"/>
    </row>
    <row r="83" ht="30.0" customHeight="1">
      <c r="B83" s="20" t="s">
        <v>292</v>
      </c>
      <c r="C83" s="100"/>
      <c r="D83" s="21"/>
      <c r="E83" s="10" t="s">
        <v>6</v>
      </c>
      <c r="F83" s="21"/>
      <c r="G83" s="10" t="s">
        <v>6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83" t="s">
        <v>174</v>
      </c>
      <c r="T83" s="21"/>
      <c r="U83" s="83" t="s">
        <v>174</v>
      </c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5"/>
    </row>
    <row r="84" ht="30.0" customHeight="1">
      <c r="B84" s="20" t="s">
        <v>79</v>
      </c>
      <c r="C84" s="21"/>
      <c r="D84" s="21"/>
      <c r="E84" s="10" t="s">
        <v>6</v>
      </c>
      <c r="F84" s="21"/>
      <c r="G84" s="10" t="s">
        <v>6</v>
      </c>
      <c r="H84" s="21"/>
      <c r="I84" s="21"/>
      <c r="J84" s="21"/>
      <c r="K84" s="21"/>
      <c r="L84" s="10" t="s">
        <v>6</v>
      </c>
      <c r="M84" s="21"/>
      <c r="N84" s="21"/>
      <c r="O84" s="21"/>
      <c r="P84" s="21"/>
      <c r="Q84" s="21"/>
      <c r="R84" s="21"/>
      <c r="S84" s="10" t="s">
        <v>6</v>
      </c>
      <c r="T84" s="21"/>
      <c r="U84" s="10" t="s">
        <v>6</v>
      </c>
      <c r="V84" s="21"/>
      <c r="W84" s="21"/>
      <c r="X84" s="21"/>
      <c r="Y84" s="21"/>
      <c r="Z84" s="10" t="s">
        <v>6</v>
      </c>
      <c r="AA84" s="21"/>
      <c r="AB84" s="10" t="s">
        <v>6</v>
      </c>
      <c r="AC84" s="21"/>
      <c r="AD84" s="21"/>
      <c r="AE84" s="21"/>
      <c r="AF84" s="10" t="s">
        <v>6</v>
      </c>
      <c r="AG84" s="21"/>
      <c r="AH84" s="25">
        <f t="shared" ref="AH84:AH86" si="1">SUM(C84:AG84)</f>
        <v>0</v>
      </c>
    </row>
    <row r="85" ht="30.0" customHeight="1">
      <c r="B85" s="20" t="s">
        <v>293</v>
      </c>
      <c r="C85" s="21"/>
      <c r="D85" s="21"/>
      <c r="E85" s="10" t="s">
        <v>6</v>
      </c>
      <c r="F85" s="21"/>
      <c r="G85" s="83" t="s">
        <v>174</v>
      </c>
      <c r="H85" s="21"/>
      <c r="I85" s="21"/>
      <c r="J85" s="21"/>
      <c r="K85" s="21"/>
      <c r="L85" s="10" t="s">
        <v>6</v>
      </c>
      <c r="M85" s="21"/>
      <c r="N85" s="10" t="s">
        <v>6</v>
      </c>
      <c r="O85" s="21"/>
      <c r="P85" s="21"/>
      <c r="Q85" s="21"/>
      <c r="R85" s="21"/>
      <c r="S85" s="10" t="s">
        <v>6</v>
      </c>
      <c r="T85" s="21"/>
      <c r="U85" s="21"/>
      <c r="V85" s="21"/>
      <c r="W85" s="21"/>
      <c r="X85" s="21"/>
      <c r="Y85" s="21"/>
      <c r="Z85" s="83" t="s">
        <v>174</v>
      </c>
      <c r="AA85" s="21"/>
      <c r="AB85" s="83" t="s">
        <v>174</v>
      </c>
      <c r="AC85" s="21"/>
      <c r="AD85" s="21"/>
      <c r="AE85" s="21"/>
      <c r="AF85" s="21"/>
      <c r="AG85" s="21"/>
      <c r="AH85" s="25">
        <f t="shared" si="1"/>
        <v>0</v>
      </c>
    </row>
    <row r="86" ht="30.0" customHeight="1">
      <c r="B86" s="20" t="s">
        <v>294</v>
      </c>
      <c r="C86" s="21"/>
      <c r="D86" s="10" t="s">
        <v>6</v>
      </c>
      <c r="E86" s="10" t="s">
        <v>6</v>
      </c>
      <c r="F86" s="10" t="s">
        <v>6</v>
      </c>
      <c r="G86" s="10" t="s">
        <v>6</v>
      </c>
      <c r="H86" s="10" t="s">
        <v>6</v>
      </c>
      <c r="I86" s="21"/>
      <c r="J86" s="21"/>
      <c r="K86" s="10" t="s">
        <v>6</v>
      </c>
      <c r="L86" s="21"/>
      <c r="M86" s="10" t="s">
        <v>6</v>
      </c>
      <c r="N86" s="10" t="s">
        <v>6</v>
      </c>
      <c r="O86" s="83" t="s">
        <v>174</v>
      </c>
      <c r="P86" s="21"/>
      <c r="Q86" s="21"/>
      <c r="R86" s="21"/>
      <c r="S86" s="21"/>
      <c r="T86" s="21"/>
      <c r="U86" s="21"/>
      <c r="V86" s="21"/>
      <c r="W86" s="21"/>
      <c r="X86" s="21"/>
      <c r="Y86" s="10" t="s">
        <v>6</v>
      </c>
      <c r="Z86" s="21"/>
      <c r="AA86" s="21"/>
      <c r="AB86" s="21"/>
      <c r="AC86" s="21"/>
      <c r="AD86" s="21"/>
      <c r="AE86" s="21"/>
      <c r="AF86" s="21"/>
      <c r="AG86" s="21"/>
      <c r="AH86" s="25">
        <f t="shared" si="1"/>
        <v>0</v>
      </c>
    </row>
    <row r="87" ht="30.0" customHeight="1">
      <c r="B87" s="20" t="s">
        <v>295</v>
      </c>
      <c r="C87" s="27"/>
      <c r="D87" s="10" t="s">
        <v>6</v>
      </c>
      <c r="E87" s="27"/>
      <c r="F87" s="27"/>
      <c r="G87" s="27"/>
      <c r="H87" s="10" t="s">
        <v>6</v>
      </c>
      <c r="I87" s="27"/>
      <c r="J87" s="27"/>
      <c r="K87" s="10" t="s">
        <v>6</v>
      </c>
      <c r="L87" s="27"/>
      <c r="M87" s="27"/>
      <c r="N87" s="27"/>
      <c r="O87" s="27"/>
      <c r="P87" s="27"/>
      <c r="Q87" s="27"/>
      <c r="R87" s="10" t="s">
        <v>6</v>
      </c>
      <c r="S87" s="27"/>
      <c r="T87" s="27"/>
      <c r="U87" s="27"/>
      <c r="V87" s="10" t="s">
        <v>6</v>
      </c>
      <c r="W87" s="10" t="s">
        <v>6</v>
      </c>
      <c r="X87" s="27"/>
      <c r="Y87" s="10" t="s">
        <v>6</v>
      </c>
      <c r="Z87" s="27"/>
      <c r="AA87" s="27"/>
      <c r="AB87" s="27"/>
      <c r="AC87" s="27"/>
      <c r="AD87" s="10" t="s">
        <v>6</v>
      </c>
      <c r="AE87" s="27"/>
      <c r="AF87" s="10" t="s">
        <v>6</v>
      </c>
      <c r="AG87" s="27"/>
      <c r="AH87" s="27"/>
    </row>
    <row r="88" ht="30.0" customHeight="1">
      <c r="B88" s="20" t="s">
        <v>296</v>
      </c>
      <c r="C88" s="27"/>
      <c r="D88" s="10" t="s">
        <v>6</v>
      </c>
      <c r="E88" s="27"/>
      <c r="F88" s="27"/>
      <c r="G88" s="27"/>
      <c r="H88" s="10" t="s">
        <v>6</v>
      </c>
      <c r="I88" s="27"/>
      <c r="J88" s="27"/>
      <c r="K88" s="10" t="s">
        <v>6</v>
      </c>
      <c r="L88" s="27"/>
      <c r="M88" s="27"/>
      <c r="N88" s="27"/>
      <c r="O88" s="27"/>
      <c r="P88" s="27"/>
      <c r="Q88" s="27"/>
      <c r="R88" s="10" t="s">
        <v>6</v>
      </c>
      <c r="S88" s="27"/>
      <c r="T88" s="27"/>
      <c r="U88" s="27"/>
      <c r="V88" s="10" t="s">
        <v>6</v>
      </c>
      <c r="W88" s="10" t="s">
        <v>6</v>
      </c>
      <c r="X88" s="27"/>
      <c r="Y88" s="10" t="s">
        <v>6</v>
      </c>
      <c r="Z88" s="27"/>
      <c r="AA88" s="27"/>
      <c r="AB88" s="27"/>
      <c r="AC88" s="27"/>
      <c r="AD88" s="10" t="s">
        <v>6</v>
      </c>
      <c r="AE88" s="27"/>
      <c r="AF88" s="10" t="s">
        <v>6</v>
      </c>
      <c r="AG88" s="27"/>
      <c r="AH88" s="27"/>
    </row>
    <row r="89" ht="30.0" customHeight="1">
      <c r="B89" s="20" t="s">
        <v>82</v>
      </c>
      <c r="C89" s="27"/>
      <c r="D89" s="27"/>
      <c r="E89" s="27"/>
      <c r="F89" s="10" t="s">
        <v>6</v>
      </c>
      <c r="G89" s="10" t="s">
        <v>6</v>
      </c>
      <c r="H89" s="27"/>
      <c r="I89" s="27"/>
      <c r="J89" s="27"/>
      <c r="K89" s="27"/>
      <c r="L89" s="27"/>
      <c r="M89" s="10" t="s">
        <v>6</v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10" t="s">
        <v>6</v>
      </c>
      <c r="AA89" s="10" t="s">
        <v>6</v>
      </c>
      <c r="AB89" s="10" t="s">
        <v>6</v>
      </c>
      <c r="AC89" s="27"/>
      <c r="AD89" s="27"/>
      <c r="AE89" s="27"/>
      <c r="AF89" s="27"/>
      <c r="AG89" s="27"/>
      <c r="AH89" s="27"/>
    </row>
    <row r="90" ht="30.0" customHeight="1">
      <c r="B90" s="20" t="s">
        <v>297</v>
      </c>
      <c r="C90" s="27"/>
      <c r="D90" s="27"/>
      <c r="E90" s="27"/>
      <c r="F90" s="10" t="s">
        <v>6</v>
      </c>
      <c r="G90" s="27"/>
      <c r="H90" s="27"/>
      <c r="I90" s="27"/>
      <c r="J90" s="27"/>
      <c r="K90" s="27"/>
      <c r="L90" s="10" t="s">
        <v>6</v>
      </c>
      <c r="M90" s="27"/>
      <c r="N90" s="10" t="s">
        <v>6</v>
      </c>
      <c r="O90" s="27"/>
      <c r="P90" s="27"/>
      <c r="Q90" s="27"/>
      <c r="R90" s="27"/>
      <c r="S90" s="27"/>
      <c r="T90" s="27"/>
      <c r="U90" s="27"/>
      <c r="V90" s="27"/>
      <c r="W90" s="10" t="s">
        <v>6</v>
      </c>
      <c r="X90" s="27"/>
      <c r="Y90" s="27"/>
      <c r="Z90" s="27"/>
      <c r="AA90" s="10" t="s">
        <v>6</v>
      </c>
      <c r="AB90" s="27"/>
      <c r="AC90" s="10" t="s">
        <v>6</v>
      </c>
      <c r="AD90" s="27"/>
      <c r="AE90" s="27"/>
      <c r="AF90" s="27"/>
      <c r="AG90" s="27"/>
      <c r="AH90" s="27"/>
    </row>
    <row r="91" ht="30.0" customHeight="1">
      <c r="B91" s="20" t="s">
        <v>298</v>
      </c>
      <c r="C91" s="27"/>
      <c r="D91" s="27"/>
      <c r="E91" s="27"/>
      <c r="F91" s="10" t="s">
        <v>6</v>
      </c>
      <c r="G91" s="27"/>
      <c r="H91" s="27"/>
      <c r="I91" s="27"/>
      <c r="J91" s="27"/>
      <c r="K91" s="27"/>
      <c r="L91" s="27"/>
      <c r="M91" s="27"/>
      <c r="N91" s="10" t="s">
        <v>6</v>
      </c>
      <c r="O91" s="10" t="s">
        <v>6</v>
      </c>
      <c r="P91" s="27"/>
      <c r="Q91" s="27"/>
      <c r="R91" s="27"/>
      <c r="S91" s="10" t="s">
        <v>6</v>
      </c>
      <c r="T91" s="27"/>
      <c r="U91" s="27"/>
      <c r="V91" s="27"/>
      <c r="W91" s="27"/>
      <c r="X91" s="27"/>
      <c r="Y91" s="27"/>
      <c r="Z91" s="10" t="s">
        <v>6</v>
      </c>
      <c r="AA91" s="27"/>
      <c r="AB91" s="10" t="s">
        <v>6</v>
      </c>
      <c r="AC91" s="27"/>
      <c r="AD91" s="27"/>
      <c r="AE91" s="27"/>
      <c r="AF91" s="27"/>
      <c r="AG91" s="27"/>
      <c r="AH91" s="27"/>
    </row>
    <row r="92" ht="30.0" customHeight="1">
      <c r="B92" s="20" t="s">
        <v>299</v>
      </c>
      <c r="C92" s="27"/>
      <c r="D92" s="27"/>
      <c r="E92" s="27"/>
      <c r="F92" s="10" t="s">
        <v>6</v>
      </c>
      <c r="G92" s="37" t="s">
        <v>89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10" t="s">
        <v>6</v>
      </c>
      <c r="X92" s="27"/>
      <c r="Y92" s="27"/>
      <c r="Z92" s="27"/>
      <c r="AA92" s="27"/>
      <c r="AB92" s="27"/>
      <c r="AC92" s="27"/>
      <c r="AD92" s="10" t="s">
        <v>6</v>
      </c>
      <c r="AE92" s="27"/>
      <c r="AF92" s="27"/>
      <c r="AG92" s="27"/>
      <c r="AH92" s="27"/>
    </row>
    <row r="93" ht="30.0" customHeight="1">
      <c r="B93" s="20" t="s">
        <v>222</v>
      </c>
      <c r="C93" s="27"/>
      <c r="D93" s="27"/>
      <c r="E93" s="27"/>
      <c r="F93" s="27"/>
      <c r="G93" s="10" t="s">
        <v>6</v>
      </c>
      <c r="H93" s="27"/>
      <c r="I93" s="27"/>
      <c r="J93" s="27"/>
      <c r="K93" s="27"/>
      <c r="L93" s="10" t="s">
        <v>6</v>
      </c>
      <c r="M93" s="27"/>
      <c r="N93" s="27"/>
      <c r="O93" s="27"/>
      <c r="P93" s="27"/>
      <c r="Q93" s="27"/>
      <c r="R93" s="27"/>
      <c r="S93" s="27"/>
      <c r="T93" s="10" t="s">
        <v>6</v>
      </c>
      <c r="U93" s="27"/>
      <c r="V93" s="27"/>
      <c r="W93" s="27"/>
      <c r="X93" s="27"/>
      <c r="Y93" s="27"/>
      <c r="Z93" s="27"/>
      <c r="AA93" s="27"/>
      <c r="AB93" s="10" t="s">
        <v>6</v>
      </c>
      <c r="AC93" s="10" t="s">
        <v>6</v>
      </c>
      <c r="AD93" s="27"/>
      <c r="AE93" s="27"/>
      <c r="AF93" s="27"/>
      <c r="AG93" s="27"/>
      <c r="AH93" s="27"/>
    </row>
    <row r="94" ht="30.0" customHeight="1">
      <c r="B94" s="20" t="s">
        <v>300</v>
      </c>
      <c r="C94" s="27"/>
      <c r="D94" s="27"/>
      <c r="E94" s="27"/>
      <c r="F94" s="27"/>
      <c r="G94" s="10" t="s">
        <v>6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10" t="s">
        <v>6</v>
      </c>
      <c r="Z94" s="27"/>
      <c r="AA94" s="10" t="s">
        <v>6</v>
      </c>
      <c r="AB94" s="10" t="s">
        <v>6</v>
      </c>
      <c r="AC94" s="27"/>
      <c r="AD94" s="10" t="s">
        <v>6</v>
      </c>
      <c r="AE94" s="27"/>
      <c r="AF94" s="27"/>
      <c r="AG94" s="27"/>
      <c r="AH94" s="27"/>
    </row>
    <row r="95" ht="30.0" customHeight="1">
      <c r="B95" s="20" t="s">
        <v>115</v>
      </c>
      <c r="C95" s="27"/>
      <c r="D95" s="27"/>
      <c r="E95" s="27"/>
      <c r="F95" s="27"/>
      <c r="G95" s="27"/>
      <c r="H95" s="10" t="s">
        <v>6</v>
      </c>
      <c r="I95" s="27"/>
      <c r="J95" s="27"/>
      <c r="K95" s="27"/>
      <c r="L95" s="27"/>
      <c r="M95" s="27"/>
      <c r="N95" s="27"/>
      <c r="O95" s="10" t="s">
        <v>6</v>
      </c>
      <c r="P95" s="10" t="s">
        <v>6</v>
      </c>
      <c r="Q95" s="27"/>
      <c r="R95" s="27"/>
      <c r="S95" s="27"/>
      <c r="T95" s="27"/>
      <c r="U95" s="27"/>
      <c r="V95" s="10" t="s">
        <v>6</v>
      </c>
      <c r="W95" s="27"/>
      <c r="X95" s="27"/>
      <c r="Y95" s="27"/>
      <c r="Z95" s="27"/>
      <c r="AA95" s="27"/>
      <c r="AB95" s="27"/>
      <c r="AC95" s="10" t="s">
        <v>6</v>
      </c>
      <c r="AD95" s="27"/>
      <c r="AE95" s="27"/>
      <c r="AF95" s="27"/>
      <c r="AG95" s="27"/>
      <c r="AH95" s="27"/>
    </row>
    <row r="96" ht="30.0" customHeight="1">
      <c r="B96" s="20" t="s">
        <v>301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10" t="s">
        <v>6</v>
      </c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10" t="s">
        <v>6</v>
      </c>
      <c r="AE96" s="27"/>
      <c r="AF96" s="27"/>
      <c r="AG96" s="27"/>
      <c r="AH96" s="27"/>
    </row>
    <row r="97" ht="30.0" customHeight="1">
      <c r="B97" s="20" t="s">
        <v>302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10" t="s">
        <v>6</v>
      </c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</row>
    <row r="98" ht="30.0" customHeight="1">
      <c r="B98" s="20" t="s">
        <v>106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10" t="s">
        <v>6</v>
      </c>
      <c r="AG98" s="10"/>
      <c r="AH98" s="27"/>
    </row>
    <row r="99" ht="30.0" customHeight="1">
      <c r="B99" s="20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</row>
    <row r="100" ht="30.0" customHeight="1">
      <c r="B100" s="20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</row>
    <row r="101" ht="30.0" customHeight="1">
      <c r="B101" s="26" t="str">
        <f>Junio!MonthName&amp;" Total"</f>
        <v>Junio Total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</row>
    <row r="102" ht="30.0" customHeight="1"/>
    <row r="103" ht="30.0" customHeight="1">
      <c r="B103" s="32" t="s">
        <v>258</v>
      </c>
      <c r="C103" s="80" t="s">
        <v>303</v>
      </c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32">
        <f>CalendarioAño</f>
        <v>2025</v>
      </c>
    </row>
    <row r="104" ht="30.0" customHeight="1">
      <c r="B104" s="32"/>
      <c r="C104" s="16" t="str">
        <f>TEXT(WEEKDAY(DATE(CalendarioAño,6,1),1),"ddd")</f>
        <v>dom</v>
      </c>
      <c r="D104" s="16" t="str">
        <f>TEXT(WEEKDAY(DATE(CalendarioAño,6,2),1),"ddd")</f>
        <v>lun</v>
      </c>
      <c r="E104" s="16" t="str">
        <f>TEXT(WEEKDAY(DATE(CalendarioAño,6,3),1),"ddd")</f>
        <v>mar</v>
      </c>
      <c r="F104" s="16" t="str">
        <f>TEXT(WEEKDAY(DATE(CalendarioAño,6,4),1),"ddd")</f>
        <v>mié</v>
      </c>
      <c r="G104" s="16" t="str">
        <f>TEXT(WEEKDAY(DATE(CalendarioAño,6,5),1),"ddd")</f>
        <v>jue</v>
      </c>
      <c r="H104" s="16" t="str">
        <f>TEXT(WEEKDAY(DATE(CalendarioAño,6,6),1),"ddd")</f>
        <v>vie</v>
      </c>
      <c r="I104" s="16" t="str">
        <f>TEXT(WEEKDAY(DATE(CalendarioAño,6,7),1),"ddd")</f>
        <v>sáb</v>
      </c>
      <c r="J104" s="16" t="str">
        <f>TEXT(WEEKDAY(DATE(CalendarioAño,6,8),1),"ddd")</f>
        <v>dom</v>
      </c>
      <c r="K104" s="16" t="str">
        <f>TEXT(WEEKDAY(DATE(CalendarioAño,6,9),1),"ddd")</f>
        <v>lun</v>
      </c>
      <c r="L104" s="16" t="str">
        <f>TEXT(WEEKDAY(DATE(CalendarioAño,6,10),1),"ddd")</f>
        <v>mar</v>
      </c>
      <c r="M104" s="16" t="str">
        <f>TEXT(WEEKDAY(DATE(CalendarioAño,6,11),1),"ddd")</f>
        <v>mié</v>
      </c>
      <c r="N104" s="16" t="str">
        <f>TEXT(WEEKDAY(DATE(CalendarioAño,6,12),1),"ddd")</f>
        <v>jue</v>
      </c>
      <c r="O104" s="16" t="str">
        <f>TEXT(WEEKDAY(DATE(CalendarioAño,6,13),1),"ddd")</f>
        <v>vie</v>
      </c>
      <c r="P104" s="16" t="str">
        <f>TEXT(WEEKDAY(DATE(CalendarioAño,6,14),1),"ddd")</f>
        <v>sáb</v>
      </c>
      <c r="Q104" s="16" t="str">
        <f>TEXT(WEEKDAY(DATE(CalendarioAño,6,15),1),"ddd")</f>
        <v>dom</v>
      </c>
      <c r="R104" s="16" t="str">
        <f>TEXT(WEEKDAY(DATE(CalendarioAño,6,16),1),"ddd")</f>
        <v>lun</v>
      </c>
      <c r="S104" s="16" t="str">
        <f>TEXT(WEEKDAY(DATE(CalendarioAño,6,17),1),"ddd")</f>
        <v>mar</v>
      </c>
      <c r="T104" s="16" t="str">
        <f>TEXT(WEEKDAY(DATE(CalendarioAño,6,18),1),"ddd")</f>
        <v>mié</v>
      </c>
      <c r="U104" s="16" t="str">
        <f>TEXT(WEEKDAY(DATE(CalendarioAño,6,19),1),"ddd")</f>
        <v>jue</v>
      </c>
      <c r="V104" s="16" t="str">
        <f>TEXT(WEEKDAY(DATE(CalendarioAño,6,20),1),"ddd")</f>
        <v>vie</v>
      </c>
      <c r="W104" s="16" t="str">
        <f>TEXT(WEEKDAY(DATE(CalendarioAño,6,21),1),"ddd")</f>
        <v>sáb</v>
      </c>
      <c r="X104" s="16" t="str">
        <f>TEXT(WEEKDAY(DATE(CalendarioAño,6,22),1),"ddd")</f>
        <v>dom</v>
      </c>
      <c r="Y104" s="16" t="str">
        <f>TEXT(WEEKDAY(DATE(CalendarioAño,6,23),1),"ddd")</f>
        <v>lun</v>
      </c>
      <c r="Z104" s="16" t="str">
        <f>TEXT(WEEKDAY(DATE(CalendarioAño,6,24),1),"ddd")</f>
        <v>mar</v>
      </c>
      <c r="AA104" s="16" t="str">
        <f>TEXT(WEEKDAY(DATE(CalendarioAño,6,25),1),"ddd")</f>
        <v>mié</v>
      </c>
      <c r="AB104" s="16" t="str">
        <f>TEXT(WEEKDAY(DATE(CalendarioAño,6,26),1),"ddd")</f>
        <v>jue</v>
      </c>
      <c r="AC104" s="16" t="str">
        <f>TEXT(WEEKDAY(DATE(CalendarioAño,6,27),1),"ddd")</f>
        <v>vie</v>
      </c>
      <c r="AD104" s="16" t="str">
        <f>TEXT(WEEKDAY(DATE(CalendarioAño,6,28),1),"ddd")</f>
        <v>sáb</v>
      </c>
      <c r="AE104" s="16" t="str">
        <f>TEXT(WEEKDAY(DATE(CalendarioAño,6,29),1),"ddd")</f>
        <v>dom</v>
      </c>
      <c r="AF104" s="16" t="str">
        <f>TEXT(WEEKDAY(DATE(CalendarioAño,6,30),1),"ddd")</f>
        <v>lun</v>
      </c>
      <c r="AG104" s="16"/>
      <c r="AH104" s="32"/>
    </row>
    <row r="105" ht="30.0" customHeight="1">
      <c r="A105" s="111"/>
      <c r="B105" s="33" t="s">
        <v>202</v>
      </c>
      <c r="C105" s="19" t="s">
        <v>15</v>
      </c>
      <c r="D105" s="19" t="s">
        <v>16</v>
      </c>
      <c r="E105" s="19" t="s">
        <v>17</v>
      </c>
      <c r="F105" s="19" t="s">
        <v>18</v>
      </c>
      <c r="G105" s="19" t="s">
        <v>19</v>
      </c>
      <c r="H105" s="19" t="s">
        <v>20</v>
      </c>
      <c r="I105" s="19" t="s">
        <v>21</v>
      </c>
      <c r="J105" s="19" t="s">
        <v>22</v>
      </c>
      <c r="K105" s="19" t="s">
        <v>23</v>
      </c>
      <c r="L105" s="19" t="s">
        <v>24</v>
      </c>
      <c r="M105" s="19" t="s">
        <v>25</v>
      </c>
      <c r="N105" s="19" t="s">
        <v>26</v>
      </c>
      <c r="O105" s="19" t="s">
        <v>27</v>
      </c>
      <c r="P105" s="19" t="s">
        <v>28</v>
      </c>
      <c r="Q105" s="19" t="s">
        <v>29</v>
      </c>
      <c r="R105" s="19" t="s">
        <v>30</v>
      </c>
      <c r="S105" s="19" t="s">
        <v>31</v>
      </c>
      <c r="T105" s="19" t="s">
        <v>32</v>
      </c>
      <c r="U105" s="19" t="s">
        <v>33</v>
      </c>
      <c r="V105" s="19" t="s">
        <v>34</v>
      </c>
      <c r="W105" s="19" t="s">
        <v>35</v>
      </c>
      <c r="X105" s="19" t="s">
        <v>36</v>
      </c>
      <c r="Y105" s="19" t="s">
        <v>37</v>
      </c>
      <c r="Z105" s="19" t="s">
        <v>38</v>
      </c>
      <c r="AA105" s="19" t="s">
        <v>39</v>
      </c>
      <c r="AB105" s="19" t="s">
        <v>40</v>
      </c>
      <c r="AC105" s="19" t="s">
        <v>41</v>
      </c>
      <c r="AD105" s="19" t="s">
        <v>42</v>
      </c>
      <c r="AE105" s="19" t="s">
        <v>43</v>
      </c>
      <c r="AF105" s="19" t="s">
        <v>44</v>
      </c>
      <c r="AG105" s="19" t="s">
        <v>89</v>
      </c>
      <c r="AH105" s="19" t="s">
        <v>220</v>
      </c>
    </row>
    <row r="106" ht="30.0" customHeight="1">
      <c r="B106" s="20" t="s">
        <v>251</v>
      </c>
      <c r="C106" s="100"/>
      <c r="D106" s="21"/>
      <c r="E106" s="10" t="s">
        <v>6</v>
      </c>
      <c r="F106" s="21"/>
      <c r="G106" s="21"/>
      <c r="H106" s="21"/>
      <c r="I106" s="21"/>
      <c r="J106" s="21"/>
      <c r="K106" s="10" t="s">
        <v>6</v>
      </c>
      <c r="L106" s="10" t="s">
        <v>6</v>
      </c>
      <c r="M106" s="21"/>
      <c r="N106" s="10" t="s">
        <v>6</v>
      </c>
      <c r="O106" s="21"/>
      <c r="P106" s="21"/>
      <c r="Q106" s="21"/>
      <c r="R106" s="21"/>
      <c r="S106" s="21"/>
      <c r="T106" s="21"/>
      <c r="U106" s="10" t="s">
        <v>6</v>
      </c>
      <c r="V106" s="21"/>
      <c r="W106" s="21"/>
      <c r="X106" s="21"/>
      <c r="Y106" s="21"/>
      <c r="Z106" s="10" t="s">
        <v>6</v>
      </c>
      <c r="AA106" s="21"/>
      <c r="AB106" s="10" t="s">
        <v>6</v>
      </c>
      <c r="AC106" s="21"/>
      <c r="AD106" s="21"/>
      <c r="AE106" s="21"/>
      <c r="AF106" s="21"/>
      <c r="AG106" s="21"/>
      <c r="AH106" s="25"/>
    </row>
    <row r="107" ht="30.0" customHeight="1">
      <c r="B107" s="20" t="s">
        <v>304</v>
      </c>
      <c r="C107" s="100"/>
      <c r="D107" s="10" t="s">
        <v>6</v>
      </c>
      <c r="E107" s="21"/>
      <c r="F107" s="21"/>
      <c r="G107" s="21"/>
      <c r="H107" s="10" t="s">
        <v>6</v>
      </c>
      <c r="I107" s="21"/>
      <c r="J107" s="21"/>
      <c r="K107" s="21"/>
      <c r="L107" s="21"/>
      <c r="M107" s="10" t="s">
        <v>6</v>
      </c>
      <c r="N107" s="21"/>
      <c r="O107" s="21"/>
      <c r="P107" s="21"/>
      <c r="Q107" s="21"/>
      <c r="R107" s="10" t="s">
        <v>6</v>
      </c>
      <c r="S107" s="10" t="s">
        <v>6</v>
      </c>
      <c r="T107" s="21"/>
      <c r="U107" s="10" t="s">
        <v>6</v>
      </c>
      <c r="V107" s="10" t="s">
        <v>6</v>
      </c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5"/>
    </row>
    <row r="108" ht="30.0" customHeight="1">
      <c r="B108" s="20" t="s">
        <v>305</v>
      </c>
      <c r="C108" s="21"/>
      <c r="D108" s="21"/>
      <c r="E108" s="10" t="s">
        <v>6</v>
      </c>
      <c r="F108" s="21"/>
      <c r="G108" s="83" t="s">
        <v>174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5">
        <f t="shared" ref="AH108:AH109" si="2">SUM(C108:AG108)</f>
        <v>0</v>
      </c>
    </row>
    <row r="109" ht="30.0" customHeight="1">
      <c r="B109" s="20" t="s">
        <v>306</v>
      </c>
      <c r="C109" s="21"/>
      <c r="D109" s="21"/>
      <c r="E109" s="10" t="s">
        <v>6</v>
      </c>
      <c r="F109" s="21"/>
      <c r="G109" s="10" t="s">
        <v>6</v>
      </c>
      <c r="H109" s="21"/>
      <c r="I109" s="21"/>
      <c r="J109" s="21"/>
      <c r="K109" s="21"/>
      <c r="L109" s="10" t="s">
        <v>6</v>
      </c>
      <c r="M109" s="21"/>
      <c r="N109" s="10" t="s">
        <v>6</v>
      </c>
      <c r="O109" s="21"/>
      <c r="P109" s="21"/>
      <c r="Q109" s="21"/>
      <c r="R109" s="21"/>
      <c r="S109" s="10" t="s">
        <v>6</v>
      </c>
      <c r="T109" s="21"/>
      <c r="U109" s="10" t="s">
        <v>6</v>
      </c>
      <c r="V109" s="21"/>
      <c r="W109" s="21"/>
      <c r="X109" s="21"/>
      <c r="Y109" s="21"/>
      <c r="Z109" s="10" t="s">
        <v>6</v>
      </c>
      <c r="AA109" s="21"/>
      <c r="AB109" s="21"/>
      <c r="AC109" s="21"/>
      <c r="AD109" s="21"/>
      <c r="AE109" s="21"/>
      <c r="AF109" s="21"/>
      <c r="AG109" s="21"/>
      <c r="AH109" s="25">
        <f t="shared" si="2"/>
        <v>0</v>
      </c>
    </row>
    <row r="110" ht="30.0" customHeight="1">
      <c r="B110" s="20" t="s">
        <v>133</v>
      </c>
      <c r="C110" s="21"/>
      <c r="D110" s="21"/>
      <c r="E110" s="21"/>
      <c r="F110" s="10" t="s">
        <v>6</v>
      </c>
      <c r="G110" s="21"/>
      <c r="H110" s="21"/>
      <c r="I110" s="21"/>
      <c r="J110" s="21"/>
      <c r="K110" s="21"/>
      <c r="L110" s="10" t="s">
        <v>6</v>
      </c>
      <c r="M110" s="10" t="s">
        <v>6</v>
      </c>
      <c r="N110" s="21"/>
      <c r="O110" s="10" t="s">
        <v>6</v>
      </c>
      <c r="P110" s="21"/>
      <c r="Q110" s="21"/>
      <c r="R110" s="21"/>
      <c r="S110" s="21"/>
      <c r="T110" s="10" t="s">
        <v>6</v>
      </c>
      <c r="U110" s="21"/>
      <c r="V110" s="10" t="s">
        <v>6</v>
      </c>
      <c r="W110" s="21"/>
      <c r="X110" s="21"/>
      <c r="Y110" s="21"/>
      <c r="Z110" s="21"/>
      <c r="AA110" s="10" t="s">
        <v>6</v>
      </c>
      <c r="AB110" s="21"/>
      <c r="AC110" s="10" t="s">
        <v>6</v>
      </c>
      <c r="AD110" s="21"/>
      <c r="AE110" s="21"/>
      <c r="AF110" s="21"/>
      <c r="AG110" s="21"/>
      <c r="AH110" s="25"/>
    </row>
    <row r="111" ht="30.0" customHeight="1">
      <c r="B111" s="20" t="s">
        <v>178</v>
      </c>
      <c r="C111" s="21"/>
      <c r="D111" s="21"/>
      <c r="E111" s="21"/>
      <c r="F111" s="10" t="s">
        <v>6</v>
      </c>
      <c r="G111" s="21"/>
      <c r="H111" s="21"/>
      <c r="I111" s="21"/>
      <c r="J111" s="21"/>
      <c r="K111" s="21"/>
      <c r="L111" s="21"/>
      <c r="M111" s="10" t="s">
        <v>6</v>
      </c>
      <c r="N111" s="21"/>
      <c r="O111" s="21"/>
      <c r="P111" s="21"/>
      <c r="Q111" s="21"/>
      <c r="R111" s="21"/>
      <c r="S111" s="21"/>
      <c r="T111" s="10" t="s">
        <v>6</v>
      </c>
      <c r="U111" s="21"/>
      <c r="V111" s="21"/>
      <c r="W111" s="21"/>
      <c r="X111" s="21"/>
      <c r="Y111" s="21"/>
      <c r="Z111" s="21"/>
      <c r="AA111" s="10" t="s">
        <v>6</v>
      </c>
      <c r="AB111" s="21"/>
      <c r="AC111" s="21"/>
      <c r="AD111" s="21"/>
      <c r="AE111" s="21"/>
      <c r="AF111" s="21"/>
      <c r="AG111" s="21"/>
      <c r="AH111" s="25">
        <f>SUM(C111:AG111)</f>
        <v>0</v>
      </c>
    </row>
    <row r="112" ht="30.0" customHeight="1">
      <c r="B112" s="20" t="s">
        <v>215</v>
      </c>
      <c r="C112" s="21"/>
      <c r="D112" s="21"/>
      <c r="E112" s="21"/>
      <c r="F112" s="10" t="s">
        <v>6</v>
      </c>
      <c r="G112" s="21"/>
      <c r="H112" s="21"/>
      <c r="I112" s="21"/>
      <c r="J112" s="21"/>
      <c r="K112" s="21"/>
      <c r="L112" s="21"/>
      <c r="M112" s="10" t="s">
        <v>6</v>
      </c>
      <c r="N112" s="21"/>
      <c r="O112" s="21"/>
      <c r="P112" s="21"/>
      <c r="Q112" s="21"/>
      <c r="R112" s="21"/>
      <c r="S112" s="21"/>
      <c r="T112" s="83" t="s">
        <v>174</v>
      </c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5"/>
    </row>
    <row r="113" ht="30.0" customHeight="1">
      <c r="B113" s="20" t="s">
        <v>307</v>
      </c>
      <c r="C113" s="21"/>
      <c r="D113" s="21"/>
      <c r="E113" s="21"/>
      <c r="F113" s="21"/>
      <c r="G113" s="21"/>
      <c r="H113" s="10" t="s">
        <v>6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10" t="s">
        <v>6</v>
      </c>
      <c r="T113" s="21"/>
      <c r="U113" s="21"/>
      <c r="V113" s="21"/>
      <c r="W113" s="21"/>
      <c r="X113" s="21"/>
      <c r="Y113" s="21"/>
      <c r="Z113" s="21"/>
      <c r="AA113" s="10" t="s">
        <v>6</v>
      </c>
      <c r="AB113" s="21"/>
      <c r="AC113" s="10" t="s">
        <v>6</v>
      </c>
      <c r="AD113" s="21"/>
      <c r="AE113" s="21"/>
      <c r="AF113" s="21"/>
      <c r="AG113" s="21"/>
      <c r="AH113" s="25"/>
    </row>
    <row r="114" ht="30.0" customHeight="1">
      <c r="B114" s="20" t="s">
        <v>111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10" t="s">
        <v>6</v>
      </c>
      <c r="P114" s="21"/>
      <c r="Q114" s="21"/>
      <c r="R114" s="21"/>
      <c r="S114" s="21"/>
      <c r="T114" s="21"/>
      <c r="U114" s="21"/>
      <c r="V114" s="21"/>
      <c r="W114" s="10" t="s">
        <v>6</v>
      </c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5"/>
    </row>
    <row r="115" ht="30.0" customHeight="1">
      <c r="B115" s="20" t="s">
        <v>121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10" t="s">
        <v>6</v>
      </c>
      <c r="P115" s="21"/>
      <c r="Q115" s="21"/>
      <c r="R115" s="21"/>
      <c r="S115" s="21"/>
      <c r="T115" s="21"/>
      <c r="U115" s="21"/>
      <c r="V115" s="21"/>
      <c r="W115" s="10" t="s">
        <v>6</v>
      </c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5"/>
    </row>
    <row r="116" ht="30.0" customHeight="1">
      <c r="B116" s="20" t="s">
        <v>308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10" t="s">
        <v>6</v>
      </c>
      <c r="P116" s="21"/>
      <c r="Q116" s="21"/>
      <c r="R116" s="21"/>
      <c r="S116" s="21"/>
      <c r="T116" s="21"/>
      <c r="U116" s="21"/>
      <c r="V116" s="21"/>
      <c r="W116" s="10" t="s">
        <v>6</v>
      </c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5"/>
    </row>
    <row r="117" ht="30.0" customHeight="1">
      <c r="B117" s="20" t="s">
        <v>309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10" t="s">
        <v>6</v>
      </c>
      <c r="S117" s="21"/>
      <c r="T117" s="21"/>
      <c r="U117" s="10" t="s">
        <v>6</v>
      </c>
      <c r="V117" s="21"/>
      <c r="W117" s="21"/>
      <c r="X117" s="21"/>
      <c r="Y117" s="10" t="s">
        <v>6</v>
      </c>
      <c r="Z117" s="21"/>
      <c r="AA117" s="21"/>
      <c r="AB117" s="10" t="s">
        <v>6</v>
      </c>
      <c r="AC117" s="21"/>
      <c r="AD117" s="21"/>
      <c r="AE117" s="21"/>
      <c r="AF117" s="21"/>
      <c r="AG117" s="21"/>
      <c r="AH117" s="25"/>
    </row>
    <row r="118" ht="30.0" customHeight="1">
      <c r="B118" s="20" t="s">
        <v>310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10" t="s">
        <v>6</v>
      </c>
      <c r="W118" s="21"/>
      <c r="X118" s="21"/>
      <c r="Y118" s="21"/>
      <c r="Z118" s="21"/>
      <c r="AA118" s="10" t="s">
        <v>6</v>
      </c>
      <c r="AB118" s="21"/>
      <c r="AC118" s="10" t="s">
        <v>6</v>
      </c>
      <c r="AD118" s="21"/>
      <c r="AE118" s="21"/>
      <c r="AF118" s="21"/>
      <c r="AG118" s="21"/>
      <c r="AH118" s="25"/>
    </row>
    <row r="119" ht="30.0" customHeight="1">
      <c r="B119" s="20" t="s">
        <v>311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113"/>
      <c r="W119" s="21"/>
      <c r="X119" s="21"/>
      <c r="Y119" s="21"/>
      <c r="Z119" s="21"/>
      <c r="AA119" s="113"/>
      <c r="AB119" s="10" t="s">
        <v>6</v>
      </c>
      <c r="AC119" s="21"/>
      <c r="AD119" s="21"/>
      <c r="AE119" s="21"/>
      <c r="AF119" s="21"/>
      <c r="AG119" s="21"/>
      <c r="AH119" s="25"/>
    </row>
    <row r="120" ht="30.0" customHeight="1">
      <c r="B120" s="26" t="str">
        <f>Junio!MonthName&amp;" Total"</f>
        <v>Junio Total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ht="30.0" customHeight="1"/>
    <row r="122" ht="30.0" customHeight="1">
      <c r="A122" s="43"/>
      <c r="B122" s="49" t="s">
        <v>258</v>
      </c>
      <c r="C122" s="101" t="s">
        <v>312</v>
      </c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49">
        <f>CalendarioAño</f>
        <v>2025</v>
      </c>
    </row>
    <row r="123" ht="30.0" customHeight="1">
      <c r="A123" s="43"/>
      <c r="B123" s="51"/>
      <c r="C123" s="52" t="str">
        <f>TEXT(WEEKDAY(DATE(CalendarioAño,6,1),1),"ddd")</f>
        <v>dom</v>
      </c>
      <c r="D123" s="52" t="str">
        <f>TEXT(WEEKDAY(DATE(CalendarioAño,6,2),1),"ddd")</f>
        <v>lun</v>
      </c>
      <c r="E123" s="52" t="str">
        <f>TEXT(WEEKDAY(DATE(CalendarioAño,6,3),1),"ddd")</f>
        <v>mar</v>
      </c>
      <c r="F123" s="52" t="str">
        <f>TEXT(WEEKDAY(DATE(CalendarioAño,6,4),1),"ddd")</f>
        <v>mié</v>
      </c>
      <c r="G123" s="52" t="str">
        <f>TEXT(WEEKDAY(DATE(CalendarioAño,6,5),1),"ddd")</f>
        <v>jue</v>
      </c>
      <c r="H123" s="52" t="str">
        <f>TEXT(WEEKDAY(DATE(CalendarioAño,6,6),1),"ddd")</f>
        <v>vie</v>
      </c>
      <c r="I123" s="52" t="str">
        <f>TEXT(WEEKDAY(DATE(CalendarioAño,6,7),1),"ddd")</f>
        <v>sáb</v>
      </c>
      <c r="J123" s="52" t="str">
        <f>TEXT(WEEKDAY(DATE(CalendarioAño,6,8),1),"ddd")</f>
        <v>dom</v>
      </c>
      <c r="K123" s="52" t="str">
        <f>TEXT(WEEKDAY(DATE(CalendarioAño,6,9),1),"ddd")</f>
        <v>lun</v>
      </c>
      <c r="L123" s="52" t="str">
        <f>TEXT(WEEKDAY(DATE(CalendarioAño,6,10),1),"ddd")</f>
        <v>mar</v>
      </c>
      <c r="M123" s="52" t="str">
        <f>TEXT(WEEKDAY(DATE(CalendarioAño,6,11),1),"ddd")</f>
        <v>mié</v>
      </c>
      <c r="N123" s="52" t="str">
        <f>TEXT(WEEKDAY(DATE(CalendarioAño,6,12),1),"ddd")</f>
        <v>jue</v>
      </c>
      <c r="O123" s="52" t="str">
        <f>TEXT(WEEKDAY(DATE(CalendarioAño,6,13),1),"ddd")</f>
        <v>vie</v>
      </c>
      <c r="P123" s="52" t="str">
        <f>TEXT(WEEKDAY(DATE(CalendarioAño,6,14),1),"ddd")</f>
        <v>sáb</v>
      </c>
      <c r="Q123" s="52" t="str">
        <f>TEXT(WEEKDAY(DATE(CalendarioAño,6,15),1),"ddd")</f>
        <v>dom</v>
      </c>
      <c r="R123" s="52" t="str">
        <f>TEXT(WEEKDAY(DATE(CalendarioAño,6,16),1),"ddd")</f>
        <v>lun</v>
      </c>
      <c r="S123" s="52" t="str">
        <f>TEXT(WEEKDAY(DATE(CalendarioAño,6,17),1),"ddd")</f>
        <v>mar</v>
      </c>
      <c r="T123" s="52" t="str">
        <f>TEXT(WEEKDAY(DATE(CalendarioAño,6,18),1),"ddd")</f>
        <v>mié</v>
      </c>
      <c r="U123" s="52" t="str">
        <f>TEXT(WEEKDAY(DATE(CalendarioAño,6,19),1),"ddd")</f>
        <v>jue</v>
      </c>
      <c r="V123" s="52" t="str">
        <f>TEXT(WEEKDAY(DATE(CalendarioAño,6,20),1),"ddd")</f>
        <v>vie</v>
      </c>
      <c r="W123" s="52" t="str">
        <f>TEXT(WEEKDAY(DATE(CalendarioAño,6,21),1),"ddd")</f>
        <v>sáb</v>
      </c>
      <c r="X123" s="52" t="str">
        <f>TEXT(WEEKDAY(DATE(CalendarioAño,6,22),1),"ddd")</f>
        <v>dom</v>
      </c>
      <c r="Y123" s="52" t="str">
        <f>TEXT(WEEKDAY(DATE(CalendarioAño,6,23),1),"ddd")</f>
        <v>lun</v>
      </c>
      <c r="Z123" s="52" t="str">
        <f>TEXT(WEEKDAY(DATE(CalendarioAño,6,24),1),"ddd")</f>
        <v>mar</v>
      </c>
      <c r="AA123" s="52" t="str">
        <f>TEXT(WEEKDAY(DATE(CalendarioAño,6,25),1),"ddd")</f>
        <v>mié</v>
      </c>
      <c r="AB123" s="52" t="str">
        <f>TEXT(WEEKDAY(DATE(CalendarioAño,6,26),1),"ddd")</f>
        <v>jue</v>
      </c>
      <c r="AC123" s="52" t="str">
        <f>TEXT(WEEKDAY(DATE(CalendarioAño,6,27),1),"ddd")</f>
        <v>vie</v>
      </c>
      <c r="AD123" s="52" t="str">
        <f>TEXT(WEEKDAY(DATE(CalendarioAño,6,28),1),"ddd")</f>
        <v>sáb</v>
      </c>
      <c r="AE123" s="52" t="str">
        <f>TEXT(WEEKDAY(DATE(CalendarioAño,6,29),1),"ddd")</f>
        <v>dom</v>
      </c>
      <c r="AF123" s="52" t="str">
        <f>TEXT(WEEKDAY(DATE(CalendarioAño,6,30),1),"ddd")</f>
        <v>lun</v>
      </c>
      <c r="AG123" s="43"/>
      <c r="AH123" s="51"/>
    </row>
    <row r="124" ht="30.0" customHeight="1">
      <c r="A124" s="67"/>
      <c r="B124" s="68" t="s">
        <v>202</v>
      </c>
      <c r="C124" s="69" t="s">
        <v>15</v>
      </c>
      <c r="D124" s="69" t="s">
        <v>16</v>
      </c>
      <c r="E124" s="69" t="s">
        <v>17</v>
      </c>
      <c r="F124" s="69" t="s">
        <v>18</v>
      </c>
      <c r="G124" s="69" t="s">
        <v>19</v>
      </c>
      <c r="H124" s="69" t="s">
        <v>20</v>
      </c>
      <c r="I124" s="69" t="s">
        <v>21</v>
      </c>
      <c r="J124" s="69" t="s">
        <v>22</v>
      </c>
      <c r="K124" s="69" t="s">
        <v>23</v>
      </c>
      <c r="L124" s="69" t="s">
        <v>24</v>
      </c>
      <c r="M124" s="69" t="s">
        <v>25</v>
      </c>
      <c r="N124" s="69" t="s">
        <v>26</v>
      </c>
      <c r="O124" s="69" t="s">
        <v>27</v>
      </c>
      <c r="P124" s="69" t="s">
        <v>28</v>
      </c>
      <c r="Q124" s="69" t="s">
        <v>29</v>
      </c>
      <c r="R124" s="69" t="s">
        <v>30</v>
      </c>
      <c r="S124" s="69" t="s">
        <v>31</v>
      </c>
      <c r="T124" s="69" t="s">
        <v>32</v>
      </c>
      <c r="U124" s="69" t="s">
        <v>33</v>
      </c>
      <c r="V124" s="69" t="s">
        <v>34</v>
      </c>
      <c r="W124" s="69" t="s">
        <v>35</v>
      </c>
      <c r="X124" s="69" t="s">
        <v>36</v>
      </c>
      <c r="Y124" s="69" t="s">
        <v>37</v>
      </c>
      <c r="Z124" s="69" t="s">
        <v>38</v>
      </c>
      <c r="AA124" s="69" t="s">
        <v>39</v>
      </c>
      <c r="AB124" s="69" t="s">
        <v>40</v>
      </c>
      <c r="AC124" s="69" t="s">
        <v>41</v>
      </c>
      <c r="AD124" s="69" t="s">
        <v>42</v>
      </c>
      <c r="AE124" s="69" t="s">
        <v>43</v>
      </c>
      <c r="AF124" s="69" t="s">
        <v>44</v>
      </c>
      <c r="AG124" s="69" t="s">
        <v>89</v>
      </c>
      <c r="AH124" s="69" t="s">
        <v>220</v>
      </c>
    </row>
    <row r="125" ht="30.0" customHeight="1">
      <c r="A125" s="43"/>
      <c r="B125" s="57" t="s">
        <v>313</v>
      </c>
      <c r="C125" s="108"/>
      <c r="D125" s="10" t="s">
        <v>6</v>
      </c>
      <c r="E125" s="58"/>
      <c r="F125" s="10" t="s">
        <v>6</v>
      </c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105"/>
    </row>
    <row r="126" ht="30.0" customHeight="1">
      <c r="A126" s="43"/>
      <c r="B126" s="60" t="s">
        <v>184</v>
      </c>
      <c r="C126" s="106"/>
      <c r="D126" s="61"/>
      <c r="E126" s="10" t="s">
        <v>6</v>
      </c>
      <c r="F126" s="61"/>
      <c r="G126" s="10" t="s">
        <v>6</v>
      </c>
      <c r="H126" s="61"/>
      <c r="I126" s="61"/>
      <c r="J126" s="61"/>
      <c r="K126" s="61"/>
      <c r="L126" s="61"/>
      <c r="M126" s="61"/>
      <c r="N126" s="10" t="s">
        <v>6</v>
      </c>
      <c r="O126" s="61"/>
      <c r="P126" s="61"/>
      <c r="Q126" s="61"/>
      <c r="R126" s="10" t="s">
        <v>6</v>
      </c>
      <c r="S126" s="61"/>
      <c r="T126" s="61"/>
      <c r="U126" s="10" t="s">
        <v>6</v>
      </c>
      <c r="V126" s="10" t="s">
        <v>6</v>
      </c>
      <c r="W126" s="61"/>
      <c r="X126" s="61"/>
      <c r="Y126" s="61"/>
      <c r="Z126" s="10" t="s">
        <v>6</v>
      </c>
      <c r="AA126" s="61"/>
      <c r="AB126" s="10" t="s">
        <v>6</v>
      </c>
      <c r="AC126" s="61"/>
      <c r="AD126" s="61"/>
      <c r="AE126" s="61"/>
      <c r="AF126" s="10" t="s">
        <v>6</v>
      </c>
      <c r="AG126" s="61"/>
      <c r="AH126" s="107"/>
    </row>
    <row r="127" ht="30.0" customHeight="1">
      <c r="A127" s="43"/>
      <c r="B127" s="57" t="s">
        <v>314</v>
      </c>
      <c r="C127" s="58"/>
      <c r="D127" s="58"/>
      <c r="E127" s="10" t="s">
        <v>6</v>
      </c>
      <c r="F127" s="58"/>
      <c r="G127" s="58"/>
      <c r="H127" s="58"/>
      <c r="I127" s="58"/>
      <c r="J127" s="58"/>
      <c r="K127" s="58"/>
      <c r="L127" s="83" t="s">
        <v>174</v>
      </c>
      <c r="M127" s="58"/>
      <c r="N127" s="10" t="s">
        <v>6</v>
      </c>
      <c r="O127" s="58"/>
      <c r="P127" s="58"/>
      <c r="Q127" s="58"/>
      <c r="R127" s="58"/>
      <c r="S127" s="10" t="s">
        <v>6</v>
      </c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9">
        <f t="shared" ref="AH127:AH128" si="3">SUM(C127:AG127)</f>
        <v>0</v>
      </c>
    </row>
    <row r="128" ht="30.0" customHeight="1">
      <c r="A128" s="43"/>
      <c r="B128" s="60" t="s">
        <v>315</v>
      </c>
      <c r="C128" s="61"/>
      <c r="D128" s="61"/>
      <c r="E128" s="10" t="s">
        <v>6</v>
      </c>
      <c r="F128" s="61"/>
      <c r="G128" s="10" t="s">
        <v>6</v>
      </c>
      <c r="H128" s="61"/>
      <c r="I128" s="61"/>
      <c r="J128" s="61"/>
      <c r="K128" s="61"/>
      <c r="L128" s="10" t="s">
        <v>6</v>
      </c>
      <c r="M128" s="61"/>
      <c r="N128" s="10" t="s">
        <v>6</v>
      </c>
      <c r="O128" s="61"/>
      <c r="P128" s="61"/>
      <c r="Q128" s="61"/>
      <c r="R128" s="61"/>
      <c r="S128" s="61"/>
      <c r="T128" s="61"/>
      <c r="U128" s="10" t="s">
        <v>6</v>
      </c>
      <c r="V128" s="10" t="s">
        <v>6</v>
      </c>
      <c r="W128" s="61"/>
      <c r="X128" s="61"/>
      <c r="Y128" s="61"/>
      <c r="Z128" s="61"/>
      <c r="AA128" s="10" t="s">
        <v>6</v>
      </c>
      <c r="AB128" s="10" t="s">
        <v>6</v>
      </c>
      <c r="AC128" s="61"/>
      <c r="AD128" s="61"/>
      <c r="AE128" s="61"/>
      <c r="AF128" s="61"/>
      <c r="AG128" s="61"/>
      <c r="AH128" s="70">
        <f t="shared" si="3"/>
        <v>0</v>
      </c>
    </row>
    <row r="129" ht="30.0" customHeight="1">
      <c r="A129" s="43"/>
      <c r="B129" s="57" t="s">
        <v>316</v>
      </c>
      <c r="C129" s="58"/>
      <c r="D129" s="58"/>
      <c r="E129" s="58"/>
      <c r="F129" s="58"/>
      <c r="G129" s="58"/>
      <c r="H129" s="10" t="s">
        <v>6</v>
      </c>
      <c r="I129" s="58"/>
      <c r="J129" s="58"/>
      <c r="K129" s="58"/>
      <c r="L129" s="58"/>
      <c r="M129" s="58"/>
      <c r="N129" s="58"/>
      <c r="O129" s="58"/>
      <c r="P129" s="10" t="s">
        <v>6</v>
      </c>
      <c r="Q129" s="58"/>
      <c r="R129" s="58"/>
      <c r="S129" s="58"/>
      <c r="T129" s="58"/>
      <c r="U129" s="58"/>
      <c r="V129" s="10" t="s">
        <v>6</v>
      </c>
      <c r="W129" s="10" t="s">
        <v>6</v>
      </c>
      <c r="X129" s="58"/>
      <c r="Y129" s="58"/>
      <c r="Z129" s="58"/>
      <c r="AA129" s="58"/>
      <c r="AB129" s="58"/>
      <c r="AC129" s="10" t="s">
        <v>6</v>
      </c>
      <c r="AD129" s="10" t="s">
        <v>6</v>
      </c>
      <c r="AE129" s="58"/>
      <c r="AF129" s="58"/>
      <c r="AG129" s="58"/>
      <c r="AH129" s="59"/>
    </row>
    <row r="130" ht="30.0" customHeight="1">
      <c r="A130" s="43"/>
      <c r="B130" s="57" t="s">
        <v>317</v>
      </c>
      <c r="C130" s="58"/>
      <c r="D130" s="58"/>
      <c r="E130" s="58"/>
      <c r="F130" s="58"/>
      <c r="G130" s="58"/>
      <c r="H130" s="58"/>
      <c r="I130" s="58"/>
      <c r="J130" s="58"/>
      <c r="K130" s="58"/>
      <c r="L130" s="10" t="s">
        <v>6</v>
      </c>
      <c r="M130" s="58"/>
      <c r="N130" s="10" t="s">
        <v>6</v>
      </c>
      <c r="O130" s="58"/>
      <c r="P130" s="58"/>
      <c r="Q130" s="58"/>
      <c r="R130" s="10" t="s">
        <v>6</v>
      </c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9"/>
    </row>
    <row r="131" ht="30.0" customHeight="1">
      <c r="A131" s="43"/>
      <c r="B131" s="57" t="s">
        <v>318</v>
      </c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10" t="s">
        <v>6</v>
      </c>
      <c r="W131" s="58"/>
      <c r="X131" s="58"/>
      <c r="Y131" s="58"/>
      <c r="Z131" s="10" t="s">
        <v>6</v>
      </c>
      <c r="AA131" s="58"/>
      <c r="AB131" s="58"/>
      <c r="AC131" s="58"/>
      <c r="AD131" s="58"/>
      <c r="AE131" s="58"/>
      <c r="AF131" s="10" t="s">
        <v>6</v>
      </c>
      <c r="AG131" s="58"/>
      <c r="AH131" s="59"/>
    </row>
    <row r="132" ht="30.0" customHeight="1">
      <c r="A132" s="43"/>
      <c r="B132" s="57" t="s">
        <v>187</v>
      </c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10" t="s">
        <v>6</v>
      </c>
      <c r="X132" s="58"/>
      <c r="Y132" s="58"/>
      <c r="Z132" s="58"/>
      <c r="AA132" s="58"/>
      <c r="AB132" s="58"/>
      <c r="AC132" s="58"/>
      <c r="AD132" s="10" t="s">
        <v>6</v>
      </c>
      <c r="AE132" s="58"/>
      <c r="AF132" s="58"/>
      <c r="AG132" s="58"/>
      <c r="AH132" s="59"/>
    </row>
    <row r="133" ht="30.0" customHeight="1">
      <c r="A133" s="43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9">
        <f>SUM(C133:AG133)</f>
        <v>0</v>
      </c>
    </row>
    <row r="134" ht="30.0" customHeight="1">
      <c r="A134" s="43"/>
      <c r="B134" s="99" t="str">
        <f>Junio!MonthName&amp;" Total"</f>
        <v>Junio Total</v>
      </c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</row>
    <row r="135" ht="30.0" customHeight="1"/>
    <row r="136" ht="30.0" customHeight="1">
      <c r="A136" s="43"/>
      <c r="B136" s="49" t="s">
        <v>258</v>
      </c>
      <c r="C136" s="101" t="s">
        <v>319</v>
      </c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49">
        <f>CalendarioAño</f>
        <v>2025</v>
      </c>
    </row>
    <row r="137" ht="30.0" customHeight="1">
      <c r="A137" s="43"/>
      <c r="B137" s="51"/>
      <c r="C137" s="52" t="str">
        <f>TEXT(WEEKDAY(DATE(CalendarioAño,6,1),1),"ddd")</f>
        <v>dom</v>
      </c>
      <c r="D137" s="52" t="str">
        <f>TEXT(WEEKDAY(DATE(CalendarioAño,6,2),1),"ddd")</f>
        <v>lun</v>
      </c>
      <c r="E137" s="52" t="str">
        <f>TEXT(WEEKDAY(DATE(CalendarioAño,6,3),1),"ddd")</f>
        <v>mar</v>
      </c>
      <c r="F137" s="52" t="str">
        <f>TEXT(WEEKDAY(DATE(CalendarioAño,6,4),1),"ddd")</f>
        <v>mié</v>
      </c>
      <c r="G137" s="52" t="str">
        <f>TEXT(WEEKDAY(DATE(CalendarioAño,6,5),1),"ddd")</f>
        <v>jue</v>
      </c>
      <c r="H137" s="52" t="str">
        <f>TEXT(WEEKDAY(DATE(CalendarioAño,6,6),1),"ddd")</f>
        <v>vie</v>
      </c>
      <c r="I137" s="52" t="str">
        <f>TEXT(WEEKDAY(DATE(CalendarioAño,6,7),1),"ddd")</f>
        <v>sáb</v>
      </c>
      <c r="J137" s="52" t="str">
        <f>TEXT(WEEKDAY(DATE(CalendarioAño,6,8),1),"ddd")</f>
        <v>dom</v>
      </c>
      <c r="K137" s="52" t="str">
        <f>TEXT(WEEKDAY(DATE(CalendarioAño,6,9),1),"ddd")</f>
        <v>lun</v>
      </c>
      <c r="L137" s="52" t="str">
        <f>TEXT(WEEKDAY(DATE(CalendarioAño,6,10),1),"ddd")</f>
        <v>mar</v>
      </c>
      <c r="M137" s="52" t="str">
        <f>TEXT(WEEKDAY(DATE(CalendarioAño,6,11),1),"ddd")</f>
        <v>mié</v>
      </c>
      <c r="N137" s="52" t="str">
        <f>TEXT(WEEKDAY(DATE(CalendarioAño,6,12),1),"ddd")</f>
        <v>jue</v>
      </c>
      <c r="O137" s="52" t="str">
        <f>TEXT(WEEKDAY(DATE(CalendarioAño,6,13),1),"ddd")</f>
        <v>vie</v>
      </c>
      <c r="P137" s="52" t="str">
        <f>TEXT(WEEKDAY(DATE(CalendarioAño,6,14),1),"ddd")</f>
        <v>sáb</v>
      </c>
      <c r="Q137" s="52" t="str">
        <f>TEXT(WEEKDAY(DATE(CalendarioAño,6,15),1),"ddd")</f>
        <v>dom</v>
      </c>
      <c r="R137" s="52" t="str">
        <f>TEXT(WEEKDAY(DATE(CalendarioAño,6,16),1),"ddd")</f>
        <v>lun</v>
      </c>
      <c r="S137" s="52" t="str">
        <f>TEXT(WEEKDAY(DATE(CalendarioAño,6,17),1),"ddd")</f>
        <v>mar</v>
      </c>
      <c r="T137" s="52" t="str">
        <f>TEXT(WEEKDAY(DATE(CalendarioAño,6,18),1),"ddd")</f>
        <v>mié</v>
      </c>
      <c r="U137" s="52" t="str">
        <f>TEXT(WEEKDAY(DATE(CalendarioAño,6,19),1),"ddd")</f>
        <v>jue</v>
      </c>
      <c r="V137" s="52" t="str">
        <f>TEXT(WEEKDAY(DATE(CalendarioAño,6,20),1),"ddd")</f>
        <v>vie</v>
      </c>
      <c r="W137" s="52" t="str">
        <f>TEXT(WEEKDAY(DATE(CalendarioAño,6,21),1),"ddd")</f>
        <v>sáb</v>
      </c>
      <c r="X137" s="52" t="str">
        <f>TEXT(WEEKDAY(DATE(CalendarioAño,6,22),1),"ddd")</f>
        <v>dom</v>
      </c>
      <c r="Y137" s="52" t="str">
        <f>TEXT(WEEKDAY(DATE(CalendarioAño,6,23),1),"ddd")</f>
        <v>lun</v>
      </c>
      <c r="Z137" s="52" t="str">
        <f>TEXT(WEEKDAY(DATE(CalendarioAño,6,24),1),"ddd")</f>
        <v>mar</v>
      </c>
      <c r="AA137" s="52" t="str">
        <f>TEXT(WEEKDAY(DATE(CalendarioAño,6,25),1),"ddd")</f>
        <v>mié</v>
      </c>
      <c r="AB137" s="52" t="str">
        <f>TEXT(WEEKDAY(DATE(CalendarioAño,6,26),1),"ddd")</f>
        <v>jue</v>
      </c>
      <c r="AC137" s="52" t="str">
        <f>TEXT(WEEKDAY(DATE(CalendarioAño,6,27),1),"ddd")</f>
        <v>vie</v>
      </c>
      <c r="AD137" s="52" t="str">
        <f>TEXT(WEEKDAY(DATE(CalendarioAño,6,28),1),"ddd")</f>
        <v>sáb</v>
      </c>
      <c r="AE137" s="52" t="str">
        <f>TEXT(WEEKDAY(DATE(CalendarioAño,6,29),1),"ddd")</f>
        <v>dom</v>
      </c>
      <c r="AF137" s="52" t="str">
        <f>TEXT(WEEKDAY(DATE(CalendarioAño,6,30),1),"ddd")</f>
        <v>lun</v>
      </c>
      <c r="AG137" s="43"/>
      <c r="AH137" s="51"/>
    </row>
    <row r="138" ht="30.0" customHeight="1">
      <c r="A138" s="67"/>
      <c r="B138" s="68" t="s">
        <v>202</v>
      </c>
      <c r="C138" s="69" t="s">
        <v>15</v>
      </c>
      <c r="D138" s="69" t="s">
        <v>16</v>
      </c>
      <c r="E138" s="69" t="s">
        <v>17</v>
      </c>
      <c r="F138" s="69" t="s">
        <v>18</v>
      </c>
      <c r="G138" s="69" t="s">
        <v>19</v>
      </c>
      <c r="H138" s="69" t="s">
        <v>20</v>
      </c>
      <c r="I138" s="69" t="s">
        <v>21</v>
      </c>
      <c r="J138" s="69" t="s">
        <v>22</v>
      </c>
      <c r="K138" s="69" t="s">
        <v>23</v>
      </c>
      <c r="L138" s="69" t="s">
        <v>24</v>
      </c>
      <c r="M138" s="69" t="s">
        <v>25</v>
      </c>
      <c r="N138" s="69" t="s">
        <v>26</v>
      </c>
      <c r="O138" s="69" t="s">
        <v>27</v>
      </c>
      <c r="P138" s="69" t="s">
        <v>28</v>
      </c>
      <c r="Q138" s="69" t="s">
        <v>29</v>
      </c>
      <c r="R138" s="69" t="s">
        <v>30</v>
      </c>
      <c r="S138" s="69" t="s">
        <v>31</v>
      </c>
      <c r="T138" s="69" t="s">
        <v>32</v>
      </c>
      <c r="U138" s="69" t="s">
        <v>33</v>
      </c>
      <c r="V138" s="69" t="s">
        <v>34</v>
      </c>
      <c r="W138" s="69" t="s">
        <v>35</v>
      </c>
      <c r="X138" s="69" t="s">
        <v>36</v>
      </c>
      <c r="Y138" s="69" t="s">
        <v>37</v>
      </c>
      <c r="Z138" s="69" t="s">
        <v>38</v>
      </c>
      <c r="AA138" s="69" t="s">
        <v>39</v>
      </c>
      <c r="AB138" s="69" t="s">
        <v>40</v>
      </c>
      <c r="AC138" s="69" t="s">
        <v>41</v>
      </c>
      <c r="AD138" s="69" t="s">
        <v>42</v>
      </c>
      <c r="AE138" s="69" t="s">
        <v>43</v>
      </c>
      <c r="AF138" s="69" t="s">
        <v>44</v>
      </c>
      <c r="AG138" s="69" t="s">
        <v>89</v>
      </c>
      <c r="AH138" s="69" t="s">
        <v>220</v>
      </c>
    </row>
    <row r="139" ht="30.0" customHeight="1">
      <c r="A139" s="43"/>
      <c r="B139" s="57" t="s">
        <v>320</v>
      </c>
      <c r="C139" s="108"/>
      <c r="D139" s="10" t="s">
        <v>6</v>
      </c>
      <c r="E139" s="58"/>
      <c r="F139" s="58"/>
      <c r="G139" s="58"/>
      <c r="H139" s="58"/>
      <c r="I139" s="58"/>
      <c r="J139" s="58"/>
      <c r="K139" s="10" t="s">
        <v>6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105"/>
    </row>
    <row r="140" ht="30.0" customHeight="1">
      <c r="A140" s="43"/>
      <c r="B140" s="60" t="s">
        <v>255</v>
      </c>
      <c r="C140" s="106"/>
      <c r="D140" s="10" t="s">
        <v>6</v>
      </c>
      <c r="E140" s="61"/>
      <c r="F140" s="10" t="s">
        <v>6</v>
      </c>
      <c r="G140" s="61"/>
      <c r="H140" s="61"/>
      <c r="I140" s="61"/>
      <c r="J140" s="61"/>
      <c r="K140" s="10" t="s">
        <v>6</v>
      </c>
      <c r="L140" s="61"/>
      <c r="M140" s="61"/>
      <c r="N140" s="61"/>
      <c r="O140" s="61"/>
      <c r="P140" s="61"/>
      <c r="Q140" s="61"/>
      <c r="R140" s="10" t="s">
        <v>6</v>
      </c>
      <c r="S140" s="61"/>
      <c r="T140" s="61"/>
      <c r="U140" s="61"/>
      <c r="V140" s="61"/>
      <c r="W140" s="61"/>
      <c r="X140" s="61"/>
      <c r="Y140" s="10" t="s">
        <v>6</v>
      </c>
      <c r="Z140" s="61"/>
      <c r="AA140" s="10" t="s">
        <v>6</v>
      </c>
      <c r="AB140" s="61"/>
      <c r="AC140" s="61"/>
      <c r="AD140" s="61"/>
      <c r="AE140" s="61"/>
      <c r="AF140" s="10" t="s">
        <v>6</v>
      </c>
      <c r="AG140" s="61"/>
      <c r="AH140" s="107"/>
    </row>
    <row r="141" ht="30.0" customHeight="1">
      <c r="A141" s="43"/>
      <c r="B141" s="57" t="s">
        <v>189</v>
      </c>
      <c r="C141" s="58"/>
      <c r="D141" s="58"/>
      <c r="E141" s="58"/>
      <c r="F141" s="10" t="s">
        <v>6</v>
      </c>
      <c r="G141" s="58"/>
      <c r="H141" s="10" t="s">
        <v>6</v>
      </c>
      <c r="I141" s="58"/>
      <c r="J141" s="58"/>
      <c r="K141" s="58"/>
      <c r="L141" s="58"/>
      <c r="M141" s="10" t="s">
        <v>6</v>
      </c>
      <c r="N141" s="58"/>
      <c r="O141" s="10" t="s">
        <v>6</v>
      </c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9">
        <f t="shared" ref="AH141:AH143" si="4">SUM(C141:AG141)</f>
        <v>0</v>
      </c>
    </row>
    <row r="142" ht="30.0" customHeight="1">
      <c r="A142" s="43"/>
      <c r="B142" s="60" t="s">
        <v>321</v>
      </c>
      <c r="C142" s="61"/>
      <c r="D142" s="61"/>
      <c r="E142" s="61"/>
      <c r="F142" s="10" t="s">
        <v>6</v>
      </c>
      <c r="G142" s="61"/>
      <c r="H142" s="10" t="s">
        <v>6</v>
      </c>
      <c r="I142" s="61"/>
      <c r="J142" s="61"/>
      <c r="K142" s="58"/>
      <c r="L142" s="61"/>
      <c r="M142" s="10" t="s">
        <v>6</v>
      </c>
      <c r="N142" s="61"/>
      <c r="O142" s="10" t="s">
        <v>6</v>
      </c>
      <c r="P142" s="61"/>
      <c r="Q142" s="61"/>
      <c r="R142" s="61"/>
      <c r="S142" s="61"/>
      <c r="T142" s="61"/>
      <c r="U142" s="61"/>
      <c r="V142" s="10" t="s">
        <v>6</v>
      </c>
      <c r="W142" s="61"/>
      <c r="X142" s="61"/>
      <c r="Y142" s="61"/>
      <c r="Z142" s="61"/>
      <c r="AA142" s="61"/>
      <c r="AB142" s="61"/>
      <c r="AC142" s="61"/>
      <c r="AD142" s="61"/>
      <c r="AE142" s="61"/>
      <c r="AF142" s="10" t="s">
        <v>6</v>
      </c>
      <c r="AG142" s="61"/>
      <c r="AH142" s="70">
        <f t="shared" si="4"/>
        <v>0</v>
      </c>
    </row>
    <row r="143" ht="30.0" customHeight="1">
      <c r="A143" s="43"/>
      <c r="B143" s="57" t="s">
        <v>147</v>
      </c>
      <c r="C143" s="58"/>
      <c r="D143" s="58"/>
      <c r="E143" s="58"/>
      <c r="F143" s="58"/>
      <c r="G143" s="58"/>
      <c r="H143" s="58"/>
      <c r="I143" s="58"/>
      <c r="J143" s="58"/>
      <c r="K143" s="10" t="s">
        <v>6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10" t="s">
        <v>6</v>
      </c>
      <c r="X143" s="58"/>
      <c r="Y143" s="58"/>
      <c r="Z143" s="58"/>
      <c r="AA143" s="58"/>
      <c r="AB143" s="58"/>
      <c r="AC143" s="10" t="s">
        <v>6</v>
      </c>
      <c r="AD143" s="58"/>
      <c r="AE143" s="58"/>
      <c r="AF143" s="58"/>
      <c r="AG143" s="58"/>
      <c r="AH143" s="59">
        <f t="shared" si="4"/>
        <v>0</v>
      </c>
    </row>
    <row r="144" ht="30.0" customHeight="1">
      <c r="A144" s="43"/>
      <c r="B144" s="57" t="s">
        <v>322</v>
      </c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10" t="s">
        <v>6</v>
      </c>
      <c r="N144" s="58"/>
      <c r="O144" s="10" t="s">
        <v>6</v>
      </c>
      <c r="P144" s="58"/>
      <c r="Q144" s="58"/>
      <c r="R144" s="10" t="s">
        <v>6</v>
      </c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9"/>
    </row>
    <row r="145" ht="30.0" customHeight="1">
      <c r="A145" s="43"/>
      <c r="B145" s="57" t="s">
        <v>323</v>
      </c>
      <c r="C145" s="58"/>
      <c r="D145" s="58"/>
      <c r="E145" s="58"/>
      <c r="F145" s="58"/>
      <c r="G145" s="58"/>
      <c r="H145" s="58"/>
      <c r="I145" s="58"/>
      <c r="J145" s="58"/>
      <c r="K145" s="10" t="s">
        <v>6</v>
      </c>
      <c r="L145" s="58"/>
      <c r="M145" s="10" t="s">
        <v>6</v>
      </c>
      <c r="N145" s="58"/>
      <c r="O145" s="58"/>
      <c r="P145" s="10" t="s">
        <v>6</v>
      </c>
      <c r="Q145" s="58"/>
      <c r="R145" s="10" t="s">
        <v>6</v>
      </c>
      <c r="S145" s="58"/>
      <c r="T145" s="10" t="s">
        <v>6</v>
      </c>
      <c r="U145" s="58"/>
      <c r="V145" s="58"/>
      <c r="W145" s="10" t="s">
        <v>6</v>
      </c>
      <c r="X145" s="58"/>
      <c r="Y145" s="10" t="s">
        <v>6</v>
      </c>
      <c r="Z145" s="58"/>
      <c r="AA145" s="10" t="s">
        <v>6</v>
      </c>
      <c r="AB145" s="58"/>
      <c r="AC145" s="58"/>
      <c r="AD145" s="58"/>
      <c r="AE145" s="58"/>
      <c r="AF145" s="10" t="s">
        <v>6</v>
      </c>
      <c r="AG145" s="58"/>
      <c r="AH145" s="59"/>
    </row>
    <row r="146" ht="30.0" customHeight="1">
      <c r="A146" s="43"/>
      <c r="B146" s="57" t="s">
        <v>324</v>
      </c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10" t="s">
        <v>6</v>
      </c>
      <c r="N146" s="58"/>
      <c r="O146" s="10" t="s">
        <v>6</v>
      </c>
      <c r="P146" s="58"/>
      <c r="Q146" s="58"/>
      <c r="R146" s="10" t="s">
        <v>6</v>
      </c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9"/>
    </row>
    <row r="147" ht="30.0" customHeight="1">
      <c r="A147" s="43"/>
      <c r="B147" s="57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9"/>
    </row>
    <row r="148" ht="30.0" customHeight="1">
      <c r="A148" s="43"/>
      <c r="B148" s="57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9"/>
    </row>
    <row r="149" ht="30.0" customHeight="1">
      <c r="A149" s="43"/>
      <c r="B149" s="99" t="str">
        <f>Junio!MonthName&amp;" Total"</f>
        <v>Junio Total</v>
      </c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</row>
    <row r="150" ht="30.0" customHeight="1"/>
    <row r="151" ht="30.0" customHeight="1">
      <c r="A151" s="43"/>
      <c r="B151" s="49" t="s">
        <v>258</v>
      </c>
      <c r="C151" s="101" t="s">
        <v>325</v>
      </c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49">
        <f>CalendarioAño</f>
        <v>2025</v>
      </c>
    </row>
    <row r="152" ht="30.0" customHeight="1">
      <c r="A152" s="43"/>
      <c r="B152" s="51"/>
      <c r="C152" s="52" t="str">
        <f>TEXT(WEEKDAY(DATE(CalendarioAño,6,1),1),"ddd")</f>
        <v>dom</v>
      </c>
      <c r="D152" s="52" t="str">
        <f>TEXT(WEEKDAY(DATE(CalendarioAño,6,2),1),"ddd")</f>
        <v>lun</v>
      </c>
      <c r="E152" s="52" t="str">
        <f>TEXT(WEEKDAY(DATE(CalendarioAño,6,3),1),"ddd")</f>
        <v>mar</v>
      </c>
      <c r="F152" s="52" t="str">
        <f>TEXT(WEEKDAY(DATE(CalendarioAño,6,4),1),"ddd")</f>
        <v>mié</v>
      </c>
      <c r="G152" s="52" t="str">
        <f>TEXT(WEEKDAY(DATE(CalendarioAño,6,5),1),"ddd")</f>
        <v>jue</v>
      </c>
      <c r="H152" s="52" t="str">
        <f>TEXT(WEEKDAY(DATE(CalendarioAño,6,6),1),"ddd")</f>
        <v>vie</v>
      </c>
      <c r="I152" s="52" t="str">
        <f>TEXT(WEEKDAY(DATE(CalendarioAño,6,7),1),"ddd")</f>
        <v>sáb</v>
      </c>
      <c r="J152" s="52" t="str">
        <f>TEXT(WEEKDAY(DATE(CalendarioAño,6,8),1),"ddd")</f>
        <v>dom</v>
      </c>
      <c r="K152" s="52" t="str">
        <f>TEXT(WEEKDAY(DATE(CalendarioAño,6,9),1),"ddd")</f>
        <v>lun</v>
      </c>
      <c r="L152" s="52" t="str">
        <f>TEXT(WEEKDAY(DATE(CalendarioAño,6,10),1),"ddd")</f>
        <v>mar</v>
      </c>
      <c r="M152" s="52" t="str">
        <f>TEXT(WEEKDAY(DATE(CalendarioAño,6,11),1),"ddd")</f>
        <v>mié</v>
      </c>
      <c r="N152" s="52" t="str">
        <f>TEXT(WEEKDAY(DATE(CalendarioAño,6,12),1),"ddd")</f>
        <v>jue</v>
      </c>
      <c r="O152" s="52" t="str">
        <f>TEXT(WEEKDAY(DATE(CalendarioAño,6,13),1),"ddd")</f>
        <v>vie</v>
      </c>
      <c r="P152" s="52" t="str">
        <f>TEXT(WEEKDAY(DATE(CalendarioAño,6,14),1),"ddd")</f>
        <v>sáb</v>
      </c>
      <c r="Q152" s="52" t="str">
        <f>TEXT(WEEKDAY(DATE(CalendarioAño,6,15),1),"ddd")</f>
        <v>dom</v>
      </c>
      <c r="R152" s="52" t="str">
        <f>TEXT(WEEKDAY(DATE(CalendarioAño,6,16),1),"ddd")</f>
        <v>lun</v>
      </c>
      <c r="S152" s="52" t="str">
        <f>TEXT(WEEKDAY(DATE(CalendarioAño,6,17),1),"ddd")</f>
        <v>mar</v>
      </c>
      <c r="T152" s="52" t="str">
        <f>TEXT(WEEKDAY(DATE(CalendarioAño,6,18),1),"ddd")</f>
        <v>mié</v>
      </c>
      <c r="U152" s="52" t="str">
        <f>TEXT(WEEKDAY(DATE(CalendarioAño,6,19),1),"ddd")</f>
        <v>jue</v>
      </c>
      <c r="V152" s="52" t="str">
        <f>TEXT(WEEKDAY(DATE(CalendarioAño,6,20),1),"ddd")</f>
        <v>vie</v>
      </c>
      <c r="W152" s="52" t="str">
        <f>TEXT(WEEKDAY(DATE(CalendarioAño,6,21),1),"ddd")</f>
        <v>sáb</v>
      </c>
      <c r="X152" s="52" t="str">
        <f>TEXT(WEEKDAY(DATE(CalendarioAño,6,22),1),"ddd")</f>
        <v>dom</v>
      </c>
      <c r="Y152" s="52" t="str">
        <f>TEXT(WEEKDAY(DATE(CalendarioAño,6,23),1),"ddd")</f>
        <v>lun</v>
      </c>
      <c r="Z152" s="52" t="str">
        <f>TEXT(WEEKDAY(DATE(CalendarioAño,6,24),1),"ddd")</f>
        <v>mar</v>
      </c>
      <c r="AA152" s="52" t="str">
        <f>TEXT(WEEKDAY(DATE(CalendarioAño,6,25),1),"ddd")</f>
        <v>mié</v>
      </c>
      <c r="AB152" s="52" t="str">
        <f>TEXT(WEEKDAY(DATE(CalendarioAño,6,26),1),"ddd")</f>
        <v>jue</v>
      </c>
      <c r="AC152" s="52" t="str">
        <f>TEXT(WEEKDAY(DATE(CalendarioAño,6,27),1),"ddd")</f>
        <v>vie</v>
      </c>
      <c r="AD152" s="52" t="str">
        <f>TEXT(WEEKDAY(DATE(CalendarioAño,6,28),1),"ddd")</f>
        <v>sáb</v>
      </c>
      <c r="AE152" s="52" t="str">
        <f>TEXT(WEEKDAY(DATE(CalendarioAño,6,29),1),"ddd")</f>
        <v>dom</v>
      </c>
      <c r="AF152" s="52" t="str">
        <f>TEXT(WEEKDAY(DATE(CalendarioAño,6,30),1),"ddd")</f>
        <v>lun</v>
      </c>
      <c r="AG152" s="43"/>
      <c r="AH152" s="51"/>
    </row>
    <row r="153" ht="30.0" customHeight="1">
      <c r="A153" s="67"/>
      <c r="B153" s="68" t="s">
        <v>202</v>
      </c>
      <c r="C153" s="69" t="s">
        <v>15</v>
      </c>
      <c r="D153" s="69" t="s">
        <v>16</v>
      </c>
      <c r="E153" s="69" t="s">
        <v>17</v>
      </c>
      <c r="F153" s="69" t="s">
        <v>18</v>
      </c>
      <c r="G153" s="69" t="s">
        <v>19</v>
      </c>
      <c r="H153" s="69" t="s">
        <v>20</v>
      </c>
      <c r="I153" s="69" t="s">
        <v>21</v>
      </c>
      <c r="J153" s="69" t="s">
        <v>22</v>
      </c>
      <c r="K153" s="69" t="s">
        <v>23</v>
      </c>
      <c r="L153" s="69" t="s">
        <v>24</v>
      </c>
      <c r="M153" s="69" t="s">
        <v>25</v>
      </c>
      <c r="N153" s="69" t="s">
        <v>26</v>
      </c>
      <c r="O153" s="69" t="s">
        <v>27</v>
      </c>
      <c r="P153" s="69" t="s">
        <v>28</v>
      </c>
      <c r="Q153" s="69" t="s">
        <v>29</v>
      </c>
      <c r="R153" s="69" t="s">
        <v>30</v>
      </c>
      <c r="S153" s="69" t="s">
        <v>31</v>
      </c>
      <c r="T153" s="69" t="s">
        <v>32</v>
      </c>
      <c r="U153" s="69" t="s">
        <v>33</v>
      </c>
      <c r="V153" s="69" t="s">
        <v>34</v>
      </c>
      <c r="W153" s="69" t="s">
        <v>35</v>
      </c>
      <c r="X153" s="69" t="s">
        <v>36</v>
      </c>
      <c r="Y153" s="69" t="s">
        <v>37</v>
      </c>
      <c r="Z153" s="69" t="s">
        <v>38</v>
      </c>
      <c r="AA153" s="69" t="s">
        <v>39</v>
      </c>
      <c r="AB153" s="69" t="s">
        <v>40</v>
      </c>
      <c r="AC153" s="69" t="s">
        <v>41</v>
      </c>
      <c r="AD153" s="69" t="s">
        <v>42</v>
      </c>
      <c r="AE153" s="69" t="s">
        <v>43</v>
      </c>
      <c r="AF153" s="69" t="s">
        <v>44</v>
      </c>
      <c r="AG153" s="69" t="s">
        <v>89</v>
      </c>
      <c r="AH153" s="69" t="s">
        <v>220</v>
      </c>
    </row>
    <row r="154" ht="30.0" customHeight="1">
      <c r="A154" s="43"/>
      <c r="B154" s="60" t="s">
        <v>326</v>
      </c>
      <c r="C154" s="108"/>
      <c r="D154" s="58"/>
      <c r="E154" s="10" t="s">
        <v>6</v>
      </c>
      <c r="F154" s="58"/>
      <c r="G154" s="10" t="s">
        <v>6</v>
      </c>
      <c r="H154" s="58"/>
      <c r="I154" s="58"/>
      <c r="J154" s="58"/>
      <c r="K154" s="58"/>
      <c r="L154" s="10" t="s">
        <v>6</v>
      </c>
      <c r="M154" s="58"/>
      <c r="N154" s="58"/>
      <c r="O154" s="58"/>
      <c r="P154" s="58"/>
      <c r="Q154" s="58"/>
      <c r="R154" s="58"/>
      <c r="S154" s="10" t="s">
        <v>6</v>
      </c>
      <c r="T154" s="58"/>
      <c r="U154" s="10" t="s">
        <v>6</v>
      </c>
      <c r="V154" s="58"/>
      <c r="W154" s="58"/>
      <c r="X154" s="58"/>
      <c r="Y154" s="58"/>
      <c r="Z154" s="10" t="s">
        <v>6</v>
      </c>
      <c r="AA154" s="58"/>
      <c r="AB154" s="10" t="s">
        <v>6</v>
      </c>
      <c r="AC154" s="58"/>
      <c r="AD154" s="58"/>
      <c r="AE154" s="58"/>
      <c r="AF154" s="58"/>
      <c r="AG154" s="58"/>
      <c r="AH154" s="105"/>
    </row>
    <row r="155" ht="30.0" customHeight="1">
      <c r="A155" s="43"/>
      <c r="B155" s="60" t="s">
        <v>327</v>
      </c>
      <c r="C155" s="106"/>
      <c r="D155" s="61"/>
      <c r="E155" s="10" t="s">
        <v>6</v>
      </c>
      <c r="F155" s="61"/>
      <c r="G155" s="10" t="s">
        <v>6</v>
      </c>
      <c r="H155" s="61"/>
      <c r="I155" s="61"/>
      <c r="J155" s="61"/>
      <c r="K155" s="61"/>
      <c r="L155" s="10" t="s">
        <v>6</v>
      </c>
      <c r="M155" s="61"/>
      <c r="N155" s="61"/>
      <c r="O155" s="61"/>
      <c r="P155" s="61"/>
      <c r="Q155" s="61"/>
      <c r="R155" s="61"/>
      <c r="S155" s="10" t="s">
        <v>6</v>
      </c>
      <c r="T155" s="61"/>
      <c r="U155" s="10" t="s">
        <v>6</v>
      </c>
      <c r="V155" s="61"/>
      <c r="W155" s="10" t="s">
        <v>6</v>
      </c>
      <c r="X155" s="61"/>
      <c r="Y155" s="61"/>
      <c r="Z155" s="10" t="s">
        <v>6</v>
      </c>
      <c r="AA155" s="61"/>
      <c r="AB155" s="61"/>
      <c r="AC155" s="61"/>
      <c r="AD155" s="61"/>
      <c r="AE155" s="61"/>
      <c r="AF155" s="61"/>
      <c r="AG155" s="61"/>
      <c r="AH155" s="107"/>
    </row>
    <row r="156" ht="30.0" customHeight="1">
      <c r="A156" s="43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9">
        <f t="shared" ref="AH156:AH158" si="5">SUM(C156:AG156)</f>
        <v>0</v>
      </c>
    </row>
    <row r="157" ht="30.0" customHeight="1">
      <c r="A157" s="43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70">
        <f t="shared" si="5"/>
        <v>0</v>
      </c>
    </row>
    <row r="158" ht="30.0" customHeight="1">
      <c r="A158" s="43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9">
        <f t="shared" si="5"/>
        <v>0</v>
      </c>
    </row>
    <row r="159" ht="30.0" customHeight="1">
      <c r="A159" s="43"/>
      <c r="B159" s="99" t="str">
        <f>Junio!MonthName&amp;" Total"</f>
        <v>Junio Total</v>
      </c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</row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  <row r="1023" ht="30.0" customHeight="1"/>
    <row r="1024" ht="30.0" customHeight="1"/>
    <row r="1025" ht="30.0" customHeight="1"/>
    <row r="1026" ht="30.0" customHeight="1"/>
    <row r="1027" ht="30.0" customHeight="1"/>
    <row r="1028" ht="30.0" customHeight="1"/>
    <row r="1029" ht="30.0" customHeight="1"/>
    <row r="1030" ht="30.0" customHeight="1"/>
    <row r="1031" ht="30.0" customHeight="1"/>
    <row r="1032" ht="30.0" customHeight="1"/>
    <row r="1033" ht="30.0" customHeight="1"/>
    <row r="1034" ht="30.0" customHeight="1"/>
    <row r="1035" ht="30.0" customHeight="1"/>
    <row r="1036" ht="30.0" customHeight="1"/>
    <row r="1037" ht="30.0" customHeight="1"/>
    <row r="1038" ht="30.0" customHeight="1"/>
    <row r="1039" ht="30.0" customHeight="1">
      <c r="B1039" s="114"/>
    </row>
    <row r="1040" ht="30.0" customHeight="1"/>
    <row r="1041" ht="30.0" customHeight="1"/>
    <row r="1042" ht="30.0" customHeight="1"/>
    <row r="1043" ht="30.0" customHeight="1"/>
    <row r="1044" ht="30.0" customHeight="1"/>
    <row r="1045" ht="30.0" customHeight="1"/>
    <row r="1046" ht="30.0" customHeight="1"/>
    <row r="1047" ht="30.0" customHeight="1"/>
    <row r="1048" ht="30.0" customHeight="1"/>
    <row r="1049" ht="30.0" customHeight="1"/>
    <row r="1050" ht="30.0" customHeight="1"/>
    <row r="1051" ht="30.0" customHeight="1"/>
    <row r="1052" ht="30.0" customHeight="1"/>
    <row r="1053" ht="30.0" customHeight="1"/>
    <row r="1054" ht="30.0" customHeight="1"/>
    <row r="1055" ht="30.0" customHeight="1"/>
    <row r="1056" ht="30.0" customHeight="1"/>
    <row r="1057" ht="30.0" customHeight="1"/>
    <row r="1058" ht="30.0" customHeight="1"/>
    <row r="1059" ht="30.0" customHeight="1"/>
    <row r="1060" ht="30.0" customHeight="1"/>
    <row r="1061" ht="30.0" customHeight="1"/>
    <row r="1062" ht="30.0" customHeight="1"/>
    <row r="1063" ht="30.0" customHeight="1"/>
    <row r="1064" ht="30.0" customHeight="1"/>
    <row r="1065" ht="30.0" customHeight="1"/>
    <row r="1066" ht="30.0" customHeight="1"/>
    <row r="1067" ht="30.0" customHeight="1"/>
  </sheetData>
  <mergeCells count="15">
    <mergeCell ref="C12:AG12"/>
    <mergeCell ref="C36:AG36"/>
    <mergeCell ref="C54:AG54"/>
    <mergeCell ref="C79:AG79"/>
    <mergeCell ref="C103:AG103"/>
    <mergeCell ref="C122:AG122"/>
    <mergeCell ref="C136:AG136"/>
    <mergeCell ref="C151:AG151"/>
    <mergeCell ref="B1:N1"/>
    <mergeCell ref="D2:F2"/>
    <mergeCell ref="H2:J2"/>
    <mergeCell ref="L2:N2"/>
    <mergeCell ref="P2:S2"/>
    <mergeCell ref="U2:X2"/>
    <mergeCell ref="C4:AG4"/>
  </mergeCells>
  <conditionalFormatting sqref="D7:D9 F7:H9 I7:I8 K7:K9 M7:M9 O7:AG9 E8:E9 L8:L9 N8:N9 F15:F24 G15 H15:H20 I15:J18 K15:K30 L15 N15:N16 P15:P18 Q15:R30 U15 V15:Y30 Z15:Z22 AA15:AB30 AD15:AG30 D16:D30 M16 O16 S16:S22 E17:E22 U17:U19 AC17:AC22 G18:G20 M18:M19 O18:O19 T18:T19 L19:L22 N19:N21 I20:I22 P20:P23 T21:T24 U21 H22:H23 M22:M25 O22:O25 C23:C30 J23:J28 G24:G26 I24:I27 N24:N26 S24:S26 U24:U26 E25:E30 L25:L26 Z25:Z26 AC25:AC30 H26:H30 P26 F27:F30 M27:M30 O27:O29 T27:T30 G28:G29 L28:L29 N28:N30 P28:P29 S28:S29 U28:U29 Z28:Z29 I29:I30 J30 D39 F39 G39:G40 H39:H42 I39:I47 J39:J40 K39:K44 M39 O39:O41 P39:P40 Q39:Q51 R39:R41 S39:S49 T39:T41 U39:U40 V39:Y51 Z39:Z40 AA39:AB51 AC39:AC40 AD39:AG51 E40:E41 L40:L41 N40 D41 F41 M41 C42:C51 G42:G46 J42 N42:N44 P42 U42:U48 Z42:Z43 AC42:AC43 D43:E51 L43 O43 R43:R44 J44:J47 P44:P46 L45:M51 O45:O49 T45:T51 Z45:Z49 AC45:AC47 H46 R46:R48 F47:F51 K47:K51 N47:N48 G48:H51 I49:J51 AC49:AC51 N50:N51 P50:P51 U50:U51 O51 R51:S51 C57:C76 D57:D60 F57:F60 H57:I76 J57:J60 K57:K76 L57:L59 M57:M60 N57:O58 Q57:S76 T57:T59 V57:AB76 AC57:AC59 AD57:AG76 G60:G76 O60:O69 E61:E76 L61:L63 N61:N63 P61:P69 U61:U76 AC61:AC76 F62 M62 T62 D63:D76 F64:F76 M64:M66 T64:T76 L65:L66 N65:N76 M68:M76 L70:L76 O71:P76 F82:F85 G82:G84 H82:J86 K82:K85 N82:N84 O82:Q86 R82:R88 S82 T82:T86 U82 V82:V86 W82:W88 X82:X86 Y82:Y88 Z82:Z84 AA82:AA86 AB82:AB84 AC82:AC86 AD82:AD88 AE82:AG86 D83:D85 L83 M83:M85 C84:C86 S84:S86 U84:U86 G86 L86 Z86 AB86 Z89 AA89:AA90 AB89 W90 AC90 O91 S91 Z91 AB91 W92 AD92 AB93:AB94 AC93 Y94 AA94 AD94 O95:O96 P95 AC95 AD96 W97 D106 F106:F109 G106:G108 H106:J119 M106 O106:Q119 R106:R116 S106:S119 T106:T109 U106:AG119 E107 K107:K119 L107:L108 N107:N108 C108:D119 M108:M109 E110:E119 G110:G119 N110:N119 L111:L119 T112:T119 F113:F119 M113:M119 R118:R119 U126 Z126 AB126 S127 U128 AA128:AB128 V129:W129 AC129:AD129 R130 V131 Z131 W132 K139:K140 Y140 AA140 V142 K143 W143 AC143 K145 W145 Y145 AA145 S154:S155 U154:U155 Z154:Z155 AB154 W155">
    <cfRule type="expression" dxfId="5" priority="1" stopIfTrue="1">
      <formula>E1=""</formula>
    </cfRule>
  </conditionalFormatting>
  <dataValidations>
    <dataValidation type="list" allowBlank="1" showErrorMessage="1" sqref="B7:B9 B15:B33 B39:B51 B57:B76 B82:B100 B106:B119 B125:B133 B139:B148 B154:B158">
      <formula1>'Nombres de los alumnos '!$B$4:$B$1019</formula1>
    </dataValidation>
    <dataValidation type="list" allowBlank="1" showErrorMessage="1" sqref="B1039">
      <formula1>'Nombres de los alumnos '!$B$4:$B$65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7.0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197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2" t="s">
        <v>328</v>
      </c>
      <c r="C4" s="80" t="s">
        <v>329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32">
        <f>CalendarioAño</f>
        <v>2025</v>
      </c>
    </row>
    <row r="5" ht="15.0" customHeight="1">
      <c r="B5" s="32"/>
      <c r="C5" s="16" t="str">
        <f>TEXT(WEEKDAY(DATE(CalendarioAño,7,1),1),"ddd")</f>
        <v>mar</v>
      </c>
      <c r="D5" s="16" t="str">
        <f>TEXT(WEEKDAY(DATE(CalendarioAño,7,2),1),"ddd")</f>
        <v>mié</v>
      </c>
      <c r="E5" s="16" t="str">
        <f>TEXT(WEEKDAY(DATE(CalendarioAño,7,3),1),"ddd")</f>
        <v>jue</v>
      </c>
      <c r="F5" s="16" t="str">
        <f>TEXT(WEEKDAY(DATE(CalendarioAño,7,4),1),"ddd")</f>
        <v>vie</v>
      </c>
      <c r="G5" s="16" t="str">
        <f>TEXT(WEEKDAY(DATE(CalendarioAño,7,5),1),"ddd")</f>
        <v>sáb</v>
      </c>
      <c r="H5" s="16" t="str">
        <f>TEXT(WEEKDAY(DATE(CalendarioAño,7,6),1),"ddd")</f>
        <v>dom</v>
      </c>
      <c r="I5" s="16" t="str">
        <f>TEXT(WEEKDAY(DATE(CalendarioAño,7,7),1),"ddd")</f>
        <v>lun</v>
      </c>
      <c r="J5" s="16" t="str">
        <f>TEXT(WEEKDAY(DATE(CalendarioAño,7,8),1),"ddd")</f>
        <v>mar</v>
      </c>
      <c r="K5" s="16" t="str">
        <f>TEXT(WEEKDAY(DATE(CalendarioAño,7,9),1),"ddd")</f>
        <v>mié</v>
      </c>
      <c r="L5" s="16" t="str">
        <f>TEXT(WEEKDAY(DATE(CalendarioAño,7,10),1),"ddd")</f>
        <v>jue</v>
      </c>
      <c r="M5" s="16" t="str">
        <f>TEXT(WEEKDAY(DATE(CalendarioAño,7,11),1),"ddd")</f>
        <v>vie</v>
      </c>
      <c r="N5" s="16" t="str">
        <f>TEXT(WEEKDAY(DATE(CalendarioAño,7,12),1),"ddd")</f>
        <v>sáb</v>
      </c>
      <c r="O5" s="16" t="str">
        <f>TEXT(WEEKDAY(DATE(CalendarioAño,7,13),1),"ddd")</f>
        <v>dom</v>
      </c>
      <c r="P5" s="16" t="str">
        <f>TEXT(WEEKDAY(DATE(CalendarioAño,7,14),1),"ddd")</f>
        <v>lun</v>
      </c>
      <c r="Q5" s="16" t="str">
        <f>TEXT(WEEKDAY(DATE(CalendarioAño,7,15),1),"ddd")</f>
        <v>mar</v>
      </c>
      <c r="R5" s="16" t="str">
        <f>TEXT(WEEKDAY(DATE(CalendarioAño,7,16),1),"ddd")</f>
        <v>mié</v>
      </c>
      <c r="S5" s="16" t="str">
        <f>TEXT(WEEKDAY(DATE(CalendarioAño,7,17),1),"ddd")</f>
        <v>jue</v>
      </c>
      <c r="T5" s="16" t="str">
        <f>TEXT(WEEKDAY(DATE(CalendarioAño,7,18),1),"ddd")</f>
        <v>vie</v>
      </c>
      <c r="U5" s="16" t="str">
        <f>TEXT(WEEKDAY(DATE(CalendarioAño,7,19),1),"ddd")</f>
        <v>sáb</v>
      </c>
      <c r="V5" s="16" t="str">
        <f>TEXT(WEEKDAY(DATE(CalendarioAño,7,20),1),"ddd")</f>
        <v>dom</v>
      </c>
      <c r="W5" s="16" t="str">
        <f>TEXT(WEEKDAY(DATE(CalendarioAño,7,21),1),"ddd")</f>
        <v>lun</v>
      </c>
      <c r="X5" s="16" t="str">
        <f>TEXT(WEEKDAY(DATE(CalendarioAño,7,22),1),"ddd")</f>
        <v>mar</v>
      </c>
      <c r="Y5" s="16" t="str">
        <f>TEXT(WEEKDAY(DATE(CalendarioAño,7,23),1),"ddd")</f>
        <v>mié</v>
      </c>
      <c r="Z5" s="16" t="str">
        <f>TEXT(WEEKDAY(DATE(CalendarioAño,7,24),1),"ddd")</f>
        <v>jue</v>
      </c>
      <c r="AA5" s="16" t="str">
        <f>TEXT(WEEKDAY(DATE(CalendarioAño,7,25),1),"ddd")</f>
        <v>vie</v>
      </c>
      <c r="AB5" s="16" t="str">
        <f>TEXT(WEEKDAY(DATE(CalendarioAño,7,26),1),"ddd")</f>
        <v>sáb</v>
      </c>
      <c r="AC5" s="16" t="str">
        <f>TEXT(WEEKDAY(DATE(CalendarioAño,7,27),1),"ddd")</f>
        <v>dom</v>
      </c>
      <c r="AD5" s="16" t="str">
        <f>TEXT(WEEKDAY(DATE(CalendarioAño,7,28),1),"ddd")</f>
        <v>lun</v>
      </c>
      <c r="AE5" s="16" t="str">
        <f>TEXT(WEEKDAY(DATE(CalendarioAño,7,29),1),"ddd")</f>
        <v>mar</v>
      </c>
      <c r="AF5" s="16" t="str">
        <f>TEXT(WEEKDAY(DATE(CalendarioAño,7,30),1),"ddd")</f>
        <v>mié</v>
      </c>
      <c r="AG5" s="16" t="str">
        <f>TEXT(WEEKDAY(DATE(CalendarioAño,7,31),1),"ddd")</f>
        <v>jue</v>
      </c>
      <c r="AH5" s="32"/>
    </row>
    <row r="6" ht="15.0" customHeight="1">
      <c r="A6" s="115"/>
      <c r="B6" s="116" t="s">
        <v>202</v>
      </c>
      <c r="C6" s="117" t="s">
        <v>15</v>
      </c>
      <c r="D6" s="117" t="s">
        <v>16</v>
      </c>
      <c r="E6" s="117" t="s">
        <v>17</v>
      </c>
      <c r="F6" s="117" t="s">
        <v>18</v>
      </c>
      <c r="G6" s="117" t="s">
        <v>19</v>
      </c>
      <c r="H6" s="117" t="s">
        <v>20</v>
      </c>
      <c r="I6" s="117" t="s">
        <v>21</v>
      </c>
      <c r="J6" s="117" t="s">
        <v>22</v>
      </c>
      <c r="K6" s="117" t="s">
        <v>23</v>
      </c>
      <c r="L6" s="117" t="s">
        <v>24</v>
      </c>
      <c r="M6" s="117" t="s">
        <v>25</v>
      </c>
      <c r="N6" s="117" t="s">
        <v>26</v>
      </c>
      <c r="O6" s="117" t="s">
        <v>27</v>
      </c>
      <c r="P6" s="117" t="s">
        <v>28</v>
      </c>
      <c r="Q6" s="117" t="s">
        <v>29</v>
      </c>
      <c r="R6" s="117" t="s">
        <v>30</v>
      </c>
      <c r="S6" s="117" t="s">
        <v>31</v>
      </c>
      <c r="T6" s="117" t="s">
        <v>32</v>
      </c>
      <c r="U6" s="117" t="s">
        <v>33</v>
      </c>
      <c r="V6" s="117" t="s">
        <v>34</v>
      </c>
      <c r="W6" s="117" t="s">
        <v>35</v>
      </c>
      <c r="X6" s="117" t="s">
        <v>36</v>
      </c>
      <c r="Y6" s="117" t="s">
        <v>37</v>
      </c>
      <c r="Z6" s="117" t="s">
        <v>38</v>
      </c>
      <c r="AA6" s="117" t="s">
        <v>39</v>
      </c>
      <c r="AB6" s="117" t="s">
        <v>40</v>
      </c>
      <c r="AC6" s="117" t="s">
        <v>41</v>
      </c>
      <c r="AD6" s="117" t="s">
        <v>42</v>
      </c>
      <c r="AE6" s="117" t="s">
        <v>43</v>
      </c>
      <c r="AF6" s="117" t="s">
        <v>44</v>
      </c>
      <c r="AG6" s="117" t="s">
        <v>45</v>
      </c>
      <c r="AH6" s="117" t="s">
        <v>46</v>
      </c>
    </row>
    <row r="7" ht="30.0" customHeight="1">
      <c r="B7" s="11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5"/>
    </row>
    <row r="8" ht="30.0" customHeight="1">
      <c r="B8" s="118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5"/>
    </row>
    <row r="9" ht="30.0" customHeight="1">
      <c r="B9" s="118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5"/>
    </row>
    <row r="10" ht="30.0" customHeight="1">
      <c r="B10" s="8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5"/>
    </row>
    <row r="12" ht="30.0" customHeight="1">
      <c r="B12" s="26" t="str">
        <f>Julio!MonthName&amp;" Total"</f>
        <v>Julio Total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ht="30.0" customHeight="1"/>
    <row r="14" ht="30.0" customHeight="1">
      <c r="B14" s="32" t="s">
        <v>328</v>
      </c>
      <c r="C14" s="80" t="s">
        <v>330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32">
        <f>CalendarioAño</f>
        <v>2025</v>
      </c>
    </row>
    <row r="15" ht="30.0" customHeight="1">
      <c r="B15" s="32"/>
      <c r="C15" s="16" t="str">
        <f>TEXT(WEEKDAY(DATE(CalendarioAño,7,1),1),"ddd")</f>
        <v>mar</v>
      </c>
      <c r="D15" s="16" t="str">
        <f>TEXT(WEEKDAY(DATE(CalendarioAño,7,2),1),"ddd")</f>
        <v>mié</v>
      </c>
      <c r="E15" s="16" t="str">
        <f>TEXT(WEEKDAY(DATE(CalendarioAño,7,3),1),"ddd")</f>
        <v>jue</v>
      </c>
      <c r="F15" s="16" t="str">
        <f>TEXT(WEEKDAY(DATE(CalendarioAño,7,4),1),"ddd")</f>
        <v>vie</v>
      </c>
      <c r="G15" s="16" t="str">
        <f>TEXT(WEEKDAY(DATE(CalendarioAño,7,5),1),"ddd")</f>
        <v>sáb</v>
      </c>
      <c r="H15" s="16" t="str">
        <f>TEXT(WEEKDAY(DATE(CalendarioAño,7,6),1),"ddd")</f>
        <v>dom</v>
      </c>
      <c r="I15" s="16" t="str">
        <f>TEXT(WEEKDAY(DATE(CalendarioAño,7,7),1),"ddd")</f>
        <v>lun</v>
      </c>
      <c r="J15" s="16" t="str">
        <f>TEXT(WEEKDAY(DATE(CalendarioAño,7,8),1),"ddd")</f>
        <v>mar</v>
      </c>
      <c r="K15" s="16" t="str">
        <f>TEXT(WEEKDAY(DATE(CalendarioAño,7,9),1),"ddd")</f>
        <v>mié</v>
      </c>
      <c r="L15" s="16" t="str">
        <f>TEXT(WEEKDAY(DATE(CalendarioAño,7,10),1),"ddd")</f>
        <v>jue</v>
      </c>
      <c r="M15" s="16" t="str">
        <f>TEXT(WEEKDAY(DATE(CalendarioAño,7,11),1),"ddd")</f>
        <v>vie</v>
      </c>
      <c r="N15" s="16" t="str">
        <f>TEXT(WEEKDAY(DATE(CalendarioAño,7,12),1),"ddd")</f>
        <v>sáb</v>
      </c>
      <c r="O15" s="16" t="str">
        <f>TEXT(WEEKDAY(DATE(CalendarioAño,7,13),1),"ddd")</f>
        <v>dom</v>
      </c>
      <c r="P15" s="16" t="str">
        <f>TEXT(WEEKDAY(DATE(CalendarioAño,7,14),1),"ddd")</f>
        <v>lun</v>
      </c>
      <c r="Q15" s="16" t="str">
        <f>TEXT(WEEKDAY(DATE(CalendarioAño,7,15),1),"ddd")</f>
        <v>mar</v>
      </c>
      <c r="R15" s="16" t="str">
        <f>TEXT(WEEKDAY(DATE(CalendarioAño,7,16),1),"ddd")</f>
        <v>mié</v>
      </c>
      <c r="S15" s="16" t="str">
        <f>TEXT(WEEKDAY(DATE(CalendarioAño,7,17),1),"ddd")</f>
        <v>jue</v>
      </c>
      <c r="T15" s="16" t="str">
        <f>TEXT(WEEKDAY(DATE(CalendarioAño,7,18),1),"ddd")</f>
        <v>vie</v>
      </c>
      <c r="U15" s="16" t="str">
        <f>TEXT(WEEKDAY(DATE(CalendarioAño,7,19),1),"ddd")</f>
        <v>sáb</v>
      </c>
      <c r="V15" s="16" t="str">
        <f>TEXT(WEEKDAY(DATE(CalendarioAño,7,20),1),"ddd")</f>
        <v>dom</v>
      </c>
      <c r="W15" s="16" t="str">
        <f>TEXT(WEEKDAY(DATE(CalendarioAño,7,21),1),"ddd")</f>
        <v>lun</v>
      </c>
      <c r="X15" s="16" t="str">
        <f>TEXT(WEEKDAY(DATE(CalendarioAño,7,22),1),"ddd")</f>
        <v>mar</v>
      </c>
      <c r="Y15" s="16" t="str">
        <f>TEXT(WEEKDAY(DATE(CalendarioAño,7,23),1),"ddd")</f>
        <v>mié</v>
      </c>
      <c r="Z15" s="16" t="str">
        <f>TEXT(WEEKDAY(DATE(CalendarioAño,7,24),1),"ddd")</f>
        <v>jue</v>
      </c>
      <c r="AA15" s="16" t="str">
        <f>TEXT(WEEKDAY(DATE(CalendarioAño,7,25),1),"ddd")</f>
        <v>vie</v>
      </c>
      <c r="AB15" s="16" t="str">
        <f>TEXT(WEEKDAY(DATE(CalendarioAño,7,26),1),"ddd")</f>
        <v>sáb</v>
      </c>
      <c r="AC15" s="16" t="str">
        <f>TEXT(WEEKDAY(DATE(CalendarioAño,7,27),1),"ddd")</f>
        <v>dom</v>
      </c>
      <c r="AD15" s="16" t="str">
        <f>TEXT(WEEKDAY(DATE(CalendarioAño,7,28),1),"ddd")</f>
        <v>lun</v>
      </c>
      <c r="AE15" s="16" t="str">
        <f>TEXT(WEEKDAY(DATE(CalendarioAño,7,29),1),"ddd")</f>
        <v>mar</v>
      </c>
      <c r="AF15" s="16" t="str">
        <f>TEXT(WEEKDAY(DATE(CalendarioAño,7,30),1),"ddd")</f>
        <v>mié</v>
      </c>
      <c r="AG15" s="16" t="str">
        <f>TEXT(WEEKDAY(DATE(CalendarioAño,7,31),1),"ddd")</f>
        <v>jue</v>
      </c>
      <c r="AH15" s="32"/>
    </row>
    <row r="16" ht="30.0" customHeight="1">
      <c r="A16" s="115"/>
      <c r="B16" s="116" t="s">
        <v>202</v>
      </c>
      <c r="C16" s="117" t="s">
        <v>15</v>
      </c>
      <c r="D16" s="117" t="s">
        <v>16</v>
      </c>
      <c r="E16" s="117" t="s">
        <v>17</v>
      </c>
      <c r="F16" s="117" t="s">
        <v>18</v>
      </c>
      <c r="G16" s="117" t="s">
        <v>19</v>
      </c>
      <c r="H16" s="117" t="s">
        <v>20</v>
      </c>
      <c r="I16" s="117" t="s">
        <v>21</v>
      </c>
      <c r="J16" s="117" t="s">
        <v>22</v>
      </c>
      <c r="K16" s="117" t="s">
        <v>23</v>
      </c>
      <c r="L16" s="117" t="s">
        <v>24</v>
      </c>
      <c r="M16" s="117" t="s">
        <v>25</v>
      </c>
      <c r="N16" s="117" t="s">
        <v>26</v>
      </c>
      <c r="O16" s="117" t="s">
        <v>27</v>
      </c>
      <c r="P16" s="117" t="s">
        <v>28</v>
      </c>
      <c r="Q16" s="117" t="s">
        <v>29</v>
      </c>
      <c r="R16" s="117" t="s">
        <v>30</v>
      </c>
      <c r="S16" s="117" t="s">
        <v>31</v>
      </c>
      <c r="T16" s="117" t="s">
        <v>32</v>
      </c>
      <c r="U16" s="117" t="s">
        <v>33</v>
      </c>
      <c r="V16" s="117" t="s">
        <v>34</v>
      </c>
      <c r="W16" s="117" t="s">
        <v>35</v>
      </c>
      <c r="X16" s="117" t="s">
        <v>36</v>
      </c>
      <c r="Y16" s="117" t="s">
        <v>37</v>
      </c>
      <c r="Z16" s="117" t="s">
        <v>38</v>
      </c>
      <c r="AA16" s="117" t="s">
        <v>39</v>
      </c>
      <c r="AB16" s="117" t="s">
        <v>40</v>
      </c>
      <c r="AC16" s="117" t="s">
        <v>41</v>
      </c>
      <c r="AD16" s="117" t="s">
        <v>42</v>
      </c>
      <c r="AE16" s="117" t="s">
        <v>43</v>
      </c>
      <c r="AF16" s="117" t="s">
        <v>44</v>
      </c>
      <c r="AG16" s="117" t="s">
        <v>45</v>
      </c>
      <c r="AH16" s="117" t="s">
        <v>46</v>
      </c>
    </row>
    <row r="17" ht="30.0" customHeight="1">
      <c r="B17" s="119" t="s">
        <v>263</v>
      </c>
      <c r="C17" s="10" t="s">
        <v>6</v>
      </c>
      <c r="D17" s="21"/>
      <c r="E17" s="10" t="s">
        <v>6</v>
      </c>
      <c r="F17" s="21"/>
      <c r="G17" s="21"/>
      <c r="H17" s="21"/>
      <c r="I17" s="21"/>
      <c r="J17" s="10" t="s">
        <v>6</v>
      </c>
      <c r="K17" s="21"/>
      <c r="L17" s="10" t="s">
        <v>6</v>
      </c>
      <c r="M17" s="21"/>
      <c r="N17" s="21"/>
      <c r="O17" s="21"/>
      <c r="P17" s="21"/>
      <c r="Q17" s="10" t="s">
        <v>6</v>
      </c>
      <c r="R17" s="21"/>
      <c r="S17" s="10" t="s">
        <v>6</v>
      </c>
      <c r="T17" s="21"/>
      <c r="U17" s="21"/>
      <c r="V17" s="21"/>
      <c r="W17" s="21"/>
      <c r="X17" s="10" t="s">
        <v>6</v>
      </c>
      <c r="Y17" s="21"/>
      <c r="Z17" s="10" t="s">
        <v>6</v>
      </c>
      <c r="AA17" s="21"/>
      <c r="AB17" s="21"/>
      <c r="AC17" s="21"/>
      <c r="AD17" s="21"/>
      <c r="AE17" s="21"/>
      <c r="AF17" s="21"/>
      <c r="AG17" s="10" t="s">
        <v>6</v>
      </c>
      <c r="AH17" s="25"/>
    </row>
    <row r="18" ht="30.0" customHeight="1">
      <c r="B18" s="119" t="s">
        <v>205</v>
      </c>
      <c r="C18" s="10" t="s">
        <v>6</v>
      </c>
      <c r="D18" s="21"/>
      <c r="E18" s="10" t="s">
        <v>6</v>
      </c>
      <c r="F18" s="21"/>
      <c r="G18" s="21"/>
      <c r="H18" s="21"/>
      <c r="I18" s="21"/>
      <c r="J18" s="10" t="s">
        <v>6</v>
      </c>
      <c r="K18" s="21"/>
      <c r="L18" s="10" t="s">
        <v>6</v>
      </c>
      <c r="M18" s="21"/>
      <c r="N18" s="21"/>
      <c r="O18" s="21"/>
      <c r="P18" s="21"/>
      <c r="Q18" s="10" t="s">
        <v>6</v>
      </c>
      <c r="R18" s="21"/>
      <c r="S18" s="10" t="s">
        <v>6</v>
      </c>
      <c r="T18" s="21"/>
      <c r="U18" s="21"/>
      <c r="V18" s="21"/>
      <c r="W18" s="21"/>
      <c r="X18" s="10" t="s">
        <v>6</v>
      </c>
      <c r="Y18" s="21"/>
      <c r="Z18" s="21"/>
      <c r="AA18" s="10" t="s">
        <v>6</v>
      </c>
      <c r="AB18" s="21"/>
      <c r="AC18" s="21"/>
      <c r="AD18" s="21"/>
      <c r="AE18" s="21"/>
      <c r="AF18" s="21"/>
      <c r="AG18" s="10" t="s">
        <v>6</v>
      </c>
      <c r="AH18" s="25"/>
    </row>
    <row r="19" ht="30.0" customHeight="1">
      <c r="B19" s="119" t="s">
        <v>266</v>
      </c>
      <c r="C19" s="21"/>
      <c r="D19" s="21"/>
      <c r="E19" s="10" t="s">
        <v>6</v>
      </c>
      <c r="F19" s="21"/>
      <c r="G19" s="21"/>
      <c r="H19" s="21"/>
      <c r="I19" s="21"/>
      <c r="J19" s="10" t="s">
        <v>6</v>
      </c>
      <c r="K19" s="21"/>
      <c r="L19" s="10" t="s">
        <v>6</v>
      </c>
      <c r="M19" s="21"/>
      <c r="N19" s="21"/>
      <c r="O19" s="21"/>
      <c r="P19" s="21"/>
      <c r="Q19" s="10" t="s">
        <v>6</v>
      </c>
      <c r="R19" s="21"/>
      <c r="S19" s="10" t="s">
        <v>6</v>
      </c>
      <c r="T19" s="21"/>
      <c r="U19" s="21"/>
      <c r="V19" s="21"/>
      <c r="W19" s="10" t="s">
        <v>6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5"/>
    </row>
    <row r="20" ht="30.0" customHeight="1">
      <c r="B20" s="86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5"/>
    </row>
    <row r="21" ht="30.0" customHeight="1">
      <c r="B21" s="86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5"/>
    </row>
    <row r="22" ht="30.0" customHeight="1">
      <c r="B22" s="26" t="str">
        <f>Julio!MonthName&amp;" Total"</f>
        <v>Julio Total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ht="30.0" customHeight="1">
      <c r="B23" s="110"/>
      <c r="C23" s="91"/>
      <c r="D23" s="91"/>
      <c r="E23" s="91"/>
      <c r="F23" s="91"/>
      <c r="G23" s="91"/>
      <c r="H23" s="91"/>
      <c r="I23" s="91"/>
      <c r="J23" s="91"/>
      <c r="K23" s="91"/>
      <c r="L23" s="23" t="s">
        <v>89</v>
      </c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</row>
    <row r="24" ht="30.0" customHeight="1">
      <c r="B24" s="32" t="s">
        <v>328</v>
      </c>
      <c r="C24" s="80" t="s">
        <v>331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32">
        <f>CalendarioAño</f>
        <v>2025</v>
      </c>
    </row>
    <row r="25" ht="30.0" customHeight="1">
      <c r="B25" s="32"/>
      <c r="C25" s="16" t="str">
        <f>TEXT(WEEKDAY(DATE(CalendarioAño,7,1),1),"ddd")</f>
        <v>mar</v>
      </c>
      <c r="D25" s="16" t="str">
        <f>TEXT(WEEKDAY(DATE(CalendarioAño,7,2),1),"ddd")</f>
        <v>mié</v>
      </c>
      <c r="E25" s="16" t="str">
        <f>TEXT(WEEKDAY(DATE(CalendarioAño,7,3),1),"ddd")</f>
        <v>jue</v>
      </c>
      <c r="F25" s="16" t="str">
        <f>TEXT(WEEKDAY(DATE(CalendarioAño,7,4),1),"ddd")</f>
        <v>vie</v>
      </c>
      <c r="G25" s="16" t="str">
        <f>TEXT(WEEKDAY(DATE(CalendarioAño,7,5),1),"ddd")</f>
        <v>sáb</v>
      </c>
      <c r="H25" s="16" t="str">
        <f>TEXT(WEEKDAY(DATE(CalendarioAño,7,6),1),"ddd")</f>
        <v>dom</v>
      </c>
      <c r="I25" s="16" t="str">
        <f>TEXT(WEEKDAY(DATE(CalendarioAño,7,7),1),"ddd")</f>
        <v>lun</v>
      </c>
      <c r="J25" s="16" t="str">
        <f>TEXT(WEEKDAY(DATE(CalendarioAño,7,8),1),"ddd")</f>
        <v>mar</v>
      </c>
      <c r="K25" s="16" t="str">
        <f>TEXT(WEEKDAY(DATE(CalendarioAño,7,9),1),"ddd")</f>
        <v>mié</v>
      </c>
      <c r="L25" s="16" t="str">
        <f>TEXT(WEEKDAY(DATE(CalendarioAño,7,10),1),"ddd")</f>
        <v>jue</v>
      </c>
      <c r="M25" s="16" t="str">
        <f>TEXT(WEEKDAY(DATE(CalendarioAño,7,11),1),"ddd")</f>
        <v>vie</v>
      </c>
      <c r="N25" s="16" t="str">
        <f>TEXT(WEEKDAY(DATE(CalendarioAño,7,12),1),"ddd")</f>
        <v>sáb</v>
      </c>
      <c r="O25" s="16" t="str">
        <f>TEXT(WEEKDAY(DATE(CalendarioAño,7,13),1),"ddd")</f>
        <v>dom</v>
      </c>
      <c r="P25" s="16" t="str">
        <f>TEXT(WEEKDAY(DATE(CalendarioAño,7,14),1),"ddd")</f>
        <v>lun</v>
      </c>
      <c r="Q25" s="16" t="str">
        <f>TEXT(WEEKDAY(DATE(CalendarioAño,7,15),1),"ddd")</f>
        <v>mar</v>
      </c>
      <c r="R25" s="16" t="str">
        <f>TEXT(WEEKDAY(DATE(CalendarioAño,7,16),1),"ddd")</f>
        <v>mié</v>
      </c>
      <c r="S25" s="16" t="str">
        <f>TEXT(WEEKDAY(DATE(CalendarioAño,7,17),1),"ddd")</f>
        <v>jue</v>
      </c>
      <c r="T25" s="16" t="str">
        <f>TEXT(WEEKDAY(DATE(CalendarioAño,7,18),1),"ddd")</f>
        <v>vie</v>
      </c>
      <c r="U25" s="16" t="str">
        <f>TEXT(WEEKDAY(DATE(CalendarioAño,7,19),1),"ddd")</f>
        <v>sáb</v>
      </c>
      <c r="V25" s="16" t="str">
        <f>TEXT(WEEKDAY(DATE(CalendarioAño,7,20),1),"ddd")</f>
        <v>dom</v>
      </c>
      <c r="W25" s="16" t="str">
        <f>TEXT(WEEKDAY(DATE(CalendarioAño,7,21),1),"ddd")</f>
        <v>lun</v>
      </c>
      <c r="X25" s="16" t="str">
        <f>TEXT(WEEKDAY(DATE(CalendarioAño,7,22),1),"ddd")</f>
        <v>mar</v>
      </c>
      <c r="Y25" s="16" t="str">
        <f>TEXT(WEEKDAY(DATE(CalendarioAño,7,23),1),"ddd")</f>
        <v>mié</v>
      </c>
      <c r="Z25" s="16" t="str">
        <f>TEXT(WEEKDAY(DATE(CalendarioAño,7,24),1),"ddd")</f>
        <v>jue</v>
      </c>
      <c r="AA25" s="16" t="str">
        <f>TEXT(WEEKDAY(DATE(CalendarioAño,7,25),1),"ddd")</f>
        <v>vie</v>
      </c>
      <c r="AB25" s="16" t="str">
        <f>TEXT(WEEKDAY(DATE(CalendarioAño,7,26),1),"ddd")</f>
        <v>sáb</v>
      </c>
      <c r="AC25" s="16" t="str">
        <f>TEXT(WEEKDAY(DATE(CalendarioAño,7,27),1),"ddd")</f>
        <v>dom</v>
      </c>
      <c r="AD25" s="16" t="str">
        <f>TEXT(WEEKDAY(DATE(CalendarioAño,7,28),1),"ddd")</f>
        <v>lun</v>
      </c>
      <c r="AE25" s="16" t="str">
        <f>TEXT(WEEKDAY(DATE(CalendarioAño,7,29),1),"ddd")</f>
        <v>mar</v>
      </c>
      <c r="AF25" s="16" t="str">
        <f>TEXT(WEEKDAY(DATE(CalendarioAño,7,30),1),"ddd")</f>
        <v>mié</v>
      </c>
      <c r="AG25" s="16" t="str">
        <f>TEXT(WEEKDAY(DATE(CalendarioAño,7,31),1),"ddd")</f>
        <v>jue</v>
      </c>
      <c r="AH25" s="32"/>
    </row>
    <row r="26" ht="30.0" customHeight="1">
      <c r="A26" s="115"/>
      <c r="B26" s="116" t="s">
        <v>202</v>
      </c>
      <c r="C26" s="117" t="s">
        <v>15</v>
      </c>
      <c r="D26" s="117" t="s">
        <v>16</v>
      </c>
      <c r="E26" s="117" t="s">
        <v>17</v>
      </c>
      <c r="F26" s="117" t="s">
        <v>18</v>
      </c>
      <c r="G26" s="117" t="s">
        <v>19</v>
      </c>
      <c r="H26" s="117" t="s">
        <v>20</v>
      </c>
      <c r="I26" s="117" t="s">
        <v>21</v>
      </c>
      <c r="J26" s="117" t="s">
        <v>22</v>
      </c>
      <c r="K26" s="117" t="s">
        <v>23</v>
      </c>
      <c r="L26" s="117" t="s">
        <v>24</v>
      </c>
      <c r="M26" s="117" t="s">
        <v>25</v>
      </c>
      <c r="N26" s="117" t="s">
        <v>26</v>
      </c>
      <c r="O26" s="117" t="s">
        <v>27</v>
      </c>
      <c r="P26" s="117" t="s">
        <v>28</v>
      </c>
      <c r="Q26" s="117" t="s">
        <v>29</v>
      </c>
      <c r="R26" s="117" t="s">
        <v>30</v>
      </c>
      <c r="S26" s="117" t="s">
        <v>31</v>
      </c>
      <c r="T26" s="117" t="s">
        <v>32</v>
      </c>
      <c r="U26" s="117" t="s">
        <v>33</v>
      </c>
      <c r="V26" s="117" t="s">
        <v>34</v>
      </c>
      <c r="W26" s="117" t="s">
        <v>35</v>
      </c>
      <c r="X26" s="117" t="s">
        <v>36</v>
      </c>
      <c r="Y26" s="117" t="s">
        <v>37</v>
      </c>
      <c r="Z26" s="117" t="s">
        <v>38</v>
      </c>
      <c r="AA26" s="117" t="s">
        <v>39</v>
      </c>
      <c r="AB26" s="117" t="s">
        <v>40</v>
      </c>
      <c r="AC26" s="117" t="s">
        <v>41</v>
      </c>
      <c r="AD26" s="117" t="s">
        <v>42</v>
      </c>
      <c r="AE26" s="117" t="s">
        <v>43</v>
      </c>
      <c r="AF26" s="117" t="s">
        <v>44</v>
      </c>
      <c r="AG26" s="117" t="s">
        <v>45</v>
      </c>
      <c r="AH26" s="117" t="s">
        <v>46</v>
      </c>
    </row>
    <row r="27" ht="30.0" customHeight="1">
      <c r="B27" s="119" t="s">
        <v>262</v>
      </c>
      <c r="C27" s="10" t="s">
        <v>6</v>
      </c>
      <c r="D27" s="21"/>
      <c r="E27" s="21"/>
      <c r="F27" s="10" t="s">
        <v>6</v>
      </c>
      <c r="G27" s="21"/>
      <c r="H27" s="21"/>
      <c r="I27" s="21"/>
      <c r="J27" s="21"/>
      <c r="K27" s="21"/>
      <c r="L27" s="21"/>
      <c r="M27" s="21"/>
      <c r="N27" s="21"/>
      <c r="O27" s="21"/>
      <c r="P27" s="10" t="s">
        <v>6</v>
      </c>
      <c r="Q27" s="21"/>
      <c r="R27" s="21"/>
      <c r="S27" s="21"/>
      <c r="T27" s="21"/>
      <c r="U27" s="21"/>
      <c r="V27" s="21"/>
      <c r="W27" s="10" t="s">
        <v>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5"/>
    </row>
    <row r="28" ht="30.0" customHeight="1">
      <c r="B28" s="119" t="s">
        <v>275</v>
      </c>
      <c r="C28" s="10" t="s">
        <v>6</v>
      </c>
      <c r="D28" s="21"/>
      <c r="E28" s="21"/>
      <c r="F28" s="21"/>
      <c r="G28" s="21"/>
      <c r="H28" s="21"/>
      <c r="I28" s="21"/>
      <c r="J28" s="21"/>
      <c r="K28" s="21"/>
      <c r="L28" s="21"/>
      <c r="M28" s="10" t="s">
        <v>6</v>
      </c>
      <c r="N28" s="21"/>
      <c r="O28" s="21"/>
      <c r="P28" s="21"/>
      <c r="Q28" s="10" t="s">
        <v>6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5"/>
    </row>
    <row r="29" ht="30.0" customHeight="1">
      <c r="B29" s="119" t="s">
        <v>274</v>
      </c>
      <c r="C29" s="21"/>
      <c r="D29" s="10" t="s">
        <v>6</v>
      </c>
      <c r="E29" s="21"/>
      <c r="F29" s="21"/>
      <c r="G29" s="21"/>
      <c r="H29" s="21"/>
      <c r="I29" s="21"/>
      <c r="J29" s="21"/>
      <c r="K29" s="21"/>
      <c r="L29" s="10" t="s">
        <v>6</v>
      </c>
      <c r="M29" s="10" t="s">
        <v>6</v>
      </c>
      <c r="N29" s="21"/>
      <c r="O29" s="21"/>
      <c r="P29" s="21"/>
      <c r="Q29" s="10" t="s">
        <v>6</v>
      </c>
      <c r="R29" s="21"/>
      <c r="S29" s="21"/>
      <c r="T29" s="21"/>
      <c r="U29" s="10" t="s">
        <v>6</v>
      </c>
      <c r="V29" s="21"/>
      <c r="W29" s="21"/>
      <c r="X29" s="10" t="s">
        <v>6</v>
      </c>
      <c r="Y29" s="21"/>
      <c r="Z29" s="10" t="s">
        <v>6</v>
      </c>
      <c r="AA29" s="21"/>
      <c r="AB29" s="21"/>
      <c r="AC29" s="21"/>
      <c r="AD29" s="21"/>
      <c r="AE29" s="21"/>
      <c r="AF29" s="21"/>
      <c r="AG29" s="10" t="s">
        <v>6</v>
      </c>
      <c r="AH29" s="25"/>
    </row>
    <row r="30" ht="30.0" customHeight="1">
      <c r="B30" s="20" t="s">
        <v>269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5"/>
    </row>
    <row r="31" ht="30.0" customHeight="1">
      <c r="B31" s="20" t="s">
        <v>273</v>
      </c>
      <c r="C31" s="21"/>
      <c r="D31" s="21"/>
      <c r="E31" s="21"/>
      <c r="F31" s="10" t="s">
        <v>6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0" t="s">
        <v>6</v>
      </c>
      <c r="AB31" s="21"/>
      <c r="AC31" s="21"/>
      <c r="AD31" s="21"/>
      <c r="AE31" s="21"/>
      <c r="AF31" s="21"/>
      <c r="AG31" s="21"/>
      <c r="AH31" s="25"/>
    </row>
    <row r="32" ht="30.0" customHeight="1">
      <c r="B32" s="20" t="s">
        <v>241</v>
      </c>
      <c r="C32" s="21"/>
      <c r="D32" s="21"/>
      <c r="E32" s="21"/>
      <c r="F32" s="10" t="s">
        <v>6</v>
      </c>
      <c r="G32" s="21"/>
      <c r="H32" s="21"/>
      <c r="I32" s="21"/>
      <c r="J32" s="21"/>
      <c r="K32" s="21"/>
      <c r="L32" s="21"/>
      <c r="M32" s="21"/>
      <c r="N32" s="21"/>
      <c r="O32" s="21"/>
      <c r="P32" s="10" t="s">
        <v>6</v>
      </c>
      <c r="Q32" s="21"/>
      <c r="R32" s="21"/>
      <c r="S32" s="21"/>
      <c r="T32" s="21"/>
      <c r="U32" s="21"/>
      <c r="V32" s="21"/>
      <c r="W32" s="10" t="s">
        <v>6</v>
      </c>
      <c r="X32" s="21"/>
      <c r="Y32" s="21"/>
      <c r="Z32" s="21"/>
      <c r="AA32" s="10" t="s">
        <v>6</v>
      </c>
      <c r="AB32" s="21"/>
      <c r="AC32" s="21"/>
      <c r="AD32" s="21"/>
      <c r="AE32" s="21"/>
      <c r="AF32" s="21"/>
      <c r="AG32" s="21"/>
      <c r="AH32" s="25"/>
    </row>
    <row r="33" ht="30.0" customHeight="1">
      <c r="B33" s="20" t="s">
        <v>265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10" t="s">
        <v>6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10" t="s">
        <v>6</v>
      </c>
      <c r="AG33" s="21"/>
      <c r="AH33" s="25"/>
    </row>
    <row r="34" ht="30.0" customHeight="1">
      <c r="B34" s="86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5"/>
    </row>
    <row r="35" ht="30.0" customHeight="1">
      <c r="B35" s="26" t="str">
        <f>Julio!MonthName&amp;" Total"</f>
        <v>Julio Total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ht="30.0" customHeight="1"/>
    <row r="37" ht="30.0" customHeight="1">
      <c r="B37" s="32" t="s">
        <v>328</v>
      </c>
      <c r="C37" s="80" t="s">
        <v>332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32">
        <f>CalendarioAño</f>
        <v>2025</v>
      </c>
    </row>
    <row r="38" ht="30.0" customHeight="1">
      <c r="B38" s="32"/>
      <c r="C38" s="16" t="str">
        <f>TEXT(WEEKDAY(DATE(CalendarioAño,7,1),1),"ddd")</f>
        <v>mar</v>
      </c>
      <c r="D38" s="16" t="str">
        <f>TEXT(WEEKDAY(DATE(CalendarioAño,7,2),1),"ddd")</f>
        <v>mié</v>
      </c>
      <c r="E38" s="16" t="str">
        <f>TEXT(WEEKDAY(DATE(CalendarioAño,7,3),1),"ddd")</f>
        <v>jue</v>
      </c>
      <c r="F38" s="16" t="str">
        <f>TEXT(WEEKDAY(DATE(CalendarioAño,7,4),1),"ddd")</f>
        <v>vie</v>
      </c>
      <c r="G38" s="16" t="str">
        <f>TEXT(WEEKDAY(DATE(CalendarioAño,7,5),1),"ddd")</f>
        <v>sáb</v>
      </c>
      <c r="H38" s="16" t="str">
        <f>TEXT(WEEKDAY(DATE(CalendarioAño,7,6),1),"ddd")</f>
        <v>dom</v>
      </c>
      <c r="I38" s="16" t="str">
        <f>TEXT(WEEKDAY(DATE(CalendarioAño,7,7),1),"ddd")</f>
        <v>lun</v>
      </c>
      <c r="J38" s="16" t="str">
        <f>TEXT(WEEKDAY(DATE(CalendarioAño,7,8),1),"ddd")</f>
        <v>mar</v>
      </c>
      <c r="K38" s="16" t="str">
        <f>TEXT(WEEKDAY(DATE(CalendarioAño,7,9),1),"ddd")</f>
        <v>mié</v>
      </c>
      <c r="L38" s="16" t="str">
        <f>TEXT(WEEKDAY(DATE(CalendarioAño,7,10),1),"ddd")</f>
        <v>jue</v>
      </c>
      <c r="M38" s="16" t="str">
        <f>TEXT(WEEKDAY(DATE(CalendarioAño,7,11),1),"ddd")</f>
        <v>vie</v>
      </c>
      <c r="N38" s="16" t="str">
        <f>TEXT(WEEKDAY(DATE(CalendarioAño,7,12),1),"ddd")</f>
        <v>sáb</v>
      </c>
      <c r="O38" s="16" t="str">
        <f>TEXT(WEEKDAY(DATE(CalendarioAño,7,13),1),"ddd")</f>
        <v>dom</v>
      </c>
      <c r="P38" s="16" t="str">
        <f>TEXT(WEEKDAY(DATE(CalendarioAño,7,14),1),"ddd")</f>
        <v>lun</v>
      </c>
      <c r="Q38" s="16" t="str">
        <f>TEXT(WEEKDAY(DATE(CalendarioAño,7,15),1),"ddd")</f>
        <v>mar</v>
      </c>
      <c r="R38" s="16" t="str">
        <f>TEXT(WEEKDAY(DATE(CalendarioAño,7,16),1),"ddd")</f>
        <v>mié</v>
      </c>
      <c r="S38" s="16" t="str">
        <f>TEXT(WEEKDAY(DATE(CalendarioAño,7,17),1),"ddd")</f>
        <v>jue</v>
      </c>
      <c r="T38" s="16" t="str">
        <f>TEXT(WEEKDAY(DATE(CalendarioAño,7,18),1),"ddd")</f>
        <v>vie</v>
      </c>
      <c r="U38" s="16" t="str">
        <f>TEXT(WEEKDAY(DATE(CalendarioAño,7,19),1),"ddd")</f>
        <v>sáb</v>
      </c>
      <c r="V38" s="16" t="str">
        <f>TEXT(WEEKDAY(DATE(CalendarioAño,7,20),1),"ddd")</f>
        <v>dom</v>
      </c>
      <c r="W38" s="16" t="str">
        <f>TEXT(WEEKDAY(DATE(CalendarioAño,7,21),1),"ddd")</f>
        <v>lun</v>
      </c>
      <c r="X38" s="16" t="str">
        <f>TEXT(WEEKDAY(DATE(CalendarioAño,7,22),1),"ddd")</f>
        <v>mar</v>
      </c>
      <c r="Y38" s="16" t="str">
        <f>TEXT(WEEKDAY(DATE(CalendarioAño,7,23),1),"ddd")</f>
        <v>mié</v>
      </c>
      <c r="Z38" s="16" t="str">
        <f>TEXT(WEEKDAY(DATE(CalendarioAño,7,24),1),"ddd")</f>
        <v>jue</v>
      </c>
      <c r="AA38" s="16" t="str">
        <f>TEXT(WEEKDAY(DATE(CalendarioAño,7,25),1),"ddd")</f>
        <v>vie</v>
      </c>
      <c r="AB38" s="16" t="str">
        <f>TEXT(WEEKDAY(DATE(CalendarioAño,7,26),1),"ddd")</f>
        <v>sáb</v>
      </c>
      <c r="AC38" s="16" t="str">
        <f>TEXT(WEEKDAY(DATE(CalendarioAño,7,27),1),"ddd")</f>
        <v>dom</v>
      </c>
      <c r="AD38" s="16" t="str">
        <f>TEXT(WEEKDAY(DATE(CalendarioAño,7,28),1),"ddd")</f>
        <v>lun</v>
      </c>
      <c r="AE38" s="16" t="str">
        <f>TEXT(WEEKDAY(DATE(CalendarioAño,7,29),1),"ddd")</f>
        <v>mar</v>
      </c>
      <c r="AF38" s="16" t="str">
        <f>TEXT(WEEKDAY(DATE(CalendarioAño,7,30),1),"ddd")</f>
        <v>mié</v>
      </c>
      <c r="AG38" s="16" t="str">
        <f>TEXT(WEEKDAY(DATE(CalendarioAño,7,31),1),"ddd")</f>
        <v>jue</v>
      </c>
      <c r="AH38" s="32"/>
    </row>
    <row r="39" ht="30.0" customHeight="1">
      <c r="A39" s="115"/>
      <c r="B39" s="116" t="s">
        <v>202</v>
      </c>
      <c r="C39" s="117" t="s">
        <v>15</v>
      </c>
      <c r="D39" s="117" t="s">
        <v>16</v>
      </c>
      <c r="E39" s="117" t="s">
        <v>17</v>
      </c>
      <c r="F39" s="117" t="s">
        <v>18</v>
      </c>
      <c r="G39" s="117" t="s">
        <v>19</v>
      </c>
      <c r="H39" s="117" t="s">
        <v>20</v>
      </c>
      <c r="I39" s="117" t="s">
        <v>21</v>
      </c>
      <c r="J39" s="117" t="s">
        <v>22</v>
      </c>
      <c r="K39" s="117" t="s">
        <v>23</v>
      </c>
      <c r="L39" s="117" t="s">
        <v>24</v>
      </c>
      <c r="M39" s="117" t="s">
        <v>25</v>
      </c>
      <c r="N39" s="117" t="s">
        <v>26</v>
      </c>
      <c r="O39" s="117" t="s">
        <v>27</v>
      </c>
      <c r="P39" s="117" t="s">
        <v>28</v>
      </c>
      <c r="Q39" s="117" t="s">
        <v>29</v>
      </c>
      <c r="R39" s="117" t="s">
        <v>30</v>
      </c>
      <c r="S39" s="117" t="s">
        <v>31</v>
      </c>
      <c r="T39" s="117" t="s">
        <v>32</v>
      </c>
      <c r="U39" s="117" t="s">
        <v>33</v>
      </c>
      <c r="V39" s="117" t="s">
        <v>34</v>
      </c>
      <c r="W39" s="117" t="s">
        <v>35</v>
      </c>
      <c r="X39" s="117" t="s">
        <v>36</v>
      </c>
      <c r="Y39" s="117" t="s">
        <v>37</v>
      </c>
      <c r="Z39" s="117" t="s">
        <v>38</v>
      </c>
      <c r="AA39" s="117" t="s">
        <v>39</v>
      </c>
      <c r="AB39" s="117" t="s">
        <v>40</v>
      </c>
      <c r="AC39" s="117" t="s">
        <v>41</v>
      </c>
      <c r="AD39" s="117" t="s">
        <v>42</v>
      </c>
      <c r="AE39" s="117" t="s">
        <v>43</v>
      </c>
      <c r="AF39" s="117" t="s">
        <v>44</v>
      </c>
      <c r="AG39" s="117" t="s">
        <v>45</v>
      </c>
      <c r="AH39" s="117" t="s">
        <v>46</v>
      </c>
    </row>
    <row r="40" ht="30.0" customHeight="1">
      <c r="B40" s="119" t="s">
        <v>59</v>
      </c>
      <c r="C40" s="10" t="s">
        <v>6</v>
      </c>
      <c r="D40" s="21"/>
      <c r="E40" s="10" t="s">
        <v>6</v>
      </c>
      <c r="F40" s="10" t="s">
        <v>6</v>
      </c>
      <c r="G40" s="21"/>
      <c r="H40" s="21"/>
      <c r="I40" s="21"/>
      <c r="J40" s="10" t="s">
        <v>6</v>
      </c>
      <c r="K40" s="21"/>
      <c r="L40" s="21"/>
      <c r="M40" s="21"/>
      <c r="N40" s="21"/>
      <c r="O40" s="21"/>
      <c r="P40" s="21"/>
      <c r="Q40" s="21"/>
      <c r="R40" s="21"/>
      <c r="S40" s="10" t="s">
        <v>6</v>
      </c>
      <c r="T40" s="21"/>
      <c r="U40" s="10" t="s">
        <v>6</v>
      </c>
      <c r="V40" s="21"/>
      <c r="W40" s="21"/>
      <c r="X40" s="21"/>
      <c r="Y40" s="21"/>
      <c r="Z40" s="10" t="s">
        <v>6</v>
      </c>
      <c r="AA40" s="21"/>
      <c r="AB40" s="21"/>
      <c r="AC40" s="21"/>
      <c r="AD40" s="21"/>
      <c r="AE40" s="21"/>
      <c r="AF40" s="21"/>
      <c r="AG40" s="21"/>
      <c r="AH40" s="25"/>
    </row>
    <row r="41" ht="30.0" customHeight="1">
      <c r="B41" s="119" t="s">
        <v>278</v>
      </c>
      <c r="C41" s="10" t="s">
        <v>6</v>
      </c>
      <c r="D41" s="21"/>
      <c r="E41" s="21"/>
      <c r="F41" s="21"/>
      <c r="G41" s="21"/>
      <c r="H41" s="21"/>
      <c r="I41" s="21"/>
      <c r="J41" s="10" t="s">
        <v>6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0" t="s">
        <v>6</v>
      </c>
      <c r="AB41" s="21"/>
      <c r="AC41" s="21"/>
      <c r="AD41" s="21"/>
      <c r="AE41" s="21"/>
      <c r="AF41" s="21"/>
      <c r="AG41" s="21"/>
      <c r="AH41" s="25"/>
    </row>
    <row r="42" ht="30.0" customHeight="1">
      <c r="B42" s="119" t="s">
        <v>268</v>
      </c>
      <c r="C42" s="10" t="s">
        <v>6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10" t="s">
        <v>6</v>
      </c>
      <c r="T42" s="21"/>
      <c r="U42" s="10" t="s">
        <v>6</v>
      </c>
      <c r="V42" s="21"/>
      <c r="W42" s="21"/>
      <c r="X42" s="10" t="s">
        <v>6</v>
      </c>
      <c r="Y42" s="21"/>
      <c r="Z42" s="21"/>
      <c r="AA42" s="21"/>
      <c r="AB42" s="21"/>
      <c r="AC42" s="21"/>
      <c r="AD42" s="21"/>
      <c r="AE42" s="21"/>
      <c r="AF42" s="21"/>
      <c r="AG42" s="21"/>
      <c r="AH42" s="25"/>
    </row>
    <row r="43" ht="30.0" customHeight="1">
      <c r="B43" s="20" t="s">
        <v>279</v>
      </c>
      <c r="C43" s="10" t="s">
        <v>6</v>
      </c>
      <c r="D43" s="10" t="s">
        <v>6</v>
      </c>
      <c r="E43" s="10" t="s">
        <v>6</v>
      </c>
      <c r="F43" s="10" t="s">
        <v>6</v>
      </c>
      <c r="G43" s="21"/>
      <c r="H43" s="21"/>
      <c r="I43" s="21"/>
      <c r="J43" s="10" t="s">
        <v>6</v>
      </c>
      <c r="K43" s="21"/>
      <c r="L43" s="21"/>
      <c r="M43" s="21"/>
      <c r="N43" s="21"/>
      <c r="O43" s="21"/>
      <c r="P43" s="21"/>
      <c r="Q43" s="10" t="s">
        <v>6</v>
      </c>
      <c r="R43" s="21"/>
      <c r="S43" s="10" t="s">
        <v>6</v>
      </c>
      <c r="T43" s="21"/>
      <c r="U43" s="21"/>
      <c r="V43" s="21"/>
      <c r="W43" s="21"/>
      <c r="X43" s="10" t="s">
        <v>6</v>
      </c>
      <c r="Y43" s="21"/>
      <c r="Z43" s="21"/>
      <c r="AA43" s="21"/>
      <c r="AB43" s="21"/>
      <c r="AC43" s="21"/>
      <c r="AD43" s="21"/>
      <c r="AE43" s="21"/>
      <c r="AF43" s="21"/>
      <c r="AG43" s="21"/>
      <c r="AH43" s="25"/>
    </row>
    <row r="44" ht="30.0" customHeight="1">
      <c r="B44" s="20" t="s">
        <v>208</v>
      </c>
      <c r="C44" s="10" t="s">
        <v>6</v>
      </c>
      <c r="D44" s="21"/>
      <c r="E44" s="21"/>
      <c r="F44" s="10" t="s">
        <v>6</v>
      </c>
      <c r="G44" s="21"/>
      <c r="H44" s="21"/>
      <c r="I44" s="21"/>
      <c r="J44" s="10" t="s">
        <v>6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10" t="s">
        <v>6</v>
      </c>
      <c r="V44" s="21"/>
      <c r="W44" s="21"/>
      <c r="X44" s="21"/>
      <c r="Y44" s="21"/>
      <c r="Z44" s="21"/>
      <c r="AA44" s="10" t="s">
        <v>6</v>
      </c>
      <c r="AB44" s="21"/>
      <c r="AC44" s="21"/>
      <c r="AD44" s="21"/>
      <c r="AE44" s="21"/>
      <c r="AF44" s="21"/>
      <c r="AG44" s="21"/>
      <c r="AH44" s="25"/>
    </row>
    <row r="45" ht="30.0" customHeight="1">
      <c r="B45" s="20" t="s">
        <v>276</v>
      </c>
      <c r="C45" s="10" t="s">
        <v>6</v>
      </c>
      <c r="D45" s="21"/>
      <c r="E45" s="10" t="s">
        <v>6</v>
      </c>
      <c r="F45" s="10" t="s">
        <v>6</v>
      </c>
      <c r="G45" s="21"/>
      <c r="H45" s="21"/>
      <c r="I45" s="21"/>
      <c r="J45" s="10" t="s">
        <v>6</v>
      </c>
      <c r="K45" s="21"/>
      <c r="L45" s="10" t="s">
        <v>6</v>
      </c>
      <c r="M45" s="10" t="s">
        <v>6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5"/>
    </row>
    <row r="46" ht="30.0" customHeight="1">
      <c r="B46" s="20" t="s">
        <v>288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5"/>
    </row>
    <row r="47" ht="30.0" customHeight="1">
      <c r="B47" s="20" t="s">
        <v>211</v>
      </c>
      <c r="C47" s="21"/>
      <c r="D47" s="10" t="s">
        <v>6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5"/>
    </row>
    <row r="48" ht="30.0" customHeight="1">
      <c r="B48" s="20" t="s">
        <v>333</v>
      </c>
      <c r="C48" s="21"/>
      <c r="D48" s="10" t="s">
        <v>6</v>
      </c>
      <c r="E48" s="21"/>
      <c r="F48" s="10" t="s">
        <v>6</v>
      </c>
      <c r="G48" s="21"/>
      <c r="H48" s="21"/>
      <c r="I48" s="21"/>
      <c r="J48" s="21"/>
      <c r="K48" s="21"/>
      <c r="L48" s="21"/>
      <c r="M48" s="10" t="s">
        <v>6</v>
      </c>
      <c r="N48" s="21"/>
      <c r="O48" s="21"/>
      <c r="P48" s="21"/>
      <c r="Q48" s="21"/>
      <c r="R48" s="21"/>
      <c r="S48" s="21"/>
      <c r="T48" s="21"/>
      <c r="U48" s="10" t="s">
        <v>6</v>
      </c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5"/>
    </row>
    <row r="49" ht="30.0" customHeight="1">
      <c r="B49" s="20" t="s">
        <v>285</v>
      </c>
      <c r="C49" s="21"/>
      <c r="D49" s="10" t="s">
        <v>6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10" t="s">
        <v>6</v>
      </c>
      <c r="AG49" s="21"/>
      <c r="AH49" s="25"/>
    </row>
    <row r="50" ht="30.0" customHeight="1">
      <c r="B50" s="20" t="s">
        <v>286</v>
      </c>
      <c r="C50" s="21"/>
      <c r="D50" s="40"/>
      <c r="E50" s="10" t="s">
        <v>6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10" t="s">
        <v>6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5"/>
    </row>
    <row r="51" ht="30.0" customHeight="1">
      <c r="B51" s="20" t="s">
        <v>63</v>
      </c>
      <c r="C51" s="21"/>
      <c r="D51" s="40"/>
      <c r="E51" s="10" t="s">
        <v>6</v>
      </c>
      <c r="F51" s="21"/>
      <c r="G51" s="21"/>
      <c r="H51" s="21"/>
      <c r="I51" s="21"/>
      <c r="J51" s="21"/>
      <c r="K51" s="21"/>
      <c r="L51" s="10" t="s">
        <v>6</v>
      </c>
      <c r="M51" s="21"/>
      <c r="N51" s="21"/>
      <c r="O51" s="21"/>
      <c r="P51" s="21"/>
      <c r="Q51" s="10" t="s">
        <v>6</v>
      </c>
      <c r="R51" s="21"/>
      <c r="S51" s="10" t="s">
        <v>6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5"/>
    </row>
    <row r="52" ht="30.0" customHeight="1">
      <c r="B52" s="20" t="s">
        <v>67</v>
      </c>
      <c r="C52" s="21"/>
      <c r="D52" s="40"/>
      <c r="E52" s="10" t="s">
        <v>6</v>
      </c>
      <c r="F52" s="83" t="s">
        <v>174</v>
      </c>
      <c r="G52" s="21"/>
      <c r="H52" s="21"/>
      <c r="I52" s="21"/>
      <c r="J52" s="10" t="s">
        <v>6</v>
      </c>
      <c r="K52" s="21"/>
      <c r="L52" s="21"/>
      <c r="M52" s="21"/>
      <c r="N52" s="21"/>
      <c r="O52" s="21"/>
      <c r="P52" s="10" t="s">
        <v>6</v>
      </c>
      <c r="Q52" s="21"/>
      <c r="R52" s="21"/>
      <c r="S52" s="21"/>
      <c r="T52" s="21"/>
      <c r="U52" s="21"/>
      <c r="V52" s="21"/>
      <c r="W52" s="21"/>
      <c r="X52" s="10" t="s">
        <v>6</v>
      </c>
      <c r="Y52" s="21"/>
      <c r="Z52" s="21"/>
      <c r="AA52" s="21"/>
      <c r="AB52" s="21"/>
      <c r="AC52" s="21"/>
      <c r="AD52" s="21"/>
      <c r="AE52" s="21"/>
      <c r="AF52" s="10" t="s">
        <v>6</v>
      </c>
      <c r="AG52" s="21"/>
      <c r="AH52" s="25"/>
    </row>
    <row r="53" ht="30.0" customHeight="1">
      <c r="B53" s="20" t="s">
        <v>280</v>
      </c>
      <c r="C53" s="27"/>
      <c r="D53" s="27"/>
      <c r="E53" s="27"/>
      <c r="F53" s="27"/>
      <c r="G53" s="27"/>
      <c r="H53" s="27"/>
      <c r="I53" s="27"/>
      <c r="J53" s="10" t="s">
        <v>6</v>
      </c>
      <c r="K53" s="27"/>
      <c r="L53" s="10" t="s">
        <v>6</v>
      </c>
      <c r="M53" s="27"/>
      <c r="N53" s="27"/>
      <c r="O53" s="27"/>
      <c r="P53" s="27"/>
      <c r="Q53" s="10" t="s">
        <v>6</v>
      </c>
      <c r="R53" s="27"/>
      <c r="S53" s="27"/>
      <c r="T53" s="27"/>
      <c r="U53" s="27"/>
      <c r="V53" s="27"/>
      <c r="W53" s="27"/>
      <c r="X53" s="10" t="s">
        <v>6</v>
      </c>
      <c r="Y53" s="27"/>
      <c r="Z53" s="10" t="s">
        <v>6</v>
      </c>
      <c r="AA53" s="27"/>
      <c r="AB53" s="27"/>
      <c r="AC53" s="27"/>
      <c r="AD53" s="27"/>
      <c r="AE53" s="27"/>
      <c r="AF53" s="27"/>
      <c r="AG53" s="10" t="s">
        <v>6</v>
      </c>
      <c r="AH53" s="27"/>
    </row>
    <row r="54" ht="30.0" customHeight="1">
      <c r="B54" s="20" t="s">
        <v>282</v>
      </c>
      <c r="C54" s="27"/>
      <c r="D54" s="27"/>
      <c r="E54" s="27"/>
      <c r="F54" s="27"/>
      <c r="G54" s="27"/>
      <c r="H54" s="27"/>
      <c r="I54" s="27"/>
      <c r="J54" s="10" t="s">
        <v>6</v>
      </c>
      <c r="K54" s="27"/>
      <c r="L54" s="10" t="s">
        <v>6</v>
      </c>
      <c r="M54" s="27"/>
      <c r="N54" s="27"/>
      <c r="O54" s="27"/>
      <c r="P54" s="27"/>
      <c r="Q54" s="10" t="s">
        <v>6</v>
      </c>
      <c r="R54" s="27"/>
      <c r="S54" s="10" t="s">
        <v>6</v>
      </c>
      <c r="T54" s="27"/>
      <c r="U54" s="27"/>
      <c r="V54" s="27"/>
      <c r="W54" s="27"/>
      <c r="X54" s="10" t="s">
        <v>6</v>
      </c>
      <c r="Y54" s="27"/>
      <c r="Z54" s="10" t="s">
        <v>6</v>
      </c>
      <c r="AA54" s="27"/>
      <c r="AB54" s="27"/>
      <c r="AC54" s="27"/>
      <c r="AD54" s="27"/>
      <c r="AE54" s="27"/>
      <c r="AF54" s="10" t="s">
        <v>6</v>
      </c>
      <c r="AG54" s="27"/>
      <c r="AH54" s="27"/>
    </row>
    <row r="55" ht="30.0" customHeight="1">
      <c r="B55" s="20" t="s">
        <v>287</v>
      </c>
      <c r="C55" s="27"/>
      <c r="D55" s="27"/>
      <c r="E55" s="27"/>
      <c r="F55" s="27"/>
      <c r="G55" s="27"/>
      <c r="H55" s="27"/>
      <c r="I55" s="27"/>
      <c r="J55" s="10" t="s">
        <v>6</v>
      </c>
      <c r="K55" s="27"/>
      <c r="L55" s="27"/>
      <c r="M55" s="10" t="s">
        <v>6</v>
      </c>
      <c r="N55" s="27"/>
      <c r="O55" s="27"/>
      <c r="P55" s="10" t="s">
        <v>6</v>
      </c>
      <c r="Q55" s="27"/>
      <c r="R55" s="27"/>
      <c r="S55" s="27"/>
      <c r="T55" s="27"/>
      <c r="U55" s="10" t="s">
        <v>6</v>
      </c>
      <c r="V55" s="27"/>
      <c r="W55" s="27"/>
      <c r="X55" s="27"/>
      <c r="Y55" s="27"/>
      <c r="Z55" s="10" t="s">
        <v>6</v>
      </c>
      <c r="AA55" s="10" t="s">
        <v>6</v>
      </c>
      <c r="AB55" s="27"/>
      <c r="AC55" s="27"/>
      <c r="AD55" s="27"/>
      <c r="AE55" s="27"/>
      <c r="AF55" s="10" t="s">
        <v>6</v>
      </c>
      <c r="AG55" s="27"/>
      <c r="AH55" s="27"/>
    </row>
    <row r="56" ht="30.0" customHeight="1">
      <c r="B56" s="20" t="s">
        <v>334</v>
      </c>
      <c r="C56" s="27"/>
      <c r="D56" s="27"/>
      <c r="E56" s="27"/>
      <c r="F56" s="27"/>
      <c r="G56" s="27"/>
      <c r="H56" s="27"/>
      <c r="I56" s="27"/>
      <c r="J56" s="27"/>
      <c r="K56" s="27"/>
      <c r="L56" s="10" t="s">
        <v>6</v>
      </c>
      <c r="M56" s="27"/>
      <c r="N56" s="27"/>
      <c r="O56" s="27"/>
      <c r="P56" s="27"/>
      <c r="Q56" s="27"/>
      <c r="R56" s="27"/>
      <c r="S56" s="10" t="s">
        <v>6</v>
      </c>
      <c r="T56" s="27"/>
      <c r="U56" s="10" t="s">
        <v>6</v>
      </c>
      <c r="V56" s="27"/>
      <c r="W56" s="27"/>
      <c r="X56" s="27"/>
      <c r="Y56" s="27"/>
      <c r="Z56" s="27"/>
      <c r="AA56" s="10" t="s">
        <v>6</v>
      </c>
      <c r="AB56" s="27"/>
      <c r="AC56" s="27"/>
      <c r="AD56" s="27"/>
      <c r="AE56" s="27"/>
      <c r="AF56" s="27"/>
      <c r="AG56" s="10" t="s">
        <v>6</v>
      </c>
      <c r="AH56" s="27"/>
    </row>
    <row r="57" ht="30.0" customHeight="1">
      <c r="B57" s="20" t="s">
        <v>335</v>
      </c>
      <c r="C57" s="27"/>
      <c r="D57" s="27"/>
      <c r="E57" s="27"/>
      <c r="F57" s="10" t="s">
        <v>6</v>
      </c>
      <c r="G57" s="27"/>
      <c r="H57" s="27"/>
      <c r="I57" s="27"/>
      <c r="J57" s="27"/>
      <c r="K57" s="27"/>
      <c r="L57" s="27"/>
      <c r="M57" s="10" t="s">
        <v>6</v>
      </c>
      <c r="N57" s="27"/>
      <c r="O57" s="27"/>
      <c r="P57" s="27"/>
      <c r="Q57" s="27"/>
      <c r="R57" s="27"/>
      <c r="S57" s="27"/>
      <c r="T57" s="27"/>
      <c r="U57" s="10" t="s">
        <v>6</v>
      </c>
      <c r="V57" s="27"/>
      <c r="W57" s="27"/>
      <c r="X57" s="27"/>
      <c r="Y57" s="27"/>
      <c r="Z57" s="27"/>
      <c r="AA57" s="10" t="s">
        <v>6</v>
      </c>
      <c r="AB57" s="27"/>
      <c r="AC57" s="27"/>
      <c r="AD57" s="27"/>
      <c r="AE57" s="27"/>
      <c r="AF57" s="27"/>
      <c r="AG57" s="27"/>
      <c r="AH57" s="27"/>
    </row>
    <row r="58" ht="30.0" customHeight="1">
      <c r="B58" s="20" t="s">
        <v>281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ht="30.0" customHeight="1">
      <c r="B59" s="20" t="s">
        <v>64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10" t="s">
        <v>6</v>
      </c>
      <c r="T59" s="27"/>
      <c r="U59" s="27"/>
      <c r="V59" s="27"/>
      <c r="W59" s="27"/>
      <c r="X59" s="27"/>
      <c r="Y59" s="27"/>
      <c r="Z59" s="10" t="s">
        <v>6</v>
      </c>
      <c r="AA59" s="27"/>
      <c r="AB59" s="27"/>
      <c r="AC59" s="27"/>
      <c r="AD59" s="27"/>
      <c r="AE59" s="27"/>
      <c r="AF59" s="27"/>
      <c r="AG59" s="10" t="s">
        <v>6</v>
      </c>
      <c r="AH59" s="27"/>
    </row>
    <row r="60" ht="30.0" customHeight="1">
      <c r="B60" s="20" t="s">
        <v>227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10" t="s">
        <v>6</v>
      </c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10" t="s">
        <v>6</v>
      </c>
      <c r="AG60" s="10" t="s">
        <v>6</v>
      </c>
      <c r="AH60" s="27"/>
    </row>
    <row r="61" ht="30.0" customHeight="1">
      <c r="B61" s="2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 ht="30.0" customHeight="1">
      <c r="B62" s="2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</row>
    <row r="63" ht="30.0" customHeight="1">
      <c r="B63" s="26" t="str">
        <f>Julio!MonthName&amp;" Total"</f>
        <v>Julio Total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</row>
    <row r="64" ht="30.0" customHeight="1"/>
    <row r="65" ht="30.0" customHeight="1">
      <c r="B65" s="32" t="s">
        <v>328</v>
      </c>
      <c r="C65" s="80" t="s">
        <v>336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32">
        <f>CalendarioAño</f>
        <v>2025</v>
      </c>
    </row>
    <row r="66" ht="30.0" customHeight="1">
      <c r="B66" s="32"/>
      <c r="C66" s="16" t="str">
        <f>TEXT(WEEKDAY(DATE(CalendarioAño,7,1),1),"ddd")</f>
        <v>mar</v>
      </c>
      <c r="D66" s="16" t="str">
        <f>TEXT(WEEKDAY(DATE(CalendarioAño,7,2),1),"ddd")</f>
        <v>mié</v>
      </c>
      <c r="E66" s="16" t="str">
        <f>TEXT(WEEKDAY(DATE(CalendarioAño,7,3),1),"ddd")</f>
        <v>jue</v>
      </c>
      <c r="F66" s="16" t="str">
        <f>TEXT(WEEKDAY(DATE(CalendarioAño,7,4),1),"ddd")</f>
        <v>vie</v>
      </c>
      <c r="G66" s="16" t="str">
        <f>TEXT(WEEKDAY(DATE(CalendarioAño,7,5),1),"ddd")</f>
        <v>sáb</v>
      </c>
      <c r="H66" s="16" t="str">
        <f>TEXT(WEEKDAY(DATE(CalendarioAño,7,6),1),"ddd")</f>
        <v>dom</v>
      </c>
      <c r="I66" s="16" t="str">
        <f>TEXT(WEEKDAY(DATE(CalendarioAño,7,7),1),"ddd")</f>
        <v>lun</v>
      </c>
      <c r="J66" s="16" t="str">
        <f>TEXT(WEEKDAY(DATE(CalendarioAño,7,8),1),"ddd")</f>
        <v>mar</v>
      </c>
      <c r="K66" s="16" t="str">
        <f>TEXT(WEEKDAY(DATE(CalendarioAño,7,9),1),"ddd")</f>
        <v>mié</v>
      </c>
      <c r="L66" s="16" t="str">
        <f>TEXT(WEEKDAY(DATE(CalendarioAño,7,10),1),"ddd")</f>
        <v>jue</v>
      </c>
      <c r="M66" s="16" t="str">
        <f>TEXT(WEEKDAY(DATE(CalendarioAño,7,11),1),"ddd")</f>
        <v>vie</v>
      </c>
      <c r="N66" s="16" t="str">
        <f>TEXT(WEEKDAY(DATE(CalendarioAño,7,12),1),"ddd")</f>
        <v>sáb</v>
      </c>
      <c r="O66" s="16" t="str">
        <f>TEXT(WEEKDAY(DATE(CalendarioAño,7,13),1),"ddd")</f>
        <v>dom</v>
      </c>
      <c r="P66" s="16" t="str">
        <f>TEXT(WEEKDAY(DATE(CalendarioAño,7,14),1),"ddd")</f>
        <v>lun</v>
      </c>
      <c r="Q66" s="16" t="str">
        <f>TEXT(WEEKDAY(DATE(CalendarioAño,7,15),1),"ddd")</f>
        <v>mar</v>
      </c>
      <c r="R66" s="16" t="str">
        <f>TEXT(WEEKDAY(DATE(CalendarioAño,7,16),1),"ddd")</f>
        <v>mié</v>
      </c>
      <c r="S66" s="16" t="str">
        <f>TEXT(WEEKDAY(DATE(CalendarioAño,7,17),1),"ddd")</f>
        <v>jue</v>
      </c>
      <c r="T66" s="16" t="str">
        <f>TEXT(WEEKDAY(DATE(CalendarioAño,7,18),1),"ddd")</f>
        <v>vie</v>
      </c>
      <c r="U66" s="16" t="str">
        <f>TEXT(WEEKDAY(DATE(CalendarioAño,7,19),1),"ddd")</f>
        <v>sáb</v>
      </c>
      <c r="V66" s="16" t="str">
        <f>TEXT(WEEKDAY(DATE(CalendarioAño,7,20),1),"ddd")</f>
        <v>dom</v>
      </c>
      <c r="W66" s="16" t="str">
        <f>TEXT(WEEKDAY(DATE(CalendarioAño,7,21),1),"ddd")</f>
        <v>lun</v>
      </c>
      <c r="X66" s="16" t="str">
        <f>TEXT(WEEKDAY(DATE(CalendarioAño,7,22),1),"ddd")</f>
        <v>mar</v>
      </c>
      <c r="Y66" s="16" t="str">
        <f>TEXT(WEEKDAY(DATE(CalendarioAño,7,23),1),"ddd")</f>
        <v>mié</v>
      </c>
      <c r="Z66" s="16" t="str">
        <f>TEXT(WEEKDAY(DATE(CalendarioAño,7,24),1),"ddd")</f>
        <v>jue</v>
      </c>
      <c r="AA66" s="16" t="str">
        <f>TEXT(WEEKDAY(DATE(CalendarioAño,7,25),1),"ddd")</f>
        <v>vie</v>
      </c>
      <c r="AB66" s="16" t="str">
        <f>TEXT(WEEKDAY(DATE(CalendarioAño,7,26),1),"ddd")</f>
        <v>sáb</v>
      </c>
      <c r="AC66" s="16" t="str">
        <f>TEXT(WEEKDAY(DATE(CalendarioAño,7,27),1),"ddd")</f>
        <v>dom</v>
      </c>
      <c r="AD66" s="16" t="str">
        <f>TEXT(WEEKDAY(DATE(CalendarioAño,7,28),1),"ddd")</f>
        <v>lun</v>
      </c>
      <c r="AE66" s="16" t="str">
        <f>TEXT(WEEKDAY(DATE(CalendarioAño,7,29),1),"ddd")</f>
        <v>mar</v>
      </c>
      <c r="AF66" s="16" t="str">
        <f>TEXT(WEEKDAY(DATE(CalendarioAño,7,30),1),"ddd")</f>
        <v>mié</v>
      </c>
      <c r="AG66" s="16" t="str">
        <f>TEXT(WEEKDAY(DATE(CalendarioAño,7,31),1),"ddd")</f>
        <v>jue</v>
      </c>
      <c r="AH66" s="32"/>
    </row>
    <row r="67" ht="30.0" customHeight="1">
      <c r="A67" s="115"/>
      <c r="B67" s="116" t="s">
        <v>202</v>
      </c>
      <c r="C67" s="117" t="s">
        <v>15</v>
      </c>
      <c r="D67" s="117" t="s">
        <v>16</v>
      </c>
      <c r="E67" s="117" t="s">
        <v>17</v>
      </c>
      <c r="F67" s="117" t="s">
        <v>18</v>
      </c>
      <c r="G67" s="117" t="s">
        <v>19</v>
      </c>
      <c r="H67" s="117" t="s">
        <v>20</v>
      </c>
      <c r="I67" s="117" t="s">
        <v>21</v>
      </c>
      <c r="J67" s="117" t="s">
        <v>22</v>
      </c>
      <c r="K67" s="117" t="s">
        <v>23</v>
      </c>
      <c r="L67" s="117" t="s">
        <v>24</v>
      </c>
      <c r="M67" s="117" t="s">
        <v>25</v>
      </c>
      <c r="N67" s="117" t="s">
        <v>26</v>
      </c>
      <c r="O67" s="117" t="s">
        <v>27</v>
      </c>
      <c r="P67" s="117" t="s">
        <v>28</v>
      </c>
      <c r="Q67" s="117" t="s">
        <v>29</v>
      </c>
      <c r="R67" s="117" t="s">
        <v>30</v>
      </c>
      <c r="S67" s="117" t="s">
        <v>31</v>
      </c>
      <c r="T67" s="117" t="s">
        <v>32</v>
      </c>
      <c r="U67" s="117" t="s">
        <v>33</v>
      </c>
      <c r="V67" s="117" t="s">
        <v>34</v>
      </c>
      <c r="W67" s="117" t="s">
        <v>35</v>
      </c>
      <c r="X67" s="117" t="s">
        <v>36</v>
      </c>
      <c r="Y67" s="117" t="s">
        <v>37</v>
      </c>
      <c r="Z67" s="117" t="s">
        <v>38</v>
      </c>
      <c r="AA67" s="117" t="s">
        <v>39</v>
      </c>
      <c r="AB67" s="117" t="s">
        <v>40</v>
      </c>
      <c r="AC67" s="117" t="s">
        <v>41</v>
      </c>
      <c r="AD67" s="117" t="s">
        <v>42</v>
      </c>
      <c r="AE67" s="117" t="s">
        <v>43</v>
      </c>
      <c r="AF67" s="117" t="s">
        <v>44</v>
      </c>
      <c r="AG67" s="117" t="s">
        <v>45</v>
      </c>
      <c r="AH67" s="117" t="s">
        <v>46</v>
      </c>
    </row>
    <row r="68" ht="30.0" customHeight="1">
      <c r="B68" s="119" t="s">
        <v>337</v>
      </c>
      <c r="C68" s="10" t="s">
        <v>6</v>
      </c>
      <c r="D68" s="21"/>
      <c r="E68" s="10" t="s">
        <v>6</v>
      </c>
      <c r="F68" s="21"/>
      <c r="G68" s="21"/>
      <c r="H68" s="21"/>
      <c r="I68" s="21"/>
      <c r="J68" s="10" t="s">
        <v>6</v>
      </c>
      <c r="K68" s="21"/>
      <c r="L68" s="10" t="s">
        <v>6</v>
      </c>
      <c r="M68" s="21"/>
      <c r="N68" s="21"/>
      <c r="O68" s="21"/>
      <c r="P68" s="21"/>
      <c r="Q68" s="10" t="s">
        <v>6</v>
      </c>
      <c r="R68" s="21"/>
      <c r="S68" s="10" t="s">
        <v>6</v>
      </c>
      <c r="T68" s="21"/>
      <c r="U68" s="21"/>
      <c r="V68" s="21"/>
      <c r="W68" s="21"/>
      <c r="X68" s="21"/>
      <c r="Y68" s="21"/>
      <c r="Z68" s="10" t="s">
        <v>6</v>
      </c>
      <c r="AA68" s="21"/>
      <c r="AB68" s="21"/>
      <c r="AC68" s="21"/>
      <c r="AD68" s="21"/>
      <c r="AE68" s="21"/>
      <c r="AF68" s="21"/>
      <c r="AG68" s="10" t="s">
        <v>6</v>
      </c>
      <c r="AH68" s="25"/>
    </row>
    <row r="69" ht="30.0" customHeight="1">
      <c r="B69" s="119" t="s">
        <v>297</v>
      </c>
      <c r="C69" s="10" t="s">
        <v>6</v>
      </c>
      <c r="D69" s="21"/>
      <c r="E69" s="10" t="s">
        <v>6</v>
      </c>
      <c r="F69" s="10" t="s">
        <v>6</v>
      </c>
      <c r="G69" s="21"/>
      <c r="H69" s="21"/>
      <c r="I69" s="21"/>
      <c r="J69" s="10" t="s">
        <v>6</v>
      </c>
      <c r="K69" s="21"/>
      <c r="L69" s="21"/>
      <c r="M69" s="21"/>
      <c r="N69" s="21"/>
      <c r="O69" s="21"/>
      <c r="P69" s="10" t="s">
        <v>6</v>
      </c>
      <c r="Q69" s="10" t="s">
        <v>6</v>
      </c>
      <c r="R69" s="21"/>
      <c r="S69" s="21"/>
      <c r="T69" s="21"/>
      <c r="U69" s="21"/>
      <c r="V69" s="21"/>
      <c r="W69" s="21"/>
      <c r="X69" s="10" t="s">
        <v>6</v>
      </c>
      <c r="Y69" s="21"/>
      <c r="Z69" s="10" t="s">
        <v>6</v>
      </c>
      <c r="AA69" s="21"/>
      <c r="AB69" s="21"/>
      <c r="AC69" s="21"/>
      <c r="AD69" s="21"/>
      <c r="AE69" s="21"/>
      <c r="AF69" s="21"/>
      <c r="AG69" s="10" t="s">
        <v>6</v>
      </c>
      <c r="AH69" s="25"/>
    </row>
    <row r="70" ht="30.0" customHeight="1">
      <c r="B70" s="119" t="s">
        <v>82</v>
      </c>
      <c r="C70" s="10" t="s">
        <v>6</v>
      </c>
      <c r="D70" s="10" t="s">
        <v>6</v>
      </c>
      <c r="E70" s="21"/>
      <c r="F70" s="10" t="s">
        <v>6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10" t="s">
        <v>6</v>
      </c>
      <c r="R70" s="21"/>
      <c r="S70" s="10" t="s">
        <v>6</v>
      </c>
      <c r="T70" s="21"/>
      <c r="U70" s="21"/>
      <c r="V70" s="21"/>
      <c r="W70" s="21"/>
      <c r="X70" s="10" t="s">
        <v>6</v>
      </c>
      <c r="Y70" s="21"/>
      <c r="Z70" s="21"/>
      <c r="AA70" s="21"/>
      <c r="AB70" s="21"/>
      <c r="AC70" s="21"/>
      <c r="AD70" s="21"/>
      <c r="AE70" s="21"/>
      <c r="AF70" s="21"/>
      <c r="AG70" s="10" t="s">
        <v>6</v>
      </c>
      <c r="AH70" s="25"/>
    </row>
    <row r="71" ht="30.0" customHeight="1">
      <c r="B71" s="20" t="s">
        <v>79</v>
      </c>
      <c r="C71" s="10" t="s">
        <v>6</v>
      </c>
      <c r="D71" s="21"/>
      <c r="E71" s="21"/>
      <c r="F71" s="10" t="s">
        <v>6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10" t="s">
        <v>6</v>
      </c>
      <c r="R71" s="21"/>
      <c r="S71" s="10" t="s">
        <v>6</v>
      </c>
      <c r="T71" s="21"/>
      <c r="U71" s="21"/>
      <c r="V71" s="21"/>
      <c r="W71" s="21"/>
      <c r="X71" s="10" t="s">
        <v>6</v>
      </c>
      <c r="Y71" s="21"/>
      <c r="Z71" s="10" t="s">
        <v>6</v>
      </c>
      <c r="AA71" s="21"/>
      <c r="AB71" s="21"/>
      <c r="AC71" s="21"/>
      <c r="AD71" s="21"/>
      <c r="AE71" s="21"/>
      <c r="AF71" s="21"/>
      <c r="AG71" s="21"/>
      <c r="AH71" s="25"/>
    </row>
    <row r="72" ht="30.0" customHeight="1">
      <c r="B72" s="20" t="s">
        <v>105</v>
      </c>
      <c r="C72" s="10" t="s">
        <v>6</v>
      </c>
      <c r="D72" s="10" t="s">
        <v>6</v>
      </c>
      <c r="E72" s="21"/>
      <c r="F72" s="10" t="s">
        <v>6</v>
      </c>
      <c r="G72" s="21"/>
      <c r="H72" s="21"/>
      <c r="I72" s="21"/>
      <c r="J72" s="10" t="s">
        <v>6</v>
      </c>
      <c r="K72" s="21"/>
      <c r="L72" s="21"/>
      <c r="M72" s="10" t="s">
        <v>6</v>
      </c>
      <c r="N72" s="21"/>
      <c r="O72" s="21"/>
      <c r="P72" s="10" t="s">
        <v>6</v>
      </c>
      <c r="Q72" s="10" t="s">
        <v>6</v>
      </c>
      <c r="R72" s="21"/>
      <c r="S72" s="21"/>
      <c r="T72" s="21"/>
      <c r="U72" s="21"/>
      <c r="V72" s="21"/>
      <c r="W72" s="21"/>
      <c r="X72" s="10" t="s">
        <v>6</v>
      </c>
      <c r="Y72" s="21"/>
      <c r="Z72" s="21"/>
      <c r="AA72" s="21"/>
      <c r="AB72" s="21"/>
      <c r="AC72" s="21"/>
      <c r="AD72" s="21"/>
      <c r="AE72" s="21"/>
      <c r="AF72" s="10" t="s">
        <v>6</v>
      </c>
      <c r="AG72" s="21"/>
      <c r="AH72" s="25"/>
    </row>
    <row r="73" ht="30.0" customHeight="1">
      <c r="B73" s="20" t="s">
        <v>64</v>
      </c>
      <c r="C73" s="10" t="s">
        <v>6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10" t="s">
        <v>6</v>
      </c>
      <c r="Y73" s="21"/>
      <c r="Z73" s="21"/>
      <c r="AA73" s="21"/>
      <c r="AB73" s="21"/>
      <c r="AC73" s="21"/>
      <c r="AD73" s="21"/>
      <c r="AE73" s="21"/>
      <c r="AF73" s="21"/>
      <c r="AG73" s="21"/>
      <c r="AH73" s="25"/>
    </row>
    <row r="74" ht="30.0" customHeight="1">
      <c r="B74" s="20" t="s">
        <v>283</v>
      </c>
      <c r="C74" s="10" t="s">
        <v>6</v>
      </c>
      <c r="D74" s="10" t="s">
        <v>6</v>
      </c>
      <c r="E74" s="10" t="s">
        <v>6</v>
      </c>
      <c r="F74" s="21"/>
      <c r="G74" s="21"/>
      <c r="H74" s="21"/>
      <c r="I74" s="21"/>
      <c r="J74" s="21"/>
      <c r="K74" s="21"/>
      <c r="L74" s="10" t="s">
        <v>6</v>
      </c>
      <c r="M74" s="21"/>
      <c r="N74" s="21"/>
      <c r="O74" s="21"/>
      <c r="P74" s="21"/>
      <c r="Q74" s="21"/>
      <c r="R74" s="21"/>
      <c r="S74" s="10" t="s">
        <v>6</v>
      </c>
      <c r="T74" s="21"/>
      <c r="U74" s="10" t="s">
        <v>6</v>
      </c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10" t="s">
        <v>6</v>
      </c>
      <c r="AG74" s="10" t="s">
        <v>6</v>
      </c>
      <c r="AH74" s="25"/>
    </row>
    <row r="75" ht="30.0" customHeight="1">
      <c r="B75" s="20" t="s">
        <v>284</v>
      </c>
      <c r="C75" s="40"/>
      <c r="D75" s="83" t="s">
        <v>174</v>
      </c>
      <c r="E75" s="21"/>
      <c r="F75" s="83" t="s">
        <v>6</v>
      </c>
      <c r="G75" s="21"/>
      <c r="H75" s="21"/>
      <c r="I75" s="21"/>
      <c r="J75" s="83" t="s">
        <v>6</v>
      </c>
      <c r="K75" s="21"/>
      <c r="L75" s="21"/>
      <c r="M75" s="21"/>
      <c r="N75" s="21"/>
      <c r="O75" s="21"/>
      <c r="P75" s="10" t="s">
        <v>6</v>
      </c>
      <c r="Q75" s="10" t="s">
        <v>6</v>
      </c>
      <c r="R75" s="21"/>
      <c r="S75" s="10" t="s">
        <v>6</v>
      </c>
      <c r="T75" s="21"/>
      <c r="U75" s="21"/>
      <c r="V75" s="21"/>
      <c r="W75" s="10" t="s">
        <v>6</v>
      </c>
      <c r="X75" s="21"/>
      <c r="Y75" s="21"/>
      <c r="Z75" s="10" t="s">
        <v>6</v>
      </c>
      <c r="AA75" s="21"/>
      <c r="AB75" s="21"/>
      <c r="AC75" s="21"/>
      <c r="AD75" s="21"/>
      <c r="AE75" s="21"/>
      <c r="AF75" s="10" t="s">
        <v>6</v>
      </c>
      <c r="AG75" s="10" t="s">
        <v>6</v>
      </c>
      <c r="AH75" s="25"/>
    </row>
    <row r="76" ht="30.0" customHeight="1">
      <c r="B76" s="20" t="s">
        <v>300</v>
      </c>
      <c r="C76" s="40"/>
      <c r="D76" s="10" t="s">
        <v>6</v>
      </c>
      <c r="E76" s="21"/>
      <c r="F76" s="83" t="s">
        <v>6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5"/>
    </row>
    <row r="77" ht="30.0" customHeight="1">
      <c r="B77" s="20" t="s">
        <v>294</v>
      </c>
      <c r="C77" s="40"/>
      <c r="D77" s="10" t="s">
        <v>6</v>
      </c>
      <c r="E77" s="21"/>
      <c r="F77" s="10" t="s">
        <v>6</v>
      </c>
      <c r="G77" s="21"/>
      <c r="H77" s="21"/>
      <c r="I77" s="21"/>
      <c r="J77" s="21"/>
      <c r="K77" s="21"/>
      <c r="L77" s="21"/>
      <c r="M77" s="10" t="s">
        <v>6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10" t="s">
        <v>6</v>
      </c>
      <c r="AB77" s="21"/>
      <c r="AC77" s="21"/>
      <c r="AD77" s="21"/>
      <c r="AE77" s="21"/>
      <c r="AF77" s="21"/>
      <c r="AG77" s="21"/>
      <c r="AH77" s="25"/>
    </row>
    <row r="78" ht="30.0" customHeight="1">
      <c r="B78" s="20" t="s">
        <v>222</v>
      </c>
      <c r="C78" s="40"/>
      <c r="D78" s="10" t="s">
        <v>6</v>
      </c>
      <c r="E78" s="83" t="s">
        <v>174</v>
      </c>
      <c r="F78" s="21"/>
      <c r="G78" s="21"/>
      <c r="H78" s="21"/>
      <c r="I78" s="21"/>
      <c r="J78" s="10" t="s">
        <v>6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5"/>
    </row>
    <row r="79" ht="30.0" customHeight="1">
      <c r="B79" s="20" t="s">
        <v>295</v>
      </c>
      <c r="C79" s="27"/>
      <c r="D79" s="27"/>
      <c r="E79" s="27"/>
      <c r="F79" s="10" t="s">
        <v>6</v>
      </c>
      <c r="G79" s="27"/>
      <c r="H79" s="27"/>
      <c r="I79" s="27"/>
      <c r="J79" s="27"/>
      <c r="K79" s="27"/>
      <c r="L79" s="27"/>
      <c r="M79" s="27"/>
      <c r="N79" s="27"/>
      <c r="O79" s="27"/>
      <c r="P79" s="10" t="s">
        <v>6</v>
      </c>
      <c r="Q79" s="27"/>
      <c r="R79" s="27"/>
      <c r="S79" s="27"/>
      <c r="T79" s="27"/>
      <c r="U79" s="27"/>
      <c r="V79" s="27"/>
      <c r="W79" s="10" t="s">
        <v>6</v>
      </c>
      <c r="X79" s="27"/>
      <c r="Y79" s="27"/>
      <c r="Z79" s="27"/>
      <c r="AA79" s="10" t="s">
        <v>6</v>
      </c>
      <c r="AB79" s="27"/>
      <c r="AC79" s="27"/>
      <c r="AD79" s="27"/>
      <c r="AE79" s="27"/>
      <c r="AF79" s="27"/>
      <c r="AG79" s="27"/>
      <c r="AH79" s="27"/>
    </row>
    <row r="80" ht="30.0" customHeight="1">
      <c r="B80" s="20" t="s">
        <v>296</v>
      </c>
      <c r="C80" s="27"/>
      <c r="D80" s="27"/>
      <c r="E80" s="27"/>
      <c r="F80" s="10" t="s">
        <v>6</v>
      </c>
      <c r="G80" s="27"/>
      <c r="H80" s="27"/>
      <c r="I80" s="27"/>
      <c r="J80" s="27"/>
      <c r="K80" s="27"/>
      <c r="L80" s="27"/>
      <c r="M80" s="27"/>
      <c r="N80" s="27"/>
      <c r="O80" s="27"/>
      <c r="P80" s="10" t="s">
        <v>6</v>
      </c>
      <c r="Q80" s="27"/>
      <c r="R80" s="27"/>
      <c r="S80" s="27"/>
      <c r="T80" s="27"/>
      <c r="U80" s="27"/>
      <c r="V80" s="27"/>
      <c r="W80" s="10" t="s">
        <v>6</v>
      </c>
      <c r="X80" s="27"/>
      <c r="Y80" s="27"/>
      <c r="Z80" s="27"/>
      <c r="AA80" s="10" t="s">
        <v>6</v>
      </c>
      <c r="AB80" s="27"/>
      <c r="AC80" s="27"/>
      <c r="AD80" s="27"/>
      <c r="AE80" s="27"/>
      <c r="AF80" s="27"/>
      <c r="AG80" s="27"/>
      <c r="AH80" s="27"/>
    </row>
    <row r="81" ht="30.0" customHeight="1">
      <c r="B81" s="20" t="s">
        <v>289</v>
      </c>
      <c r="C81" s="27"/>
      <c r="D81" s="27"/>
      <c r="E81" s="27"/>
      <c r="F81" s="10" t="s">
        <v>6</v>
      </c>
      <c r="G81" s="27"/>
      <c r="H81" s="27"/>
      <c r="I81" s="27"/>
      <c r="J81" s="27"/>
      <c r="K81" s="27"/>
      <c r="L81" s="27"/>
      <c r="M81" s="27"/>
      <c r="N81" s="27"/>
      <c r="O81" s="27"/>
      <c r="P81" s="10" t="s">
        <v>6</v>
      </c>
      <c r="Q81" s="27"/>
      <c r="R81" s="27"/>
      <c r="S81" s="27"/>
      <c r="T81" s="27"/>
      <c r="U81" s="27"/>
      <c r="V81" s="27"/>
      <c r="W81" s="10" t="s">
        <v>6</v>
      </c>
      <c r="X81" s="27"/>
      <c r="Y81" s="27"/>
      <c r="Z81" s="27"/>
      <c r="AA81" s="27"/>
      <c r="AB81" s="27"/>
      <c r="AC81" s="27"/>
      <c r="AD81" s="27"/>
      <c r="AE81" s="27"/>
      <c r="AF81" s="10" t="s">
        <v>6</v>
      </c>
      <c r="AG81" s="27"/>
      <c r="AH81" s="27"/>
    </row>
    <row r="82" ht="30.0" customHeight="1">
      <c r="B82" s="20" t="s">
        <v>310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10" t="s">
        <v>6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10" t="s">
        <v>6</v>
      </c>
      <c r="AB82" s="27"/>
      <c r="AC82" s="27"/>
      <c r="AD82" s="27"/>
      <c r="AE82" s="27"/>
      <c r="AF82" s="10" t="s">
        <v>6</v>
      </c>
      <c r="AG82" s="27"/>
      <c r="AH82" s="27"/>
    </row>
    <row r="83" ht="30.0" customHeight="1">
      <c r="B83" s="20" t="s">
        <v>278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10" t="s">
        <v>6</v>
      </c>
      <c r="Q83" s="10" t="s">
        <v>6</v>
      </c>
      <c r="R83" s="27"/>
      <c r="S83" s="27"/>
      <c r="T83" s="27"/>
      <c r="U83" s="27"/>
      <c r="V83" s="27"/>
      <c r="W83" s="27"/>
      <c r="X83" s="10" t="s">
        <v>6</v>
      </c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ht="30.0" customHeight="1">
      <c r="B84" s="20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ht="30.0" customHeight="1">
      <c r="B85" s="20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</row>
    <row r="86" ht="30.0" customHeight="1">
      <c r="B86" s="26" t="str">
        <f>Julio!MonthName&amp;" Total"</f>
        <v>Julio Total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</row>
    <row r="87" ht="30.0" customHeight="1"/>
    <row r="88" ht="30.0" customHeight="1">
      <c r="A88" s="43"/>
      <c r="B88" s="49" t="s">
        <v>328</v>
      </c>
      <c r="C88" s="101" t="s">
        <v>338</v>
      </c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49">
        <f>CalendarioAño</f>
        <v>2025</v>
      </c>
    </row>
    <row r="89" ht="30.0" customHeight="1">
      <c r="A89" s="43"/>
      <c r="B89" s="51"/>
      <c r="C89" s="52" t="str">
        <f>TEXT(WEEKDAY(DATE(CalendarioAño,7,1),1),"ddd")</f>
        <v>mar</v>
      </c>
      <c r="D89" s="52" t="str">
        <f>TEXT(WEEKDAY(DATE(CalendarioAño,7,2),1),"ddd")</f>
        <v>mié</v>
      </c>
      <c r="E89" s="52" t="str">
        <f>TEXT(WEEKDAY(DATE(CalendarioAño,7,3),1),"ddd")</f>
        <v>jue</v>
      </c>
      <c r="F89" s="52" t="str">
        <f>TEXT(WEEKDAY(DATE(CalendarioAño,7,4),1),"ddd")</f>
        <v>vie</v>
      </c>
      <c r="G89" s="52" t="str">
        <f>TEXT(WEEKDAY(DATE(CalendarioAño,7,5),1),"ddd")</f>
        <v>sáb</v>
      </c>
      <c r="H89" s="52" t="str">
        <f>TEXT(WEEKDAY(DATE(CalendarioAño,7,6),1),"ddd")</f>
        <v>dom</v>
      </c>
      <c r="I89" s="52" t="str">
        <f>TEXT(WEEKDAY(DATE(CalendarioAño,7,7),1),"ddd")</f>
        <v>lun</v>
      </c>
      <c r="J89" s="52" t="str">
        <f>TEXT(WEEKDAY(DATE(CalendarioAño,7,8),1),"ddd")</f>
        <v>mar</v>
      </c>
      <c r="K89" s="52" t="str">
        <f>TEXT(WEEKDAY(DATE(CalendarioAño,7,9),1),"ddd")</f>
        <v>mié</v>
      </c>
      <c r="L89" s="52" t="str">
        <f>TEXT(WEEKDAY(DATE(CalendarioAño,7,10),1),"ddd")</f>
        <v>jue</v>
      </c>
      <c r="M89" s="52" t="str">
        <f>TEXT(WEEKDAY(DATE(CalendarioAño,7,11),1),"ddd")</f>
        <v>vie</v>
      </c>
      <c r="N89" s="52" t="str">
        <f>TEXT(WEEKDAY(DATE(CalendarioAño,7,12),1),"ddd")</f>
        <v>sáb</v>
      </c>
      <c r="O89" s="52" t="str">
        <f>TEXT(WEEKDAY(DATE(CalendarioAño,7,13),1),"ddd")</f>
        <v>dom</v>
      </c>
      <c r="P89" s="52" t="str">
        <f>TEXT(WEEKDAY(DATE(CalendarioAño,7,14),1),"ddd")</f>
        <v>lun</v>
      </c>
      <c r="Q89" s="52" t="str">
        <f>TEXT(WEEKDAY(DATE(CalendarioAño,7,15),1),"ddd")</f>
        <v>mar</v>
      </c>
      <c r="R89" s="52" t="str">
        <f>TEXT(WEEKDAY(DATE(CalendarioAño,7,16),1),"ddd")</f>
        <v>mié</v>
      </c>
      <c r="S89" s="52" t="str">
        <f>TEXT(WEEKDAY(DATE(CalendarioAño,7,17),1),"ddd")</f>
        <v>jue</v>
      </c>
      <c r="T89" s="52" t="str">
        <f>TEXT(WEEKDAY(DATE(CalendarioAño,7,18),1),"ddd")</f>
        <v>vie</v>
      </c>
      <c r="U89" s="52" t="str">
        <f>TEXT(WEEKDAY(DATE(CalendarioAño,7,19),1),"ddd")</f>
        <v>sáb</v>
      </c>
      <c r="V89" s="52" t="str">
        <f>TEXT(WEEKDAY(DATE(CalendarioAño,7,20),1),"ddd")</f>
        <v>dom</v>
      </c>
      <c r="W89" s="52" t="str">
        <f>TEXT(WEEKDAY(DATE(CalendarioAño,7,21),1),"ddd")</f>
        <v>lun</v>
      </c>
      <c r="X89" s="52" t="str">
        <f>TEXT(WEEKDAY(DATE(CalendarioAño,7,22),1),"ddd")</f>
        <v>mar</v>
      </c>
      <c r="Y89" s="52" t="str">
        <f>TEXT(WEEKDAY(DATE(CalendarioAño,7,23),1),"ddd")</f>
        <v>mié</v>
      </c>
      <c r="Z89" s="52" t="str">
        <f>TEXT(WEEKDAY(DATE(CalendarioAño,7,24),1),"ddd")</f>
        <v>jue</v>
      </c>
      <c r="AA89" s="52" t="str">
        <f>TEXT(WEEKDAY(DATE(CalendarioAño,7,25),1),"ddd")</f>
        <v>vie</v>
      </c>
      <c r="AB89" s="52" t="str">
        <f>TEXT(WEEKDAY(DATE(CalendarioAño,7,26),1),"ddd")</f>
        <v>sáb</v>
      </c>
      <c r="AC89" s="52" t="str">
        <f>TEXT(WEEKDAY(DATE(CalendarioAño,7,27),1),"ddd")</f>
        <v>dom</v>
      </c>
      <c r="AD89" s="52" t="str">
        <f>TEXT(WEEKDAY(DATE(CalendarioAño,7,28),1),"ddd")</f>
        <v>lun</v>
      </c>
      <c r="AE89" s="52" t="str">
        <f>TEXT(WEEKDAY(DATE(CalendarioAño,7,29),1),"ddd")</f>
        <v>mar</v>
      </c>
      <c r="AF89" s="52" t="str">
        <f>TEXT(WEEKDAY(DATE(CalendarioAño,7,30),1),"ddd")</f>
        <v>mié</v>
      </c>
      <c r="AG89" s="52" t="str">
        <f>TEXT(WEEKDAY(DATE(CalendarioAño,7,31),1),"ddd")</f>
        <v>jue</v>
      </c>
      <c r="AH89" s="51"/>
    </row>
    <row r="90" ht="30.0" customHeight="1">
      <c r="A90" s="120"/>
      <c r="B90" s="121" t="s">
        <v>202</v>
      </c>
      <c r="C90" s="122" t="s">
        <v>15</v>
      </c>
      <c r="D90" s="122" t="s">
        <v>16</v>
      </c>
      <c r="E90" s="122" t="s">
        <v>17</v>
      </c>
      <c r="F90" s="122" t="s">
        <v>18</v>
      </c>
      <c r="G90" s="122" t="s">
        <v>19</v>
      </c>
      <c r="H90" s="122" t="s">
        <v>20</v>
      </c>
      <c r="I90" s="122" t="s">
        <v>21</v>
      </c>
      <c r="J90" s="122" t="s">
        <v>22</v>
      </c>
      <c r="K90" s="122" t="s">
        <v>23</v>
      </c>
      <c r="L90" s="122" t="s">
        <v>24</v>
      </c>
      <c r="M90" s="122" t="s">
        <v>25</v>
      </c>
      <c r="N90" s="122" t="s">
        <v>26</v>
      </c>
      <c r="O90" s="122" t="s">
        <v>27</v>
      </c>
      <c r="P90" s="122" t="s">
        <v>28</v>
      </c>
      <c r="Q90" s="122" t="s">
        <v>29</v>
      </c>
      <c r="R90" s="122" t="s">
        <v>30</v>
      </c>
      <c r="S90" s="122" t="s">
        <v>31</v>
      </c>
      <c r="T90" s="122" t="s">
        <v>32</v>
      </c>
      <c r="U90" s="122" t="s">
        <v>33</v>
      </c>
      <c r="V90" s="122" t="s">
        <v>34</v>
      </c>
      <c r="W90" s="122" t="s">
        <v>35</v>
      </c>
      <c r="X90" s="122" t="s">
        <v>36</v>
      </c>
      <c r="Y90" s="122" t="s">
        <v>37</v>
      </c>
      <c r="Z90" s="122" t="s">
        <v>38</v>
      </c>
      <c r="AA90" s="122" t="s">
        <v>39</v>
      </c>
      <c r="AB90" s="122" t="s">
        <v>40</v>
      </c>
      <c r="AC90" s="122" t="s">
        <v>41</v>
      </c>
      <c r="AD90" s="122" t="s">
        <v>42</v>
      </c>
      <c r="AE90" s="122" t="s">
        <v>43</v>
      </c>
      <c r="AF90" s="122" t="s">
        <v>44</v>
      </c>
      <c r="AG90" s="122" t="s">
        <v>45</v>
      </c>
      <c r="AH90" s="122" t="s">
        <v>46</v>
      </c>
    </row>
    <row r="91" ht="30.0" customHeight="1">
      <c r="A91" s="43"/>
      <c r="B91" s="123" t="s">
        <v>133</v>
      </c>
      <c r="C91" s="58"/>
      <c r="D91" s="10" t="s">
        <v>6</v>
      </c>
      <c r="E91" s="58"/>
      <c r="F91" s="58"/>
      <c r="G91" s="58"/>
      <c r="H91" s="58"/>
      <c r="I91" s="58"/>
      <c r="J91" s="10" t="s">
        <v>6</v>
      </c>
      <c r="K91" s="58"/>
      <c r="L91" s="58"/>
      <c r="M91" s="10" t="s">
        <v>6</v>
      </c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105"/>
    </row>
    <row r="92" ht="30.0" customHeight="1">
      <c r="A92" s="43"/>
      <c r="B92" s="124" t="s">
        <v>178</v>
      </c>
      <c r="C92" s="61"/>
      <c r="D92" s="10" t="s">
        <v>6</v>
      </c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107"/>
    </row>
    <row r="93" ht="30.0" customHeight="1">
      <c r="A93" s="43"/>
      <c r="B93" s="123" t="s">
        <v>292</v>
      </c>
      <c r="C93" s="58"/>
      <c r="D93" s="83" t="s">
        <v>174</v>
      </c>
      <c r="E93" s="83" t="s">
        <v>174</v>
      </c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10" t="s">
        <v>6</v>
      </c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105"/>
    </row>
    <row r="94" ht="30.0" customHeight="1">
      <c r="A94" s="43"/>
      <c r="B94" s="60" t="s">
        <v>215</v>
      </c>
      <c r="C94" s="61"/>
      <c r="D94" s="83" t="s">
        <v>174</v>
      </c>
      <c r="E94" s="61"/>
      <c r="F94" s="10" t="s">
        <v>6</v>
      </c>
      <c r="G94" s="61"/>
      <c r="H94" s="61"/>
      <c r="I94" s="61"/>
      <c r="J94" s="61"/>
      <c r="K94" s="61"/>
      <c r="L94" s="10" t="s">
        <v>6</v>
      </c>
      <c r="M94" s="10" t="s">
        <v>6</v>
      </c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10" t="s">
        <v>6</v>
      </c>
      <c r="AA94" s="61"/>
      <c r="AB94" s="61"/>
      <c r="AC94" s="61"/>
      <c r="AD94" s="61"/>
      <c r="AE94" s="61"/>
      <c r="AF94" s="10" t="s">
        <v>6</v>
      </c>
      <c r="AG94" s="61"/>
      <c r="AH94" s="107"/>
    </row>
    <row r="95" ht="30.0" customHeight="1">
      <c r="A95" s="43"/>
      <c r="B95" s="57" t="s">
        <v>293</v>
      </c>
      <c r="C95" s="58"/>
      <c r="D95" s="10" t="s">
        <v>6</v>
      </c>
      <c r="E95" s="10" t="s">
        <v>6</v>
      </c>
      <c r="F95" s="58"/>
      <c r="G95" s="58"/>
      <c r="H95" s="58"/>
      <c r="I95" s="58"/>
      <c r="J95" s="10" t="s">
        <v>6</v>
      </c>
      <c r="K95" s="58"/>
      <c r="L95" s="10" t="s">
        <v>6</v>
      </c>
      <c r="M95" s="58"/>
      <c r="N95" s="58"/>
      <c r="O95" s="58"/>
      <c r="P95" s="58"/>
      <c r="Q95" s="58"/>
      <c r="R95" s="58"/>
      <c r="S95" s="10" t="s">
        <v>6</v>
      </c>
      <c r="T95" s="58"/>
      <c r="U95" s="58"/>
      <c r="V95" s="58"/>
      <c r="W95" s="58"/>
      <c r="X95" s="10" t="s">
        <v>6</v>
      </c>
      <c r="Y95" s="58"/>
      <c r="Z95" s="10" t="s">
        <v>6</v>
      </c>
      <c r="AA95" s="58"/>
      <c r="AB95" s="58"/>
      <c r="AC95" s="58"/>
      <c r="AD95" s="58"/>
      <c r="AE95" s="58"/>
      <c r="AF95" s="10" t="s">
        <v>6</v>
      </c>
      <c r="AG95" s="58"/>
      <c r="AH95" s="105"/>
    </row>
    <row r="96" ht="30.0" customHeight="1">
      <c r="A96" s="43"/>
      <c r="B96" s="57" t="s">
        <v>298</v>
      </c>
      <c r="C96" s="58"/>
      <c r="D96" s="58"/>
      <c r="E96" s="10" t="s">
        <v>6</v>
      </c>
      <c r="F96" s="58"/>
      <c r="G96" s="58"/>
      <c r="H96" s="58"/>
      <c r="I96" s="58"/>
      <c r="J96" s="10" t="s">
        <v>6</v>
      </c>
      <c r="K96" s="58"/>
      <c r="L96" s="58"/>
      <c r="M96" s="10" t="s">
        <v>6</v>
      </c>
      <c r="N96" s="58"/>
      <c r="O96" s="58"/>
      <c r="P96" s="10" t="s">
        <v>6</v>
      </c>
      <c r="Q96" s="58"/>
      <c r="R96" s="58"/>
      <c r="S96" s="10" t="s">
        <v>6</v>
      </c>
      <c r="T96" s="58"/>
      <c r="U96" s="58"/>
      <c r="V96" s="58"/>
      <c r="W96" s="58"/>
      <c r="X96" s="58"/>
      <c r="Y96" s="58"/>
      <c r="Z96" s="58"/>
      <c r="AA96" s="10" t="s">
        <v>6</v>
      </c>
      <c r="AB96" s="58"/>
      <c r="AC96" s="58"/>
      <c r="AD96" s="58"/>
      <c r="AE96" s="58"/>
      <c r="AF96" s="10" t="s">
        <v>6</v>
      </c>
      <c r="AG96" s="10" t="s">
        <v>6</v>
      </c>
      <c r="AH96" s="105"/>
    </row>
    <row r="97" ht="30.0" customHeight="1">
      <c r="A97" s="43"/>
      <c r="B97" s="57" t="s">
        <v>311</v>
      </c>
      <c r="C97" s="58"/>
      <c r="D97" s="58"/>
      <c r="E97" s="83" t="s">
        <v>6</v>
      </c>
      <c r="F97" s="58"/>
      <c r="G97" s="58"/>
      <c r="H97" s="58"/>
      <c r="I97" s="58"/>
      <c r="J97" s="83" t="s">
        <v>6</v>
      </c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10" t="s">
        <v>6</v>
      </c>
      <c r="Y97" s="58"/>
      <c r="Z97" s="10" t="s">
        <v>6</v>
      </c>
      <c r="AA97" s="58"/>
      <c r="AB97" s="58"/>
      <c r="AC97" s="58"/>
      <c r="AD97" s="58"/>
      <c r="AE97" s="58"/>
      <c r="AF97" s="58"/>
      <c r="AG97" s="58"/>
      <c r="AH97" s="105"/>
    </row>
    <row r="98" ht="30.0" customHeight="1">
      <c r="A98" s="43"/>
      <c r="B98" s="57" t="s">
        <v>339</v>
      </c>
      <c r="C98" s="63"/>
      <c r="D98" s="63"/>
      <c r="E98" s="63"/>
      <c r="F98" s="83" t="s">
        <v>6</v>
      </c>
      <c r="G98" s="63"/>
      <c r="H98" s="63"/>
      <c r="I98" s="63"/>
      <c r="J98" s="83" t="s">
        <v>6</v>
      </c>
      <c r="K98" s="63"/>
      <c r="L98" s="63"/>
      <c r="M98" s="10" t="s">
        <v>6</v>
      </c>
      <c r="N98" s="63"/>
      <c r="O98" s="63"/>
      <c r="P98" s="63"/>
      <c r="Q98" s="10" t="s">
        <v>6</v>
      </c>
      <c r="R98" s="63"/>
      <c r="S98" s="63"/>
      <c r="T98" s="63"/>
      <c r="U98" s="63"/>
      <c r="V98" s="63"/>
      <c r="W98" s="10" t="s">
        <v>6</v>
      </c>
      <c r="X98" s="63"/>
      <c r="Y98" s="63"/>
      <c r="Z98" s="63"/>
      <c r="AA98" s="10" t="s">
        <v>6</v>
      </c>
      <c r="AB98" s="63"/>
      <c r="AC98" s="63"/>
      <c r="AD98" s="63"/>
      <c r="AE98" s="63"/>
      <c r="AF98" s="10" t="s">
        <v>6</v>
      </c>
      <c r="AG98" s="63"/>
      <c r="AH98" s="63"/>
    </row>
    <row r="99" ht="30.0" customHeight="1">
      <c r="A99" s="43"/>
      <c r="B99" s="57" t="s">
        <v>115</v>
      </c>
      <c r="C99" s="63"/>
      <c r="D99" s="63"/>
      <c r="E99" s="63"/>
      <c r="F99" s="83" t="s">
        <v>6</v>
      </c>
      <c r="G99" s="63"/>
      <c r="H99" s="63"/>
      <c r="I99" s="63"/>
      <c r="J99" s="63"/>
      <c r="K99" s="63"/>
      <c r="L99" s="63"/>
      <c r="M99" s="10" t="s">
        <v>6</v>
      </c>
      <c r="N99" s="63"/>
      <c r="O99" s="63"/>
      <c r="P99" s="63"/>
      <c r="Q99" s="63"/>
      <c r="R99" s="63"/>
      <c r="S99" s="63"/>
      <c r="T99" s="63"/>
      <c r="U99" s="10" t="s">
        <v>6</v>
      </c>
      <c r="V99" s="63"/>
      <c r="W99" s="63"/>
      <c r="X99" s="63"/>
      <c r="Y99" s="63"/>
      <c r="Z99" s="63"/>
      <c r="AA99" s="10" t="s">
        <v>6</v>
      </c>
      <c r="AB99" s="63"/>
      <c r="AC99" s="63"/>
      <c r="AD99" s="63"/>
      <c r="AE99" s="63"/>
      <c r="AF99" s="63"/>
      <c r="AG99" s="63"/>
      <c r="AH99" s="63"/>
    </row>
    <row r="100" ht="30.0" customHeight="1">
      <c r="A100" s="43"/>
      <c r="B100" s="57" t="s">
        <v>308</v>
      </c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10" t="s">
        <v>6</v>
      </c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ht="30.0" customHeight="1">
      <c r="A101" s="43"/>
      <c r="B101" s="57" t="s">
        <v>121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10" t="s">
        <v>6</v>
      </c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</row>
    <row r="102" ht="30.0" customHeight="1">
      <c r="A102" s="43"/>
      <c r="B102" s="57" t="s">
        <v>302</v>
      </c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10" t="s">
        <v>6</v>
      </c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</row>
    <row r="103" ht="30.0" customHeight="1">
      <c r="A103" s="43"/>
      <c r="B103" s="57" t="s">
        <v>340</v>
      </c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10" t="s">
        <v>6</v>
      </c>
      <c r="AB103" s="63"/>
      <c r="AC103" s="63"/>
      <c r="AD103" s="63"/>
      <c r="AE103" s="63"/>
      <c r="AF103" s="10" t="s">
        <v>6</v>
      </c>
      <c r="AG103" s="63"/>
      <c r="AH103" s="63"/>
    </row>
    <row r="104" ht="30.0" customHeight="1">
      <c r="A104" s="43"/>
      <c r="B104" s="57" t="s">
        <v>341</v>
      </c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10" t="s">
        <v>6</v>
      </c>
      <c r="AG104" s="63"/>
      <c r="AH104" s="63"/>
    </row>
    <row r="105" ht="30.0" customHeight="1">
      <c r="A105" s="43"/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</row>
    <row r="106" ht="30.0" customHeight="1">
      <c r="A106" s="43"/>
      <c r="B106" s="99" t="str">
        <f>Julio!MonthName&amp;" Total"</f>
        <v>Julio Total</v>
      </c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</row>
    <row r="107" ht="30.0" customHeight="1"/>
    <row r="108" ht="30.0" customHeight="1">
      <c r="A108" s="43"/>
      <c r="B108" s="49" t="s">
        <v>328</v>
      </c>
      <c r="C108" s="101" t="s">
        <v>342</v>
      </c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49">
        <f>CalendarioAño</f>
        <v>2025</v>
      </c>
    </row>
    <row r="109" ht="30.0" customHeight="1">
      <c r="A109" s="43"/>
      <c r="B109" s="51"/>
      <c r="C109" s="52" t="str">
        <f>TEXT(WEEKDAY(DATE(CalendarioAño,7,1),1),"ddd")</f>
        <v>mar</v>
      </c>
      <c r="D109" s="52" t="str">
        <f>TEXT(WEEKDAY(DATE(CalendarioAño,7,2),1),"ddd")</f>
        <v>mié</v>
      </c>
      <c r="E109" s="52" t="str">
        <f>TEXT(WEEKDAY(DATE(CalendarioAño,7,3),1),"ddd")</f>
        <v>jue</v>
      </c>
      <c r="F109" s="52" t="str">
        <f>TEXT(WEEKDAY(DATE(CalendarioAño,7,4),1),"ddd")</f>
        <v>vie</v>
      </c>
      <c r="G109" s="52" t="str">
        <f>TEXT(WEEKDAY(DATE(CalendarioAño,7,5),1),"ddd")</f>
        <v>sáb</v>
      </c>
      <c r="H109" s="52" t="str">
        <f>TEXT(WEEKDAY(DATE(CalendarioAño,7,6),1),"ddd")</f>
        <v>dom</v>
      </c>
      <c r="I109" s="52" t="str">
        <f>TEXT(WEEKDAY(DATE(CalendarioAño,7,7),1),"ddd")</f>
        <v>lun</v>
      </c>
      <c r="J109" s="52" t="str">
        <f>TEXT(WEEKDAY(DATE(CalendarioAño,7,8),1),"ddd")</f>
        <v>mar</v>
      </c>
      <c r="K109" s="52" t="str">
        <f>TEXT(WEEKDAY(DATE(CalendarioAño,7,9),1),"ddd")</f>
        <v>mié</v>
      </c>
      <c r="L109" s="52" t="str">
        <f>TEXT(WEEKDAY(DATE(CalendarioAño,7,10),1),"ddd")</f>
        <v>jue</v>
      </c>
      <c r="M109" s="52" t="str">
        <f>TEXT(WEEKDAY(DATE(CalendarioAño,7,11),1),"ddd")</f>
        <v>vie</v>
      </c>
      <c r="N109" s="52" t="str">
        <f>TEXT(WEEKDAY(DATE(CalendarioAño,7,12),1),"ddd")</f>
        <v>sáb</v>
      </c>
      <c r="O109" s="52" t="str">
        <f>TEXT(WEEKDAY(DATE(CalendarioAño,7,13),1),"ddd")</f>
        <v>dom</v>
      </c>
      <c r="P109" s="52" t="str">
        <f>TEXT(WEEKDAY(DATE(CalendarioAño,7,14),1),"ddd")</f>
        <v>lun</v>
      </c>
      <c r="Q109" s="52" t="str">
        <f>TEXT(WEEKDAY(DATE(CalendarioAño,7,15),1),"ddd")</f>
        <v>mar</v>
      </c>
      <c r="R109" s="52" t="str">
        <f>TEXT(WEEKDAY(DATE(CalendarioAño,7,16),1),"ddd")</f>
        <v>mié</v>
      </c>
      <c r="S109" s="52" t="str">
        <f>TEXT(WEEKDAY(DATE(CalendarioAño,7,17),1),"ddd")</f>
        <v>jue</v>
      </c>
      <c r="T109" s="52" t="str">
        <f>TEXT(WEEKDAY(DATE(CalendarioAño,7,18),1),"ddd")</f>
        <v>vie</v>
      </c>
      <c r="U109" s="52" t="str">
        <f>TEXT(WEEKDAY(DATE(CalendarioAño,7,19),1),"ddd")</f>
        <v>sáb</v>
      </c>
      <c r="V109" s="52" t="str">
        <f>TEXT(WEEKDAY(DATE(CalendarioAño,7,20),1),"ddd")</f>
        <v>dom</v>
      </c>
      <c r="W109" s="52" t="str">
        <f>TEXT(WEEKDAY(DATE(CalendarioAño,7,21),1),"ddd")</f>
        <v>lun</v>
      </c>
      <c r="X109" s="52" t="str">
        <f>TEXT(WEEKDAY(DATE(CalendarioAño,7,22),1),"ddd")</f>
        <v>mar</v>
      </c>
      <c r="Y109" s="52" t="str">
        <f>TEXT(WEEKDAY(DATE(CalendarioAño,7,23),1),"ddd")</f>
        <v>mié</v>
      </c>
      <c r="Z109" s="52" t="str">
        <f>TEXT(WEEKDAY(DATE(CalendarioAño,7,24),1),"ddd")</f>
        <v>jue</v>
      </c>
      <c r="AA109" s="52" t="str">
        <f>TEXT(WEEKDAY(DATE(CalendarioAño,7,25),1),"ddd")</f>
        <v>vie</v>
      </c>
      <c r="AB109" s="52" t="str">
        <f>TEXT(WEEKDAY(DATE(CalendarioAño,7,26),1),"ddd")</f>
        <v>sáb</v>
      </c>
      <c r="AC109" s="52" t="str">
        <f>TEXT(WEEKDAY(DATE(CalendarioAño,7,27),1),"ddd")</f>
        <v>dom</v>
      </c>
      <c r="AD109" s="52" t="str">
        <f>TEXT(WEEKDAY(DATE(CalendarioAño,7,28),1),"ddd")</f>
        <v>lun</v>
      </c>
      <c r="AE109" s="52" t="str">
        <f>TEXT(WEEKDAY(DATE(CalendarioAño,7,29),1),"ddd")</f>
        <v>mar</v>
      </c>
      <c r="AF109" s="52" t="str">
        <f>TEXT(WEEKDAY(DATE(CalendarioAño,7,30),1),"ddd")</f>
        <v>mié</v>
      </c>
      <c r="AG109" s="52" t="str">
        <f>TEXT(WEEKDAY(DATE(CalendarioAño,7,31),1),"ddd")</f>
        <v>jue</v>
      </c>
      <c r="AH109" s="51"/>
    </row>
    <row r="110" ht="30.0" customHeight="1">
      <c r="A110" s="120"/>
      <c r="B110" s="121" t="s">
        <v>202</v>
      </c>
      <c r="C110" s="122" t="s">
        <v>15</v>
      </c>
      <c r="D110" s="122" t="s">
        <v>16</v>
      </c>
      <c r="E110" s="122" t="s">
        <v>17</v>
      </c>
      <c r="F110" s="122" t="s">
        <v>18</v>
      </c>
      <c r="G110" s="122" t="s">
        <v>19</v>
      </c>
      <c r="H110" s="122" t="s">
        <v>20</v>
      </c>
      <c r="I110" s="122" t="s">
        <v>21</v>
      </c>
      <c r="J110" s="122" t="s">
        <v>22</v>
      </c>
      <c r="K110" s="122" t="s">
        <v>23</v>
      </c>
      <c r="L110" s="122" t="s">
        <v>24</v>
      </c>
      <c r="M110" s="122" t="s">
        <v>25</v>
      </c>
      <c r="N110" s="122" t="s">
        <v>26</v>
      </c>
      <c r="O110" s="122" t="s">
        <v>27</v>
      </c>
      <c r="P110" s="122" t="s">
        <v>28</v>
      </c>
      <c r="Q110" s="122" t="s">
        <v>29</v>
      </c>
      <c r="R110" s="122" t="s">
        <v>30</v>
      </c>
      <c r="S110" s="122" t="s">
        <v>31</v>
      </c>
      <c r="T110" s="122" t="s">
        <v>32</v>
      </c>
      <c r="U110" s="122" t="s">
        <v>33</v>
      </c>
      <c r="V110" s="122" t="s">
        <v>34</v>
      </c>
      <c r="W110" s="122" t="s">
        <v>35</v>
      </c>
      <c r="X110" s="122" t="s">
        <v>36</v>
      </c>
      <c r="Y110" s="122" t="s">
        <v>37</v>
      </c>
      <c r="Z110" s="122" t="s">
        <v>38</v>
      </c>
      <c r="AA110" s="122" t="s">
        <v>39</v>
      </c>
      <c r="AB110" s="122" t="s">
        <v>40</v>
      </c>
      <c r="AC110" s="122" t="s">
        <v>41</v>
      </c>
      <c r="AD110" s="122" t="s">
        <v>42</v>
      </c>
      <c r="AE110" s="122" t="s">
        <v>43</v>
      </c>
      <c r="AF110" s="122" t="s">
        <v>44</v>
      </c>
      <c r="AG110" s="122" t="s">
        <v>45</v>
      </c>
      <c r="AH110" s="122" t="s">
        <v>46</v>
      </c>
    </row>
    <row r="111" ht="30.0" customHeight="1">
      <c r="A111" s="43"/>
      <c r="B111" s="123" t="s">
        <v>315</v>
      </c>
      <c r="C111" s="58"/>
      <c r="D111" s="40"/>
      <c r="E111" s="83" t="s">
        <v>6</v>
      </c>
      <c r="F111" s="58"/>
      <c r="G111" s="58"/>
      <c r="H111" s="58"/>
      <c r="I111" s="58"/>
      <c r="J111" s="10" t="s">
        <v>6</v>
      </c>
      <c r="K111" s="58"/>
      <c r="L111" s="10" t="s">
        <v>6</v>
      </c>
      <c r="M111" s="58"/>
      <c r="N111" s="58"/>
      <c r="O111" s="58"/>
      <c r="P111" s="58"/>
      <c r="Q111" s="10" t="s">
        <v>6</v>
      </c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105"/>
    </row>
    <row r="112" ht="30.0" customHeight="1">
      <c r="A112" s="43"/>
      <c r="B112" s="124" t="s">
        <v>184</v>
      </c>
      <c r="C112" s="61"/>
      <c r="D112" s="40"/>
      <c r="E112" s="83" t="s">
        <v>6</v>
      </c>
      <c r="F112" s="61"/>
      <c r="G112" s="61"/>
      <c r="H112" s="61"/>
      <c r="I112" s="61"/>
      <c r="J112" s="61"/>
      <c r="K112" s="61"/>
      <c r="L112" s="10" t="s">
        <v>6</v>
      </c>
      <c r="M112" s="61"/>
      <c r="N112" s="61"/>
      <c r="O112" s="61"/>
      <c r="P112" s="10" t="s">
        <v>6</v>
      </c>
      <c r="Q112" s="61"/>
      <c r="R112" s="61"/>
      <c r="S112" s="61"/>
      <c r="T112" s="61"/>
      <c r="U112" s="61"/>
      <c r="V112" s="61"/>
      <c r="W112" s="61"/>
      <c r="X112" s="61"/>
      <c r="Y112" s="61"/>
      <c r="Z112" s="10" t="s">
        <v>6</v>
      </c>
      <c r="AA112" s="61"/>
      <c r="AB112" s="61"/>
      <c r="AC112" s="61"/>
      <c r="AD112" s="61"/>
      <c r="AE112" s="61"/>
      <c r="AF112" s="61"/>
      <c r="AG112" s="10" t="s">
        <v>6</v>
      </c>
      <c r="AH112" s="107"/>
    </row>
    <row r="113" ht="30.0" customHeight="1">
      <c r="A113" s="43"/>
      <c r="B113" s="123" t="s">
        <v>306</v>
      </c>
      <c r="C113" s="58"/>
      <c r="D113" s="40"/>
      <c r="E113" s="83" t="s">
        <v>6</v>
      </c>
      <c r="F113" s="58"/>
      <c r="G113" s="58"/>
      <c r="H113" s="58"/>
      <c r="I113" s="58"/>
      <c r="J113" s="83" t="s">
        <v>6</v>
      </c>
      <c r="K113" s="58"/>
      <c r="L113" s="10" t="s">
        <v>6</v>
      </c>
      <c r="M113" s="58"/>
      <c r="N113" s="58"/>
      <c r="O113" s="58"/>
      <c r="P113" s="10" t="s">
        <v>6</v>
      </c>
      <c r="Q113" s="10" t="s">
        <v>6</v>
      </c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105"/>
    </row>
    <row r="114" ht="30.0" customHeight="1">
      <c r="A114" s="43"/>
      <c r="B114" s="60" t="s">
        <v>251</v>
      </c>
      <c r="C114" s="61"/>
      <c r="D114" s="40"/>
      <c r="E114" s="83" t="s">
        <v>6</v>
      </c>
      <c r="F114" s="61"/>
      <c r="G114" s="61"/>
      <c r="H114" s="61"/>
      <c r="I114" s="61"/>
      <c r="J114" s="83" t="s">
        <v>6</v>
      </c>
      <c r="K114" s="61"/>
      <c r="L114" s="10" t="s">
        <v>6</v>
      </c>
      <c r="M114" s="61"/>
      <c r="N114" s="61"/>
      <c r="O114" s="61"/>
      <c r="P114" s="61"/>
      <c r="Q114" s="61"/>
      <c r="R114" s="61"/>
      <c r="S114" s="10" t="s">
        <v>6</v>
      </c>
      <c r="T114" s="61"/>
      <c r="U114" s="61"/>
      <c r="V114" s="61"/>
      <c r="W114" s="61"/>
      <c r="X114" s="61"/>
      <c r="Y114" s="61"/>
      <c r="Z114" s="10" t="s">
        <v>6</v>
      </c>
      <c r="AA114" s="61"/>
      <c r="AB114" s="61"/>
      <c r="AC114" s="61"/>
      <c r="AD114" s="61"/>
      <c r="AE114" s="61"/>
      <c r="AF114" s="61"/>
      <c r="AG114" s="10" t="s">
        <v>6</v>
      </c>
      <c r="AH114" s="107"/>
    </row>
    <row r="115" ht="30.0" customHeight="1">
      <c r="A115" s="43"/>
      <c r="B115" s="57" t="s">
        <v>309</v>
      </c>
      <c r="C115" s="58"/>
      <c r="D115" s="85"/>
      <c r="E115" s="83" t="s">
        <v>6</v>
      </c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10" t="s">
        <v>6</v>
      </c>
      <c r="Q115" s="10" t="s">
        <v>6</v>
      </c>
      <c r="R115" s="58"/>
      <c r="S115" s="10" t="s">
        <v>6</v>
      </c>
      <c r="T115" s="58"/>
      <c r="U115" s="58"/>
      <c r="V115" s="58"/>
      <c r="W115" s="10" t="s">
        <v>6</v>
      </c>
      <c r="X115" s="58"/>
      <c r="Y115" s="58"/>
      <c r="Z115" s="10" t="s">
        <v>6</v>
      </c>
      <c r="AA115" s="58"/>
      <c r="AB115" s="58"/>
      <c r="AC115" s="58"/>
      <c r="AD115" s="58"/>
      <c r="AE115" s="58"/>
      <c r="AF115" s="58"/>
      <c r="AG115" s="58"/>
      <c r="AH115" s="105"/>
    </row>
    <row r="116" ht="30.0" customHeight="1">
      <c r="A116" s="43"/>
      <c r="B116" s="57" t="s">
        <v>111</v>
      </c>
      <c r="C116" s="58"/>
      <c r="D116" s="85"/>
      <c r="E116" s="83" t="s">
        <v>6</v>
      </c>
      <c r="F116" s="58"/>
      <c r="G116" s="58"/>
      <c r="H116" s="58"/>
      <c r="I116" s="58"/>
      <c r="J116" s="58"/>
      <c r="K116" s="58"/>
      <c r="L116" s="10" t="s">
        <v>6</v>
      </c>
      <c r="M116" s="58"/>
      <c r="N116" s="58"/>
      <c r="O116" s="58"/>
      <c r="P116" s="58"/>
      <c r="Q116" s="58"/>
      <c r="R116" s="58"/>
      <c r="S116" s="10" t="s">
        <v>6</v>
      </c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105"/>
    </row>
    <row r="117" ht="30.0" customHeight="1">
      <c r="A117" s="43"/>
      <c r="B117" s="57" t="s">
        <v>318</v>
      </c>
      <c r="C117" s="58"/>
      <c r="D117" s="85"/>
      <c r="E117" s="58"/>
      <c r="F117" s="58"/>
      <c r="G117" s="58"/>
      <c r="H117" s="58"/>
      <c r="I117" s="58"/>
      <c r="J117" s="83" t="s">
        <v>6</v>
      </c>
      <c r="K117" s="58"/>
      <c r="L117" s="58"/>
      <c r="M117" s="58"/>
      <c r="N117" s="58"/>
      <c r="O117" s="58"/>
      <c r="P117" s="10" t="s">
        <v>6</v>
      </c>
      <c r="Q117" s="58"/>
      <c r="R117" s="58"/>
      <c r="S117" s="10" t="s">
        <v>6</v>
      </c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105"/>
    </row>
    <row r="118" ht="30.0" customHeight="1">
      <c r="A118" s="43"/>
      <c r="B118" s="57" t="s">
        <v>307</v>
      </c>
      <c r="C118" s="58"/>
      <c r="D118" s="85"/>
      <c r="E118" s="58"/>
      <c r="F118" s="58"/>
      <c r="G118" s="58"/>
      <c r="H118" s="58"/>
      <c r="I118" s="58"/>
      <c r="J118" s="83" t="s">
        <v>6</v>
      </c>
      <c r="K118" s="58"/>
      <c r="L118" s="58"/>
      <c r="M118" s="58"/>
      <c r="N118" s="58"/>
      <c r="O118" s="58"/>
      <c r="P118" s="58"/>
      <c r="Q118" s="10" t="s">
        <v>6</v>
      </c>
      <c r="R118" s="58"/>
      <c r="S118" s="10" t="s">
        <v>6</v>
      </c>
      <c r="T118" s="58"/>
      <c r="U118" s="58"/>
      <c r="V118" s="58"/>
      <c r="W118" s="10" t="s">
        <v>6</v>
      </c>
      <c r="X118" s="58"/>
      <c r="Y118" s="58"/>
      <c r="Z118" s="58"/>
      <c r="AA118" s="58"/>
      <c r="AB118" s="58"/>
      <c r="AC118" s="58"/>
      <c r="AD118" s="58"/>
      <c r="AE118" s="58"/>
      <c r="AF118" s="10" t="s">
        <v>6</v>
      </c>
      <c r="AG118" s="58"/>
      <c r="AH118" s="105"/>
    </row>
    <row r="119" ht="30.0" customHeight="1">
      <c r="A119" s="43"/>
      <c r="B119" s="57" t="s">
        <v>316</v>
      </c>
      <c r="C119" s="58"/>
      <c r="D119" s="85"/>
      <c r="E119" s="58"/>
      <c r="F119" s="83" t="s">
        <v>6</v>
      </c>
      <c r="G119" s="58"/>
      <c r="H119" s="58"/>
      <c r="I119" s="58"/>
      <c r="J119" s="58"/>
      <c r="K119" s="58"/>
      <c r="L119" s="58"/>
      <c r="M119" s="10" t="s">
        <v>6</v>
      </c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10" t="s">
        <v>6</v>
      </c>
      <c r="AB119" s="58"/>
      <c r="AC119" s="58"/>
      <c r="AD119" s="58"/>
      <c r="AE119" s="58"/>
      <c r="AF119" s="58"/>
      <c r="AG119" s="58"/>
      <c r="AH119" s="105"/>
    </row>
    <row r="120" ht="30.0" customHeight="1">
      <c r="A120" s="43"/>
      <c r="B120" s="57" t="s">
        <v>343</v>
      </c>
      <c r="C120" s="58"/>
      <c r="D120" s="85"/>
      <c r="E120" s="58"/>
      <c r="F120" s="83" t="s">
        <v>6</v>
      </c>
      <c r="G120" s="58"/>
      <c r="H120" s="58"/>
      <c r="I120" s="58"/>
      <c r="J120" s="58"/>
      <c r="K120" s="58"/>
      <c r="L120" s="58"/>
      <c r="M120" s="10" t="s">
        <v>6</v>
      </c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105"/>
    </row>
    <row r="121" ht="30.0" customHeight="1">
      <c r="A121" s="43"/>
      <c r="B121" s="57" t="s">
        <v>344</v>
      </c>
      <c r="C121" s="58"/>
      <c r="D121" s="85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10" t="s">
        <v>6</v>
      </c>
      <c r="R121" s="58"/>
      <c r="S121" s="10" t="s">
        <v>6</v>
      </c>
      <c r="T121" s="58"/>
      <c r="U121" s="58"/>
      <c r="V121" s="58"/>
      <c r="W121" s="10" t="s">
        <v>6</v>
      </c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105"/>
    </row>
    <row r="122" ht="30.0" customHeight="1">
      <c r="A122" s="43"/>
      <c r="B122" s="57"/>
      <c r="C122" s="58"/>
      <c r="D122" s="85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105"/>
    </row>
    <row r="123" ht="30.0" customHeight="1">
      <c r="A123" s="43"/>
      <c r="B123" s="57"/>
      <c r="C123" s="58"/>
      <c r="D123" s="85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105"/>
    </row>
    <row r="124" ht="30.0" customHeight="1">
      <c r="A124" s="43"/>
      <c r="B124" s="99" t="str">
        <f>Julio!MonthName&amp;" Total"</f>
        <v>Julio Total</v>
      </c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</row>
    <row r="125" ht="30.0" customHeight="1"/>
    <row r="126" ht="30.0" customHeight="1">
      <c r="A126" s="43"/>
      <c r="B126" s="49" t="s">
        <v>328</v>
      </c>
      <c r="C126" s="101" t="s">
        <v>345</v>
      </c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49">
        <f>CalendarioAño</f>
        <v>2025</v>
      </c>
    </row>
    <row r="127" ht="30.0" customHeight="1">
      <c r="A127" s="43"/>
      <c r="B127" s="51"/>
      <c r="C127" s="52" t="str">
        <f>TEXT(WEEKDAY(DATE(CalendarioAño,7,1),1),"ddd")</f>
        <v>mar</v>
      </c>
      <c r="D127" s="52" t="str">
        <f>TEXT(WEEKDAY(DATE(CalendarioAño,7,2),1),"ddd")</f>
        <v>mié</v>
      </c>
      <c r="E127" s="52" t="str">
        <f>TEXT(WEEKDAY(DATE(CalendarioAño,7,3),1),"ddd")</f>
        <v>jue</v>
      </c>
      <c r="F127" s="52" t="str">
        <f>TEXT(WEEKDAY(DATE(CalendarioAño,7,4),1),"ddd")</f>
        <v>vie</v>
      </c>
      <c r="G127" s="52" t="str">
        <f>TEXT(WEEKDAY(DATE(CalendarioAño,7,5),1),"ddd")</f>
        <v>sáb</v>
      </c>
      <c r="H127" s="52" t="str">
        <f>TEXT(WEEKDAY(DATE(CalendarioAño,7,6),1),"ddd")</f>
        <v>dom</v>
      </c>
      <c r="I127" s="52" t="str">
        <f>TEXT(WEEKDAY(DATE(CalendarioAño,7,7),1),"ddd")</f>
        <v>lun</v>
      </c>
      <c r="J127" s="52" t="str">
        <f>TEXT(WEEKDAY(DATE(CalendarioAño,7,8),1),"ddd")</f>
        <v>mar</v>
      </c>
      <c r="K127" s="52" t="str">
        <f>TEXT(WEEKDAY(DATE(CalendarioAño,7,9),1),"ddd")</f>
        <v>mié</v>
      </c>
      <c r="L127" s="52" t="str">
        <f>TEXT(WEEKDAY(DATE(CalendarioAño,7,10),1),"ddd")</f>
        <v>jue</v>
      </c>
      <c r="M127" s="52" t="str">
        <f>TEXT(WEEKDAY(DATE(CalendarioAño,7,11),1),"ddd")</f>
        <v>vie</v>
      </c>
      <c r="N127" s="52" t="str">
        <f>TEXT(WEEKDAY(DATE(CalendarioAño,7,12),1),"ddd")</f>
        <v>sáb</v>
      </c>
      <c r="O127" s="52" t="str">
        <f>TEXT(WEEKDAY(DATE(CalendarioAño,7,13),1),"ddd")</f>
        <v>dom</v>
      </c>
      <c r="P127" s="52" t="str">
        <f>TEXT(WEEKDAY(DATE(CalendarioAño,7,14),1),"ddd")</f>
        <v>lun</v>
      </c>
      <c r="Q127" s="52" t="str">
        <f>TEXT(WEEKDAY(DATE(CalendarioAño,7,15),1),"ddd")</f>
        <v>mar</v>
      </c>
      <c r="R127" s="52" t="str">
        <f>TEXT(WEEKDAY(DATE(CalendarioAño,7,16),1),"ddd")</f>
        <v>mié</v>
      </c>
      <c r="S127" s="52" t="str">
        <f>TEXT(WEEKDAY(DATE(CalendarioAño,7,17),1),"ddd")</f>
        <v>jue</v>
      </c>
      <c r="T127" s="52" t="str">
        <f>TEXT(WEEKDAY(DATE(CalendarioAño,7,18),1),"ddd")</f>
        <v>vie</v>
      </c>
      <c r="U127" s="52" t="str">
        <f>TEXT(WEEKDAY(DATE(CalendarioAño,7,19),1),"ddd")</f>
        <v>sáb</v>
      </c>
      <c r="V127" s="52" t="str">
        <f>TEXT(WEEKDAY(DATE(CalendarioAño,7,20),1),"ddd")</f>
        <v>dom</v>
      </c>
      <c r="W127" s="52" t="str">
        <f>TEXT(WEEKDAY(DATE(CalendarioAño,7,21),1),"ddd")</f>
        <v>lun</v>
      </c>
      <c r="X127" s="52" t="str">
        <f>TEXT(WEEKDAY(DATE(CalendarioAño,7,22),1),"ddd")</f>
        <v>mar</v>
      </c>
      <c r="Y127" s="52" t="str">
        <f>TEXT(WEEKDAY(DATE(CalendarioAño,7,23),1),"ddd")</f>
        <v>mié</v>
      </c>
      <c r="Z127" s="52" t="str">
        <f>TEXT(WEEKDAY(DATE(CalendarioAño,7,24),1),"ddd")</f>
        <v>jue</v>
      </c>
      <c r="AA127" s="52" t="str">
        <f>TEXT(WEEKDAY(DATE(CalendarioAño,7,25),1),"ddd")</f>
        <v>vie</v>
      </c>
      <c r="AB127" s="52" t="str">
        <f>TEXT(WEEKDAY(DATE(CalendarioAño,7,26),1),"ddd")</f>
        <v>sáb</v>
      </c>
      <c r="AC127" s="52" t="str">
        <f>TEXT(WEEKDAY(DATE(CalendarioAño,7,27),1),"ddd")</f>
        <v>dom</v>
      </c>
      <c r="AD127" s="52" t="str">
        <f>TEXT(WEEKDAY(DATE(CalendarioAño,7,28),1),"ddd")</f>
        <v>lun</v>
      </c>
      <c r="AE127" s="52" t="str">
        <f>TEXT(WEEKDAY(DATE(CalendarioAño,7,29),1),"ddd")</f>
        <v>mar</v>
      </c>
      <c r="AF127" s="52" t="str">
        <f>TEXT(WEEKDAY(DATE(CalendarioAño,7,30),1),"ddd")</f>
        <v>mié</v>
      </c>
      <c r="AG127" s="52" t="str">
        <f>TEXT(WEEKDAY(DATE(CalendarioAño,7,31),1),"ddd")</f>
        <v>jue</v>
      </c>
      <c r="AH127" s="51"/>
    </row>
    <row r="128" ht="30.0" customHeight="1">
      <c r="A128" s="120"/>
      <c r="B128" s="121" t="s">
        <v>202</v>
      </c>
      <c r="C128" s="122" t="s">
        <v>15</v>
      </c>
      <c r="D128" s="122" t="s">
        <v>16</v>
      </c>
      <c r="E128" s="122" t="s">
        <v>17</v>
      </c>
      <c r="F128" s="122" t="s">
        <v>18</v>
      </c>
      <c r="G128" s="122" t="s">
        <v>19</v>
      </c>
      <c r="H128" s="122" t="s">
        <v>20</v>
      </c>
      <c r="I128" s="122" t="s">
        <v>21</v>
      </c>
      <c r="J128" s="122" t="s">
        <v>22</v>
      </c>
      <c r="K128" s="122" t="s">
        <v>23</v>
      </c>
      <c r="L128" s="122" t="s">
        <v>24</v>
      </c>
      <c r="M128" s="122" t="s">
        <v>25</v>
      </c>
      <c r="N128" s="122" t="s">
        <v>26</v>
      </c>
      <c r="O128" s="122" t="s">
        <v>27</v>
      </c>
      <c r="P128" s="122" t="s">
        <v>28</v>
      </c>
      <c r="Q128" s="122" t="s">
        <v>29</v>
      </c>
      <c r="R128" s="122" t="s">
        <v>30</v>
      </c>
      <c r="S128" s="122" t="s">
        <v>31</v>
      </c>
      <c r="T128" s="122" t="s">
        <v>32</v>
      </c>
      <c r="U128" s="122" t="s">
        <v>33</v>
      </c>
      <c r="V128" s="122" t="s">
        <v>34</v>
      </c>
      <c r="W128" s="122" t="s">
        <v>35</v>
      </c>
      <c r="X128" s="122" t="s">
        <v>36</v>
      </c>
      <c r="Y128" s="122" t="s">
        <v>37</v>
      </c>
      <c r="Z128" s="122" t="s">
        <v>38</v>
      </c>
      <c r="AA128" s="122" t="s">
        <v>39</v>
      </c>
      <c r="AB128" s="122" t="s">
        <v>40</v>
      </c>
      <c r="AC128" s="122" t="s">
        <v>41</v>
      </c>
      <c r="AD128" s="122" t="s">
        <v>42</v>
      </c>
      <c r="AE128" s="122" t="s">
        <v>43</v>
      </c>
      <c r="AF128" s="122" t="s">
        <v>44</v>
      </c>
      <c r="AG128" s="122" t="s">
        <v>45</v>
      </c>
      <c r="AH128" s="122" t="s">
        <v>46</v>
      </c>
    </row>
    <row r="129" ht="30.0" customHeight="1">
      <c r="A129" s="43"/>
      <c r="B129" s="125" t="s">
        <v>323</v>
      </c>
      <c r="C129" s="58"/>
      <c r="D129" s="83" t="s">
        <v>6</v>
      </c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10" t="s">
        <v>6</v>
      </c>
      <c r="Q129" s="58"/>
      <c r="R129" s="58"/>
      <c r="S129" s="58"/>
      <c r="T129" s="58"/>
      <c r="U129" s="58"/>
      <c r="V129" s="58"/>
      <c r="W129" s="10" t="s">
        <v>6</v>
      </c>
      <c r="X129" s="58"/>
      <c r="Y129" s="58"/>
      <c r="Z129" s="58"/>
      <c r="AA129" s="58"/>
      <c r="AB129" s="58"/>
      <c r="AC129" s="58"/>
      <c r="AD129" s="58"/>
      <c r="AE129" s="58"/>
      <c r="AF129" s="10" t="s">
        <v>6</v>
      </c>
      <c r="AG129" s="58"/>
      <c r="AH129" s="105"/>
    </row>
    <row r="130" ht="30.0" customHeight="1">
      <c r="A130" s="43"/>
      <c r="B130" s="126" t="s">
        <v>255</v>
      </c>
      <c r="C130" s="61"/>
      <c r="D130" s="83" t="s">
        <v>6</v>
      </c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10" t="s">
        <v>6</v>
      </c>
      <c r="Q130" s="61"/>
      <c r="R130" s="61"/>
      <c r="S130" s="61"/>
      <c r="T130" s="61"/>
      <c r="U130" s="61"/>
      <c r="V130" s="61"/>
      <c r="W130" s="10" t="s">
        <v>6</v>
      </c>
      <c r="X130" s="61"/>
      <c r="Y130" s="61"/>
      <c r="Z130" s="61"/>
      <c r="AA130" s="61"/>
      <c r="AB130" s="61"/>
      <c r="AC130" s="61"/>
      <c r="AD130" s="61"/>
      <c r="AE130" s="61"/>
      <c r="AF130" s="10" t="s">
        <v>6</v>
      </c>
      <c r="AG130" s="61"/>
      <c r="AH130" s="107"/>
    </row>
    <row r="131" ht="30.0" customHeight="1">
      <c r="A131" s="43"/>
      <c r="B131" s="125" t="s">
        <v>321</v>
      </c>
      <c r="C131" s="58"/>
      <c r="D131" s="83" t="s">
        <v>6</v>
      </c>
      <c r="E131" s="58"/>
      <c r="F131" s="83" t="s">
        <v>6</v>
      </c>
      <c r="G131" s="58"/>
      <c r="H131" s="58"/>
      <c r="I131" s="58"/>
      <c r="J131" s="58"/>
      <c r="K131" s="58"/>
      <c r="L131" s="58"/>
      <c r="M131" s="10" t="s">
        <v>6</v>
      </c>
      <c r="N131" s="58"/>
      <c r="O131" s="58"/>
      <c r="P131" s="10" t="s">
        <v>6</v>
      </c>
      <c r="Q131" s="58"/>
      <c r="R131" s="58"/>
      <c r="S131" s="58"/>
      <c r="T131" s="58"/>
      <c r="U131" s="58"/>
      <c r="V131" s="58"/>
      <c r="W131" s="10" t="s">
        <v>6</v>
      </c>
      <c r="X131" s="58"/>
      <c r="Y131" s="58"/>
      <c r="Z131" s="58"/>
      <c r="AA131" s="10" t="s">
        <v>6</v>
      </c>
      <c r="AB131" s="58"/>
      <c r="AC131" s="58"/>
      <c r="AD131" s="58"/>
      <c r="AE131" s="58"/>
      <c r="AF131" s="58"/>
      <c r="AG131" s="58"/>
      <c r="AH131" s="105"/>
    </row>
    <row r="132" ht="30.0" customHeight="1">
      <c r="A132" s="43"/>
      <c r="B132" s="61" t="s">
        <v>322</v>
      </c>
      <c r="C132" s="61"/>
      <c r="D132" s="83" t="s">
        <v>6</v>
      </c>
      <c r="E132" s="61"/>
      <c r="F132" s="83" t="s">
        <v>6</v>
      </c>
      <c r="G132" s="61"/>
      <c r="H132" s="61"/>
      <c r="I132" s="61"/>
      <c r="J132" s="61"/>
      <c r="K132" s="61"/>
      <c r="L132" s="61"/>
      <c r="M132" s="10" t="s">
        <v>6</v>
      </c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10" t="s">
        <v>6</v>
      </c>
      <c r="AB132" s="61"/>
      <c r="AC132" s="61"/>
      <c r="AD132" s="61"/>
      <c r="AE132" s="61"/>
      <c r="AF132" s="10" t="s">
        <v>6</v>
      </c>
      <c r="AG132" s="61"/>
      <c r="AH132" s="107"/>
    </row>
    <row r="133" ht="30.0" customHeight="1">
      <c r="A133" s="43"/>
      <c r="B133" s="58" t="s">
        <v>324</v>
      </c>
      <c r="C133" s="58"/>
      <c r="D133" s="83" t="s">
        <v>6</v>
      </c>
      <c r="E133" s="58"/>
      <c r="F133" s="83" t="s">
        <v>6</v>
      </c>
      <c r="G133" s="58"/>
      <c r="H133" s="58"/>
      <c r="I133" s="58"/>
      <c r="J133" s="58"/>
      <c r="K133" s="58"/>
      <c r="L133" s="58"/>
      <c r="M133" s="10" t="s">
        <v>6</v>
      </c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10" t="s">
        <v>6</v>
      </c>
      <c r="AB133" s="58"/>
      <c r="AC133" s="58"/>
      <c r="AD133" s="58"/>
      <c r="AE133" s="58"/>
      <c r="AF133" s="10" t="s">
        <v>6</v>
      </c>
      <c r="AG133" s="58"/>
      <c r="AH133" s="105"/>
    </row>
    <row r="134" ht="30.0" customHeight="1">
      <c r="A134" s="43"/>
      <c r="B134" s="57" t="s">
        <v>147</v>
      </c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10" t="s">
        <v>6</v>
      </c>
      <c r="N134" s="58"/>
      <c r="O134" s="58"/>
      <c r="P134" s="58"/>
      <c r="Q134" s="58"/>
      <c r="R134" s="58"/>
      <c r="S134" s="58"/>
      <c r="T134" s="58"/>
      <c r="U134" s="58"/>
      <c r="V134" s="58"/>
      <c r="W134" s="10" t="s">
        <v>6</v>
      </c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105"/>
    </row>
    <row r="135" ht="30.0" customHeight="1">
      <c r="A135" s="43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105"/>
    </row>
    <row r="136" ht="30.0" customHeight="1">
      <c r="A136" s="43"/>
      <c r="B136" s="99" t="str">
        <f>Julio!MonthName&amp;" Total"</f>
        <v>Julio Total</v>
      </c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</row>
    <row r="137" ht="30.0" customHeight="1"/>
    <row r="138" ht="30.0" customHeight="1">
      <c r="A138" s="43"/>
      <c r="B138" s="49" t="s">
        <v>328</v>
      </c>
      <c r="C138" s="101" t="s">
        <v>346</v>
      </c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49">
        <f>CalendarioAño</f>
        <v>2025</v>
      </c>
    </row>
    <row r="139" ht="30.0" customHeight="1">
      <c r="A139" s="43"/>
      <c r="B139" s="51"/>
      <c r="C139" s="52" t="str">
        <f>TEXT(WEEKDAY(DATE(CalendarioAño,7,1),1),"ddd")</f>
        <v>mar</v>
      </c>
      <c r="D139" s="52" t="str">
        <f>TEXT(WEEKDAY(DATE(CalendarioAño,7,2),1),"ddd")</f>
        <v>mié</v>
      </c>
      <c r="E139" s="52" t="str">
        <f>TEXT(WEEKDAY(DATE(CalendarioAño,7,3),1),"ddd")</f>
        <v>jue</v>
      </c>
      <c r="F139" s="52" t="str">
        <f>TEXT(WEEKDAY(DATE(CalendarioAño,7,4),1),"ddd")</f>
        <v>vie</v>
      </c>
      <c r="G139" s="52" t="str">
        <f>TEXT(WEEKDAY(DATE(CalendarioAño,7,5),1),"ddd")</f>
        <v>sáb</v>
      </c>
      <c r="H139" s="52" t="str">
        <f>TEXT(WEEKDAY(DATE(CalendarioAño,7,6),1),"ddd")</f>
        <v>dom</v>
      </c>
      <c r="I139" s="52" t="str">
        <f>TEXT(WEEKDAY(DATE(CalendarioAño,7,7),1),"ddd")</f>
        <v>lun</v>
      </c>
      <c r="J139" s="52" t="str">
        <f>TEXT(WEEKDAY(DATE(CalendarioAño,7,8),1),"ddd")</f>
        <v>mar</v>
      </c>
      <c r="K139" s="52" t="str">
        <f>TEXT(WEEKDAY(DATE(CalendarioAño,7,9),1),"ddd")</f>
        <v>mié</v>
      </c>
      <c r="L139" s="52" t="str">
        <f>TEXT(WEEKDAY(DATE(CalendarioAño,7,10),1),"ddd")</f>
        <v>jue</v>
      </c>
      <c r="M139" s="52" t="str">
        <f>TEXT(WEEKDAY(DATE(CalendarioAño,7,11),1),"ddd")</f>
        <v>vie</v>
      </c>
      <c r="N139" s="52" t="str">
        <f>TEXT(WEEKDAY(DATE(CalendarioAño,7,12),1),"ddd")</f>
        <v>sáb</v>
      </c>
      <c r="O139" s="52" t="str">
        <f>TEXT(WEEKDAY(DATE(CalendarioAño,7,13),1),"ddd")</f>
        <v>dom</v>
      </c>
      <c r="P139" s="52" t="str">
        <f>TEXT(WEEKDAY(DATE(CalendarioAño,7,14),1),"ddd")</f>
        <v>lun</v>
      </c>
      <c r="Q139" s="52" t="str">
        <f>TEXT(WEEKDAY(DATE(CalendarioAño,7,15),1),"ddd")</f>
        <v>mar</v>
      </c>
      <c r="R139" s="52" t="str">
        <f>TEXT(WEEKDAY(DATE(CalendarioAño,7,16),1),"ddd")</f>
        <v>mié</v>
      </c>
      <c r="S139" s="52" t="str">
        <f>TEXT(WEEKDAY(DATE(CalendarioAño,7,17),1),"ddd")</f>
        <v>jue</v>
      </c>
      <c r="T139" s="52" t="str">
        <f>TEXT(WEEKDAY(DATE(CalendarioAño,7,18),1),"ddd")</f>
        <v>vie</v>
      </c>
      <c r="U139" s="52" t="str">
        <f>TEXT(WEEKDAY(DATE(CalendarioAño,7,19),1),"ddd")</f>
        <v>sáb</v>
      </c>
      <c r="V139" s="52" t="str">
        <f>TEXT(WEEKDAY(DATE(CalendarioAño,7,20),1),"ddd")</f>
        <v>dom</v>
      </c>
      <c r="W139" s="52" t="str">
        <f>TEXT(WEEKDAY(DATE(CalendarioAño,7,21),1),"ddd")</f>
        <v>lun</v>
      </c>
      <c r="X139" s="52" t="str">
        <f>TEXT(WEEKDAY(DATE(CalendarioAño,7,22),1),"ddd")</f>
        <v>mar</v>
      </c>
      <c r="Y139" s="52" t="str">
        <f>TEXT(WEEKDAY(DATE(CalendarioAño,7,23),1),"ddd")</f>
        <v>mié</v>
      </c>
      <c r="Z139" s="52" t="str">
        <f>TEXT(WEEKDAY(DATE(CalendarioAño,7,24),1),"ddd")</f>
        <v>jue</v>
      </c>
      <c r="AA139" s="52" t="str">
        <f>TEXT(WEEKDAY(DATE(CalendarioAño,7,25),1),"ddd")</f>
        <v>vie</v>
      </c>
      <c r="AB139" s="52" t="str">
        <f>TEXT(WEEKDAY(DATE(CalendarioAño,7,26),1),"ddd")</f>
        <v>sáb</v>
      </c>
      <c r="AC139" s="52" t="str">
        <f>TEXT(WEEKDAY(DATE(CalendarioAño,7,27),1),"ddd")</f>
        <v>dom</v>
      </c>
      <c r="AD139" s="52" t="str">
        <f>TEXT(WEEKDAY(DATE(CalendarioAño,7,28),1),"ddd")</f>
        <v>lun</v>
      </c>
      <c r="AE139" s="52" t="str">
        <f>TEXT(WEEKDAY(DATE(CalendarioAño,7,29),1),"ddd")</f>
        <v>mar</v>
      </c>
      <c r="AF139" s="52" t="str">
        <f>TEXT(WEEKDAY(DATE(CalendarioAño,7,30),1),"ddd")</f>
        <v>mié</v>
      </c>
      <c r="AG139" s="52" t="str">
        <f>TEXT(WEEKDAY(DATE(CalendarioAño,7,31),1),"ddd")</f>
        <v>jue</v>
      </c>
      <c r="AH139" s="51"/>
    </row>
    <row r="140" ht="30.0" customHeight="1">
      <c r="A140" s="120"/>
      <c r="B140" s="121" t="s">
        <v>202</v>
      </c>
      <c r="C140" s="122" t="s">
        <v>15</v>
      </c>
      <c r="D140" s="122" t="s">
        <v>16</v>
      </c>
      <c r="E140" s="122" t="s">
        <v>17</v>
      </c>
      <c r="F140" s="122" t="s">
        <v>18</v>
      </c>
      <c r="G140" s="122" t="s">
        <v>19</v>
      </c>
      <c r="H140" s="122" t="s">
        <v>20</v>
      </c>
      <c r="I140" s="122" t="s">
        <v>21</v>
      </c>
      <c r="J140" s="122" t="s">
        <v>22</v>
      </c>
      <c r="K140" s="122" t="s">
        <v>23</v>
      </c>
      <c r="L140" s="122" t="s">
        <v>24</v>
      </c>
      <c r="M140" s="122" t="s">
        <v>25</v>
      </c>
      <c r="N140" s="122" t="s">
        <v>26</v>
      </c>
      <c r="O140" s="122" t="s">
        <v>27</v>
      </c>
      <c r="P140" s="122" t="s">
        <v>28</v>
      </c>
      <c r="Q140" s="122" t="s">
        <v>29</v>
      </c>
      <c r="R140" s="122" t="s">
        <v>30</v>
      </c>
      <c r="S140" s="122" t="s">
        <v>31</v>
      </c>
      <c r="T140" s="122" t="s">
        <v>32</v>
      </c>
      <c r="U140" s="122" t="s">
        <v>33</v>
      </c>
      <c r="V140" s="122" t="s">
        <v>34</v>
      </c>
      <c r="W140" s="122" t="s">
        <v>35</v>
      </c>
      <c r="X140" s="122" t="s">
        <v>36</v>
      </c>
      <c r="Y140" s="122" t="s">
        <v>37</v>
      </c>
      <c r="Z140" s="122" t="s">
        <v>38</v>
      </c>
      <c r="AA140" s="122" t="s">
        <v>39</v>
      </c>
      <c r="AB140" s="122" t="s">
        <v>40</v>
      </c>
      <c r="AC140" s="122" t="s">
        <v>41</v>
      </c>
      <c r="AD140" s="122" t="s">
        <v>42</v>
      </c>
      <c r="AE140" s="122" t="s">
        <v>43</v>
      </c>
      <c r="AF140" s="122" t="s">
        <v>44</v>
      </c>
      <c r="AG140" s="122" t="s">
        <v>45</v>
      </c>
      <c r="AH140" s="122" t="s">
        <v>46</v>
      </c>
    </row>
    <row r="141" ht="30.0" customHeight="1">
      <c r="A141" s="43"/>
      <c r="B141" s="123" t="s">
        <v>326</v>
      </c>
      <c r="C141" s="58"/>
      <c r="D141" s="58"/>
      <c r="E141" s="83" t="s">
        <v>6</v>
      </c>
      <c r="F141" s="58"/>
      <c r="G141" s="58"/>
      <c r="H141" s="58"/>
      <c r="I141" s="58"/>
      <c r="J141" s="83" t="s">
        <v>6</v>
      </c>
      <c r="K141" s="58"/>
      <c r="L141" s="10" t="s">
        <v>6</v>
      </c>
      <c r="M141" s="58"/>
      <c r="N141" s="58"/>
      <c r="O141" s="58"/>
      <c r="P141" s="58"/>
      <c r="Q141" s="10" t="s">
        <v>6</v>
      </c>
      <c r="R141" s="58"/>
      <c r="S141" s="58"/>
      <c r="T141" s="58"/>
      <c r="U141" s="58"/>
      <c r="V141" s="58"/>
      <c r="W141" s="58"/>
      <c r="X141" s="10" t="s">
        <v>6</v>
      </c>
      <c r="Y141" s="58"/>
      <c r="Z141" s="58"/>
      <c r="AA141" s="58"/>
      <c r="AB141" s="58"/>
      <c r="AC141" s="58"/>
      <c r="AD141" s="58"/>
      <c r="AE141" s="58"/>
      <c r="AF141" s="58"/>
      <c r="AG141" s="10" t="s">
        <v>6</v>
      </c>
      <c r="AH141" s="105"/>
    </row>
    <row r="142" ht="30.0" customHeight="1">
      <c r="A142" s="43"/>
      <c r="B142" s="124" t="s">
        <v>327</v>
      </c>
      <c r="C142" s="61"/>
      <c r="D142" s="61"/>
      <c r="E142" s="83" t="s">
        <v>6</v>
      </c>
      <c r="F142" s="61"/>
      <c r="G142" s="61"/>
      <c r="H142" s="61"/>
      <c r="I142" s="61"/>
      <c r="J142" s="83" t="s">
        <v>6</v>
      </c>
      <c r="K142" s="61"/>
      <c r="L142" s="61"/>
      <c r="M142" s="61"/>
      <c r="N142" s="61"/>
      <c r="O142" s="61"/>
      <c r="P142" s="61"/>
      <c r="Q142" s="10" t="s">
        <v>6</v>
      </c>
      <c r="R142" s="61"/>
      <c r="S142" s="61"/>
      <c r="T142" s="61"/>
      <c r="U142" s="10" t="s">
        <v>6</v>
      </c>
      <c r="V142" s="61"/>
      <c r="W142" s="61"/>
      <c r="X142" s="10" t="s">
        <v>6</v>
      </c>
      <c r="Y142" s="61"/>
      <c r="Z142" s="61"/>
      <c r="AA142" s="61"/>
      <c r="AB142" s="61"/>
      <c r="AC142" s="61"/>
      <c r="AD142" s="61"/>
      <c r="AE142" s="61"/>
      <c r="AF142" s="61"/>
      <c r="AG142" s="61"/>
      <c r="AH142" s="107"/>
    </row>
    <row r="143" ht="30.0" customHeight="1">
      <c r="A143" s="43"/>
      <c r="B143" s="123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105"/>
    </row>
    <row r="144" ht="30.0" customHeight="1">
      <c r="A144" s="43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107"/>
    </row>
    <row r="145" ht="30.0" customHeight="1">
      <c r="A145" s="43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7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105"/>
    </row>
    <row r="146" ht="30.0" customHeight="1">
      <c r="A146" s="43"/>
      <c r="B146" s="99" t="str">
        <f>Julio!MonthName&amp;" Total"</f>
        <v>Julio Total</v>
      </c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</row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</sheetData>
  <mergeCells count="15">
    <mergeCell ref="C14:AG14"/>
    <mergeCell ref="C24:AG24"/>
    <mergeCell ref="C37:AG37"/>
    <mergeCell ref="C65:AG65"/>
    <mergeCell ref="C88:AG88"/>
    <mergeCell ref="C108:AG108"/>
    <mergeCell ref="C126:AG126"/>
    <mergeCell ref="C138:AG138"/>
    <mergeCell ref="B1:N1"/>
    <mergeCell ref="D2:F2"/>
    <mergeCell ref="H2:J2"/>
    <mergeCell ref="L2:N2"/>
    <mergeCell ref="P2:S2"/>
    <mergeCell ref="U2:X2"/>
    <mergeCell ref="C4:AG4"/>
  </mergeCells>
  <conditionalFormatting sqref="C7:AG11 D17:AG22 C19:C22 D27:AG34 C29:C34 D40:I52 J40:J55 K40:K52 L40:L54 M40:P52 Q40:Q54 R40:W52 X40:X54 Y40:Y52 Z40:Z55 AA40:AF52 AG40:AG53 C46:C52 S54 AF54:AF55 P55 U55:U57 AA55:AA57 L56 S56 AG56 F57 M57 S59 Z59 AG59:AG60 U60 AF60 C68:E78 F68:F74 G68:I78 J68:J74 K68:O78 P68:P81 Q68:V78 W68:W81 X68:Z78 AA68:AA80 AB68:AG78 J76:J78 F77:F81 AF81:AF82 AA82 P83:Q83 X83 J91 Q93 F94 L94:L95 Z94:Z95 AF94:AF96 J95:J96 S95:S96 X95 P96 AA96 AG96 X97 Z97 Q98 W98 AA98:AA99 AF98 U99:U102 AA103 AF103:AF104 J111 L111:L114 Q111 P112:P113 Z112 AG112 Q113 S114:S118 Z114:Z115 AG114 P115:Q115 W115 L116 P117 Q118 W118 AF118 AA119 Q121 S121 W121 P129:P131 W129:W131 AF129:AF130 AA131:AA133 AF132:AF133 W134 L141 Q141:Q142 X141:X142 AG141 U142">
    <cfRule type="expression" dxfId="5" priority="1" stopIfTrue="1">
      <formula>C7=""</formula>
    </cfRule>
  </conditionalFormatting>
  <dataValidations>
    <dataValidation type="list" allowBlank="1" showErrorMessage="1" sqref="B7:B11 B17:B21 B27:B34 B40:B62 B68:B85 B91:B105 B111:B123 B129:B135 B141:B145">
      <formula1>'Nombres de los alumnos '!$B$4:$B$1014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4B2A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89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2" t="s">
        <v>347</v>
      </c>
      <c r="C4" s="80" t="s">
        <v>329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32">
        <f>CalendarioAño</f>
        <v>2025</v>
      </c>
    </row>
    <row r="5" ht="15.0" customHeight="1">
      <c r="B5" s="32"/>
      <c r="C5" s="16" t="str">
        <f>TEXT(WEEKDAY(DATE(CalendarioAño,8,1),1),"ddd")</f>
        <v>vie</v>
      </c>
      <c r="D5" s="16" t="str">
        <f>TEXT(WEEKDAY(DATE(CalendarioAño,8,2),1),"ddd")</f>
        <v>sáb</v>
      </c>
      <c r="E5" s="16" t="str">
        <f>TEXT(WEEKDAY(DATE(CalendarioAño,8,3),1),"ddd")</f>
        <v>dom</v>
      </c>
      <c r="F5" s="16" t="str">
        <f>TEXT(WEEKDAY(DATE(CalendarioAño,8,4),1),"ddd")</f>
        <v>lun</v>
      </c>
      <c r="G5" s="16" t="str">
        <f>TEXT(WEEKDAY(DATE(CalendarioAño,8,5),1),"ddd")</f>
        <v>mar</v>
      </c>
      <c r="H5" s="16" t="str">
        <f>TEXT(WEEKDAY(DATE(CalendarioAño,8,6),1),"ddd")</f>
        <v>mié</v>
      </c>
      <c r="I5" s="16" t="str">
        <f>TEXT(WEEKDAY(DATE(CalendarioAño,8,7),1),"ddd")</f>
        <v>jue</v>
      </c>
      <c r="J5" s="16" t="str">
        <f>TEXT(WEEKDAY(DATE(CalendarioAño,8,8),1),"ddd")</f>
        <v>vie</v>
      </c>
      <c r="K5" s="16" t="str">
        <f>TEXT(WEEKDAY(DATE(CalendarioAño,8,9),1),"ddd")</f>
        <v>sáb</v>
      </c>
      <c r="L5" s="16" t="str">
        <f>TEXT(WEEKDAY(DATE(CalendarioAño,8,10),1),"ddd")</f>
        <v>dom</v>
      </c>
      <c r="M5" s="16" t="str">
        <f>TEXT(WEEKDAY(DATE(CalendarioAño,8,11),1),"ddd")</f>
        <v>lun</v>
      </c>
      <c r="N5" s="16" t="str">
        <f>TEXT(WEEKDAY(DATE(CalendarioAño,8,12),1),"ddd")</f>
        <v>mar</v>
      </c>
      <c r="O5" s="16" t="str">
        <f>TEXT(WEEKDAY(DATE(CalendarioAño,8,13),1),"ddd")</f>
        <v>mié</v>
      </c>
      <c r="P5" s="16" t="str">
        <f>TEXT(WEEKDAY(DATE(CalendarioAño,8,14),1),"ddd")</f>
        <v>jue</v>
      </c>
      <c r="Q5" s="16" t="str">
        <f>TEXT(WEEKDAY(DATE(CalendarioAño,8,15),1),"ddd")</f>
        <v>vie</v>
      </c>
      <c r="R5" s="16" t="str">
        <f>TEXT(WEEKDAY(DATE(CalendarioAño,8,16),1),"ddd")</f>
        <v>sáb</v>
      </c>
      <c r="S5" s="16" t="str">
        <f>TEXT(WEEKDAY(DATE(CalendarioAño,8,17),1),"ddd")</f>
        <v>dom</v>
      </c>
      <c r="T5" s="16" t="str">
        <f>TEXT(WEEKDAY(DATE(CalendarioAño,8,18),1),"ddd")</f>
        <v>lun</v>
      </c>
      <c r="U5" s="16" t="str">
        <f>TEXT(WEEKDAY(DATE(CalendarioAño,8,19),1),"ddd")</f>
        <v>mar</v>
      </c>
      <c r="V5" s="16" t="str">
        <f>TEXT(WEEKDAY(DATE(CalendarioAño,8,20),1),"ddd")</f>
        <v>mié</v>
      </c>
      <c r="W5" s="16" t="str">
        <f>TEXT(WEEKDAY(DATE(CalendarioAño,8,21),1),"ddd")</f>
        <v>jue</v>
      </c>
      <c r="X5" s="16" t="str">
        <f>TEXT(WEEKDAY(DATE(CalendarioAño,8,22),1),"ddd")</f>
        <v>vie</v>
      </c>
      <c r="Y5" s="16" t="str">
        <f>TEXT(WEEKDAY(DATE(CalendarioAño,8,23),1),"ddd")</f>
        <v>sáb</v>
      </c>
      <c r="Z5" s="16" t="str">
        <f>TEXT(WEEKDAY(DATE(CalendarioAño,8,24),1),"ddd")</f>
        <v>dom</v>
      </c>
      <c r="AA5" s="16" t="str">
        <f>TEXT(WEEKDAY(DATE(CalendarioAño,8,25),1),"ddd")</f>
        <v>lun</v>
      </c>
      <c r="AB5" s="16" t="str">
        <f>TEXT(WEEKDAY(DATE(CalendarioAño,8,26),1),"ddd")</f>
        <v>mar</v>
      </c>
      <c r="AC5" s="16" t="str">
        <f>TEXT(WEEKDAY(DATE(CalendarioAño,8,27),1),"ddd")</f>
        <v>mié</v>
      </c>
      <c r="AD5" s="16" t="str">
        <f>TEXT(WEEKDAY(DATE(CalendarioAño,8,28),1),"ddd")</f>
        <v>jue</v>
      </c>
      <c r="AE5" s="16" t="str">
        <f>TEXT(WEEKDAY(DATE(CalendarioAño,8,29),1),"ddd")</f>
        <v>vie</v>
      </c>
      <c r="AF5" s="16" t="str">
        <f>TEXT(WEEKDAY(DATE(CalendarioAño,8,30),1),"ddd")</f>
        <v>sáb</v>
      </c>
      <c r="AG5" s="16" t="str">
        <f>TEXT(WEEKDAY(DATE(CalendarioAño,8,31),1),"ddd")</f>
        <v>dom</v>
      </c>
      <c r="AH5" s="32"/>
    </row>
    <row r="6" ht="15.0" customHeight="1">
      <c r="A6" s="115"/>
      <c r="B6" s="116" t="s">
        <v>202</v>
      </c>
      <c r="C6" s="117" t="s">
        <v>15</v>
      </c>
      <c r="D6" s="117" t="s">
        <v>16</v>
      </c>
      <c r="E6" s="117" t="s">
        <v>17</v>
      </c>
      <c r="F6" s="117" t="s">
        <v>18</v>
      </c>
      <c r="G6" s="117" t="s">
        <v>19</v>
      </c>
      <c r="H6" s="117" t="s">
        <v>20</v>
      </c>
      <c r="I6" s="117" t="s">
        <v>21</v>
      </c>
      <c r="J6" s="117" t="s">
        <v>22</v>
      </c>
      <c r="K6" s="117" t="s">
        <v>23</v>
      </c>
      <c r="L6" s="117" t="s">
        <v>24</v>
      </c>
      <c r="M6" s="117" t="s">
        <v>25</v>
      </c>
      <c r="N6" s="117" t="s">
        <v>26</v>
      </c>
      <c r="O6" s="117" t="s">
        <v>27</v>
      </c>
      <c r="P6" s="117" t="s">
        <v>28</v>
      </c>
      <c r="Q6" s="117" t="s">
        <v>29</v>
      </c>
      <c r="R6" s="117" t="s">
        <v>30</v>
      </c>
      <c r="S6" s="117" t="s">
        <v>31</v>
      </c>
      <c r="T6" s="117" t="s">
        <v>32</v>
      </c>
      <c r="U6" s="117" t="s">
        <v>33</v>
      </c>
      <c r="V6" s="117" t="s">
        <v>34</v>
      </c>
      <c r="W6" s="117" t="s">
        <v>35</v>
      </c>
      <c r="X6" s="117" t="s">
        <v>36</v>
      </c>
      <c r="Y6" s="117" t="s">
        <v>37</v>
      </c>
      <c r="Z6" s="117" t="s">
        <v>38</v>
      </c>
      <c r="AA6" s="117" t="s">
        <v>39</v>
      </c>
      <c r="AB6" s="117" t="s">
        <v>40</v>
      </c>
      <c r="AC6" s="117" t="s">
        <v>41</v>
      </c>
      <c r="AD6" s="117" t="s">
        <v>42</v>
      </c>
      <c r="AE6" s="117" t="s">
        <v>43</v>
      </c>
      <c r="AF6" s="117" t="s">
        <v>44</v>
      </c>
      <c r="AG6" s="117" t="s">
        <v>45</v>
      </c>
      <c r="AH6" s="117" t="s">
        <v>46</v>
      </c>
    </row>
    <row r="7" ht="30.0" customHeight="1">
      <c r="B7" s="11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5"/>
    </row>
    <row r="8" ht="30.0" customHeight="1">
      <c r="B8" s="118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5"/>
    </row>
    <row r="9" ht="30.0" customHeight="1">
      <c r="B9" s="118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5"/>
    </row>
    <row r="10" ht="30.0" customHeight="1">
      <c r="B10" s="8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5"/>
    </row>
    <row r="12" ht="30.0" customHeight="1">
      <c r="B12" s="127" t="str">
        <f>Agosto!MonthName&amp;" Total"</f>
        <v>Agosto Total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27"/>
    </row>
    <row r="13" ht="30.0" customHeight="1"/>
    <row r="14" ht="30.0" customHeight="1">
      <c r="B14" s="32" t="s">
        <v>347</v>
      </c>
      <c r="C14" s="80" t="s">
        <v>330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32">
        <f>CalendarioAño</f>
        <v>2025</v>
      </c>
    </row>
    <row r="15" ht="30.0" customHeight="1">
      <c r="B15" s="32"/>
      <c r="C15" s="16" t="str">
        <f>TEXT(WEEKDAY(DATE(CalendarioAño,8,1),1),"ddd")</f>
        <v>vie</v>
      </c>
      <c r="D15" s="16" t="str">
        <f>TEXT(WEEKDAY(DATE(CalendarioAño,8,2),1),"ddd")</f>
        <v>sáb</v>
      </c>
      <c r="E15" s="16" t="str">
        <f>TEXT(WEEKDAY(DATE(CalendarioAño,8,3),1),"ddd")</f>
        <v>dom</v>
      </c>
      <c r="F15" s="16" t="str">
        <f>TEXT(WEEKDAY(DATE(CalendarioAño,8,4),1),"ddd")</f>
        <v>lun</v>
      </c>
      <c r="G15" s="16" t="str">
        <f>TEXT(WEEKDAY(DATE(CalendarioAño,8,5),1),"ddd")</f>
        <v>mar</v>
      </c>
      <c r="H15" s="16" t="str">
        <f>TEXT(WEEKDAY(DATE(CalendarioAño,8,6),1),"ddd")</f>
        <v>mié</v>
      </c>
      <c r="I15" s="16" t="str">
        <f>TEXT(WEEKDAY(DATE(CalendarioAño,8,7),1),"ddd")</f>
        <v>jue</v>
      </c>
      <c r="J15" s="16" t="str">
        <f>TEXT(WEEKDAY(DATE(CalendarioAño,8,8),1),"ddd")</f>
        <v>vie</v>
      </c>
      <c r="K15" s="16" t="str">
        <f>TEXT(WEEKDAY(DATE(CalendarioAño,8,9),1),"ddd")</f>
        <v>sáb</v>
      </c>
      <c r="L15" s="16" t="str">
        <f>TEXT(WEEKDAY(DATE(CalendarioAño,8,10),1),"ddd")</f>
        <v>dom</v>
      </c>
      <c r="M15" s="16" t="str">
        <f>TEXT(WEEKDAY(DATE(CalendarioAño,8,11),1),"ddd")</f>
        <v>lun</v>
      </c>
      <c r="N15" s="16" t="str">
        <f>TEXT(WEEKDAY(DATE(CalendarioAño,8,12),1),"ddd")</f>
        <v>mar</v>
      </c>
      <c r="O15" s="16" t="str">
        <f>TEXT(WEEKDAY(DATE(CalendarioAño,8,13),1),"ddd")</f>
        <v>mié</v>
      </c>
      <c r="P15" s="16" t="str">
        <f>TEXT(WEEKDAY(DATE(CalendarioAño,8,14),1),"ddd")</f>
        <v>jue</v>
      </c>
      <c r="Q15" s="16" t="str">
        <f>TEXT(WEEKDAY(DATE(CalendarioAño,8,15),1),"ddd")</f>
        <v>vie</v>
      </c>
      <c r="R15" s="16" t="str">
        <f>TEXT(WEEKDAY(DATE(CalendarioAño,8,16),1),"ddd")</f>
        <v>sáb</v>
      </c>
      <c r="S15" s="16" t="str">
        <f>TEXT(WEEKDAY(DATE(CalendarioAño,8,17),1),"ddd")</f>
        <v>dom</v>
      </c>
      <c r="T15" s="16" t="str">
        <f>TEXT(WEEKDAY(DATE(CalendarioAño,8,18),1),"ddd")</f>
        <v>lun</v>
      </c>
      <c r="U15" s="16" t="str">
        <f>TEXT(WEEKDAY(DATE(CalendarioAño,8,19),1),"ddd")</f>
        <v>mar</v>
      </c>
      <c r="V15" s="16" t="str">
        <f>TEXT(WEEKDAY(DATE(CalendarioAño,8,20),1),"ddd")</f>
        <v>mié</v>
      </c>
      <c r="W15" s="16" t="str">
        <f>TEXT(WEEKDAY(DATE(CalendarioAño,8,21),1),"ddd")</f>
        <v>jue</v>
      </c>
      <c r="X15" s="16" t="str">
        <f>TEXT(WEEKDAY(DATE(CalendarioAño,8,22),1),"ddd")</f>
        <v>vie</v>
      </c>
      <c r="Y15" s="16" t="str">
        <f>TEXT(WEEKDAY(DATE(CalendarioAño,8,23),1),"ddd")</f>
        <v>sáb</v>
      </c>
      <c r="Z15" s="16" t="str">
        <f>TEXT(WEEKDAY(DATE(CalendarioAño,8,24),1),"ddd")</f>
        <v>dom</v>
      </c>
      <c r="AA15" s="16" t="str">
        <f>TEXT(WEEKDAY(DATE(CalendarioAño,8,25),1),"ddd")</f>
        <v>lun</v>
      </c>
      <c r="AB15" s="16" t="str">
        <f>TEXT(WEEKDAY(DATE(CalendarioAño,8,26),1),"ddd")</f>
        <v>mar</v>
      </c>
      <c r="AC15" s="16" t="str">
        <f>TEXT(WEEKDAY(DATE(CalendarioAño,8,27),1),"ddd")</f>
        <v>mié</v>
      </c>
      <c r="AD15" s="16" t="str">
        <f>TEXT(WEEKDAY(DATE(CalendarioAño,8,28),1),"ddd")</f>
        <v>jue</v>
      </c>
      <c r="AE15" s="16" t="str">
        <f>TEXT(WEEKDAY(DATE(CalendarioAño,8,29),1),"ddd")</f>
        <v>vie</v>
      </c>
      <c r="AF15" s="16" t="str">
        <f>TEXT(WEEKDAY(DATE(CalendarioAño,8,30),1),"ddd")</f>
        <v>sáb</v>
      </c>
      <c r="AG15" s="16" t="str">
        <f>TEXT(WEEKDAY(DATE(CalendarioAño,8,31),1),"ddd")</f>
        <v>dom</v>
      </c>
      <c r="AH15" s="32"/>
    </row>
    <row r="16" ht="30.0" customHeight="1">
      <c r="A16" s="115"/>
      <c r="B16" s="116" t="s">
        <v>202</v>
      </c>
      <c r="C16" s="117" t="s">
        <v>15</v>
      </c>
      <c r="D16" s="117" t="s">
        <v>16</v>
      </c>
      <c r="E16" s="117" t="s">
        <v>17</v>
      </c>
      <c r="F16" s="117" t="s">
        <v>18</v>
      </c>
      <c r="G16" s="117" t="s">
        <v>19</v>
      </c>
      <c r="H16" s="117" t="s">
        <v>20</v>
      </c>
      <c r="I16" s="117" t="s">
        <v>21</v>
      </c>
      <c r="J16" s="117" t="s">
        <v>22</v>
      </c>
      <c r="K16" s="117" t="s">
        <v>23</v>
      </c>
      <c r="L16" s="117" t="s">
        <v>24</v>
      </c>
      <c r="M16" s="117" t="s">
        <v>25</v>
      </c>
      <c r="N16" s="117" t="s">
        <v>26</v>
      </c>
      <c r="O16" s="117" t="s">
        <v>27</v>
      </c>
      <c r="P16" s="117" t="s">
        <v>28</v>
      </c>
      <c r="Q16" s="117" t="s">
        <v>29</v>
      </c>
      <c r="R16" s="117" t="s">
        <v>30</v>
      </c>
      <c r="S16" s="117" t="s">
        <v>31</v>
      </c>
      <c r="T16" s="117" t="s">
        <v>32</v>
      </c>
      <c r="U16" s="117" t="s">
        <v>33</v>
      </c>
      <c r="V16" s="117" t="s">
        <v>34</v>
      </c>
      <c r="W16" s="117" t="s">
        <v>35</v>
      </c>
      <c r="X16" s="117" t="s">
        <v>36</v>
      </c>
      <c r="Y16" s="117" t="s">
        <v>37</v>
      </c>
      <c r="Z16" s="117" t="s">
        <v>38</v>
      </c>
      <c r="AA16" s="117" t="s">
        <v>39</v>
      </c>
      <c r="AB16" s="117" t="s">
        <v>40</v>
      </c>
      <c r="AC16" s="117" t="s">
        <v>41</v>
      </c>
      <c r="AD16" s="117" t="s">
        <v>42</v>
      </c>
      <c r="AE16" s="117" t="s">
        <v>43</v>
      </c>
      <c r="AF16" s="117" t="s">
        <v>44</v>
      </c>
      <c r="AG16" s="117" t="s">
        <v>45</v>
      </c>
      <c r="AH16" s="117" t="s">
        <v>46</v>
      </c>
    </row>
    <row r="17" ht="30.0" customHeight="1">
      <c r="B17" s="129" t="s">
        <v>205</v>
      </c>
      <c r="C17" s="130"/>
      <c r="D17" s="130"/>
      <c r="E17" s="130"/>
      <c r="F17" s="130"/>
      <c r="G17" s="10" t="s">
        <v>6</v>
      </c>
      <c r="H17" s="130"/>
      <c r="I17" s="10" t="s">
        <v>6</v>
      </c>
      <c r="J17" s="130"/>
      <c r="K17" s="130"/>
      <c r="L17" s="130"/>
      <c r="M17" s="130"/>
      <c r="N17" s="10" t="s">
        <v>6</v>
      </c>
      <c r="O17" s="130"/>
      <c r="P17" s="130"/>
      <c r="Q17" s="130"/>
      <c r="R17" s="130"/>
      <c r="S17" s="130"/>
      <c r="T17" s="130"/>
      <c r="U17" s="10" t="s">
        <v>6</v>
      </c>
      <c r="V17" s="130"/>
      <c r="W17" s="10" t="s">
        <v>6</v>
      </c>
      <c r="X17" s="130"/>
      <c r="Y17" s="130"/>
      <c r="Z17" s="130"/>
      <c r="AA17" s="130"/>
      <c r="AB17" s="10" t="s">
        <v>6</v>
      </c>
      <c r="AC17" s="130"/>
      <c r="AD17" s="10" t="s">
        <v>6</v>
      </c>
      <c r="AE17" s="130"/>
      <c r="AF17" s="130"/>
      <c r="AG17" s="130"/>
      <c r="AH17" s="131"/>
    </row>
    <row r="18" ht="30.0" customHeight="1">
      <c r="B18" s="132" t="s">
        <v>263</v>
      </c>
      <c r="C18" s="133"/>
      <c r="D18" s="133"/>
      <c r="E18" s="133"/>
      <c r="F18" s="133"/>
      <c r="G18" s="10" t="s">
        <v>6</v>
      </c>
      <c r="H18" s="133"/>
      <c r="I18" s="10" t="s">
        <v>6</v>
      </c>
      <c r="J18" s="133"/>
      <c r="K18" s="133"/>
      <c r="L18" s="133"/>
      <c r="M18" s="133"/>
      <c r="N18" s="133"/>
      <c r="O18" s="133"/>
      <c r="P18" s="10" t="s">
        <v>6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0" t="s">
        <v>6</v>
      </c>
      <c r="AC18" s="133"/>
      <c r="AD18" s="10" t="s">
        <v>6</v>
      </c>
      <c r="AE18" s="133"/>
      <c r="AF18" s="133"/>
      <c r="AG18" s="133"/>
      <c r="AH18" s="134"/>
    </row>
    <row r="19" ht="30.0" customHeight="1">
      <c r="B19" s="129" t="s">
        <v>262</v>
      </c>
      <c r="C19" s="130"/>
      <c r="D19" s="130"/>
      <c r="E19" s="130"/>
      <c r="F19" s="130"/>
      <c r="G19" s="10" t="s">
        <v>6</v>
      </c>
      <c r="H19" s="130"/>
      <c r="I19" s="130"/>
      <c r="J19" s="130"/>
      <c r="K19" s="130"/>
      <c r="L19" s="130"/>
      <c r="M19" s="130"/>
      <c r="N19" s="10" t="s">
        <v>6</v>
      </c>
      <c r="O19" s="10" t="s">
        <v>6</v>
      </c>
      <c r="P19" s="130"/>
      <c r="Q19" s="130"/>
      <c r="R19" s="10" t="s">
        <v>6</v>
      </c>
      <c r="S19" s="130"/>
      <c r="T19" s="10" t="s">
        <v>6</v>
      </c>
      <c r="U19" s="130"/>
      <c r="V19" s="130"/>
      <c r="W19" s="130"/>
      <c r="X19" s="130"/>
      <c r="Y19" s="130"/>
      <c r="Z19" s="130"/>
      <c r="AA19" s="130"/>
      <c r="AB19" s="130"/>
      <c r="AC19" s="130"/>
      <c r="AD19" s="10" t="s">
        <v>6</v>
      </c>
      <c r="AE19" s="10" t="s">
        <v>6</v>
      </c>
      <c r="AF19" s="130"/>
      <c r="AG19" s="130"/>
      <c r="AH19" s="131"/>
    </row>
    <row r="20" ht="30.0" customHeight="1">
      <c r="B20" s="135" t="s">
        <v>266</v>
      </c>
      <c r="C20" s="133"/>
      <c r="D20" s="133"/>
      <c r="E20" s="133"/>
      <c r="F20" s="133"/>
      <c r="G20" s="133"/>
      <c r="H20" s="133"/>
      <c r="I20" s="10" t="s">
        <v>6</v>
      </c>
      <c r="J20" s="133"/>
      <c r="K20" s="133"/>
      <c r="L20" s="133"/>
      <c r="M20" s="133"/>
      <c r="N20" s="10" t="s">
        <v>6</v>
      </c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0" t="s">
        <v>6</v>
      </c>
      <c r="AC20" s="133"/>
      <c r="AD20" s="10" t="s">
        <v>6</v>
      </c>
      <c r="AE20" s="133"/>
      <c r="AF20" s="133"/>
      <c r="AG20" s="133"/>
      <c r="AH20" s="134"/>
    </row>
    <row r="21" ht="30.0" customHeight="1">
      <c r="B21" s="136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1"/>
    </row>
    <row r="22" ht="30.0" customHeight="1">
      <c r="B22" s="127" t="str">
        <f>Agosto!MonthName&amp;" Total"</f>
        <v>Agosto Total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</row>
    <row r="23" ht="30.0" customHeight="1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4"/>
    </row>
    <row r="24" ht="30.0" customHeight="1">
      <c r="B24" s="32" t="s">
        <v>347</v>
      </c>
      <c r="C24" s="80" t="s">
        <v>331</v>
      </c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32">
        <f>CalendarioAño</f>
        <v>2025</v>
      </c>
    </row>
    <row r="25" ht="30.0" customHeight="1">
      <c r="B25" s="32"/>
      <c r="C25" s="130" t="str">
        <f>TEXT(WEEKDAY(DATE(CalendarioAño,8,1),1),"ddd")</f>
        <v>vie</v>
      </c>
      <c r="D25" s="130" t="str">
        <f>TEXT(WEEKDAY(DATE(CalendarioAño,8,2),1),"ddd")</f>
        <v>sáb</v>
      </c>
      <c r="E25" s="130" t="str">
        <f>TEXT(WEEKDAY(DATE(CalendarioAño,8,3),1),"ddd")</f>
        <v>dom</v>
      </c>
      <c r="F25" s="130" t="str">
        <f>TEXT(WEEKDAY(DATE(CalendarioAño,8,4),1),"ddd")</f>
        <v>lun</v>
      </c>
      <c r="G25" s="130" t="str">
        <f>TEXT(WEEKDAY(DATE(CalendarioAño,8,5),1),"ddd")</f>
        <v>mar</v>
      </c>
      <c r="H25" s="130" t="str">
        <f>TEXT(WEEKDAY(DATE(CalendarioAño,8,6),1),"ddd")</f>
        <v>mié</v>
      </c>
      <c r="I25" s="130" t="str">
        <f>TEXT(WEEKDAY(DATE(CalendarioAño,8,7),1),"ddd")</f>
        <v>jue</v>
      </c>
      <c r="J25" s="130" t="str">
        <f>TEXT(WEEKDAY(DATE(CalendarioAño,8,8),1),"ddd")</f>
        <v>vie</v>
      </c>
      <c r="K25" s="130" t="str">
        <f>TEXT(WEEKDAY(DATE(CalendarioAño,8,9),1),"ddd")</f>
        <v>sáb</v>
      </c>
      <c r="L25" s="130" t="str">
        <f>TEXT(WEEKDAY(DATE(CalendarioAño,8,10),1),"ddd")</f>
        <v>dom</v>
      </c>
      <c r="M25" s="130" t="str">
        <f>TEXT(WEEKDAY(DATE(CalendarioAño,8,11),1),"ddd")</f>
        <v>lun</v>
      </c>
      <c r="N25" s="130" t="str">
        <f>TEXT(WEEKDAY(DATE(CalendarioAño,8,12),1),"ddd")</f>
        <v>mar</v>
      </c>
      <c r="O25" s="130" t="str">
        <f>TEXT(WEEKDAY(DATE(CalendarioAño,8,13),1),"ddd")</f>
        <v>mié</v>
      </c>
      <c r="P25" s="130" t="str">
        <f>TEXT(WEEKDAY(DATE(CalendarioAño,8,14),1),"ddd")</f>
        <v>jue</v>
      </c>
      <c r="Q25" s="130" t="str">
        <f>TEXT(WEEKDAY(DATE(CalendarioAño,8,15),1),"ddd")</f>
        <v>vie</v>
      </c>
      <c r="R25" s="130" t="str">
        <f>TEXT(WEEKDAY(DATE(CalendarioAño,8,16),1),"ddd")</f>
        <v>sáb</v>
      </c>
      <c r="S25" s="130" t="str">
        <f>TEXT(WEEKDAY(DATE(CalendarioAño,8,17),1),"ddd")</f>
        <v>dom</v>
      </c>
      <c r="T25" s="130" t="str">
        <f>TEXT(WEEKDAY(DATE(CalendarioAño,8,18),1),"ddd")</f>
        <v>lun</v>
      </c>
      <c r="U25" s="130" t="str">
        <f>TEXT(WEEKDAY(DATE(CalendarioAño,8,19),1),"ddd")</f>
        <v>mar</v>
      </c>
      <c r="V25" s="130" t="str">
        <f>TEXT(WEEKDAY(DATE(CalendarioAño,8,20),1),"ddd")</f>
        <v>mié</v>
      </c>
      <c r="W25" s="130" t="str">
        <f>TEXT(WEEKDAY(DATE(CalendarioAño,8,21),1),"ddd")</f>
        <v>jue</v>
      </c>
      <c r="X25" s="130" t="str">
        <f>TEXT(WEEKDAY(DATE(CalendarioAño,8,22),1),"ddd")</f>
        <v>vie</v>
      </c>
      <c r="Y25" s="130" t="str">
        <f>TEXT(WEEKDAY(DATE(CalendarioAño,8,23),1),"ddd")</f>
        <v>sáb</v>
      </c>
      <c r="Z25" s="130" t="str">
        <f>TEXT(WEEKDAY(DATE(CalendarioAño,8,24),1),"ddd")</f>
        <v>dom</v>
      </c>
      <c r="AA25" s="130" t="str">
        <f>TEXT(WEEKDAY(DATE(CalendarioAño,8,25),1),"ddd")</f>
        <v>lun</v>
      </c>
      <c r="AB25" s="130" t="str">
        <f>TEXT(WEEKDAY(DATE(CalendarioAño,8,26),1),"ddd")</f>
        <v>mar</v>
      </c>
      <c r="AC25" s="130" t="str">
        <f>TEXT(WEEKDAY(DATE(CalendarioAño,8,27),1),"ddd")</f>
        <v>mié</v>
      </c>
      <c r="AD25" s="130" t="str">
        <f>TEXT(WEEKDAY(DATE(CalendarioAño,8,28),1),"ddd")</f>
        <v>jue</v>
      </c>
      <c r="AE25" s="130" t="str">
        <f>TEXT(WEEKDAY(DATE(CalendarioAño,8,29),1),"ddd")</f>
        <v>vie</v>
      </c>
      <c r="AF25" s="130" t="str">
        <f>TEXT(WEEKDAY(DATE(CalendarioAño,8,30),1),"ddd")</f>
        <v>sáb</v>
      </c>
      <c r="AG25" s="130" t="str">
        <f>TEXT(WEEKDAY(DATE(CalendarioAño,8,31),1),"ddd")</f>
        <v>dom</v>
      </c>
      <c r="AH25" s="32"/>
    </row>
    <row r="26" ht="30.0" customHeight="1">
      <c r="A26" s="115"/>
      <c r="B26" s="116" t="s">
        <v>202</v>
      </c>
      <c r="C26" s="117" t="s">
        <v>15</v>
      </c>
      <c r="D26" s="117" t="s">
        <v>16</v>
      </c>
      <c r="E26" s="117" t="s">
        <v>17</v>
      </c>
      <c r="F26" s="117" t="s">
        <v>18</v>
      </c>
      <c r="G26" s="117" t="s">
        <v>19</v>
      </c>
      <c r="H26" s="117" t="s">
        <v>20</v>
      </c>
      <c r="I26" s="117" t="s">
        <v>21</v>
      </c>
      <c r="J26" s="117" t="s">
        <v>22</v>
      </c>
      <c r="K26" s="117" t="s">
        <v>23</v>
      </c>
      <c r="L26" s="117" t="s">
        <v>24</v>
      </c>
      <c r="M26" s="117" t="s">
        <v>25</v>
      </c>
      <c r="N26" s="117" t="s">
        <v>26</v>
      </c>
      <c r="O26" s="117" t="s">
        <v>27</v>
      </c>
      <c r="P26" s="117" t="s">
        <v>28</v>
      </c>
      <c r="Q26" s="117" t="s">
        <v>29</v>
      </c>
      <c r="R26" s="117" t="s">
        <v>30</v>
      </c>
      <c r="S26" s="117" t="s">
        <v>31</v>
      </c>
      <c r="T26" s="117" t="s">
        <v>32</v>
      </c>
      <c r="U26" s="117" t="s">
        <v>33</v>
      </c>
      <c r="V26" s="117" t="s">
        <v>34</v>
      </c>
      <c r="W26" s="117" t="s">
        <v>35</v>
      </c>
      <c r="X26" s="117" t="s">
        <v>36</v>
      </c>
      <c r="Y26" s="117" t="s">
        <v>37</v>
      </c>
      <c r="Z26" s="117" t="s">
        <v>38</v>
      </c>
      <c r="AA26" s="117" t="s">
        <v>39</v>
      </c>
      <c r="AB26" s="117" t="s">
        <v>40</v>
      </c>
      <c r="AC26" s="117" t="s">
        <v>41</v>
      </c>
      <c r="AD26" s="117" t="s">
        <v>42</v>
      </c>
      <c r="AE26" s="117" t="s">
        <v>43</v>
      </c>
      <c r="AF26" s="117" t="s">
        <v>44</v>
      </c>
      <c r="AG26" s="117" t="s">
        <v>45</v>
      </c>
      <c r="AH26" s="117" t="s">
        <v>46</v>
      </c>
    </row>
    <row r="27" ht="30.0" customHeight="1">
      <c r="B27" s="129" t="s">
        <v>335</v>
      </c>
      <c r="C27" s="10" t="s">
        <v>6</v>
      </c>
      <c r="D27" s="130"/>
      <c r="E27" s="130"/>
      <c r="F27" s="130"/>
      <c r="G27" s="130"/>
      <c r="H27" s="130"/>
      <c r="I27" s="130"/>
      <c r="J27" s="10" t="s">
        <v>6</v>
      </c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0" t="s">
        <v>6</v>
      </c>
      <c r="AF27" s="130"/>
      <c r="AG27" s="130"/>
      <c r="AH27" s="131"/>
    </row>
    <row r="28" ht="30.0" customHeight="1">
      <c r="B28" s="132" t="s">
        <v>273</v>
      </c>
      <c r="C28" s="10" t="s">
        <v>6</v>
      </c>
      <c r="D28" s="133"/>
      <c r="E28" s="133"/>
      <c r="F28" s="133"/>
      <c r="G28" s="133"/>
      <c r="H28" s="133"/>
      <c r="I28" s="133"/>
      <c r="J28" s="10" t="s">
        <v>6</v>
      </c>
      <c r="K28" s="10" t="s">
        <v>6</v>
      </c>
      <c r="L28" s="133"/>
      <c r="M28" s="133"/>
      <c r="N28" s="133"/>
      <c r="O28" s="133"/>
      <c r="P28" s="133"/>
      <c r="Q28" s="10" t="s">
        <v>6</v>
      </c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83" t="s">
        <v>348</v>
      </c>
      <c r="AF28" s="133"/>
      <c r="AG28" s="133"/>
      <c r="AH28" s="134"/>
    </row>
    <row r="29" ht="30.0" customHeight="1">
      <c r="B29" s="129" t="s">
        <v>265</v>
      </c>
      <c r="C29" s="130"/>
      <c r="D29" s="10" t="s">
        <v>6</v>
      </c>
      <c r="E29" s="130"/>
      <c r="F29" s="130"/>
      <c r="G29" s="130"/>
      <c r="H29" s="130"/>
      <c r="I29" s="130"/>
      <c r="J29" s="130"/>
      <c r="K29" s="10" t="s">
        <v>6</v>
      </c>
      <c r="L29" s="130"/>
      <c r="M29" s="130"/>
      <c r="N29" s="130"/>
      <c r="O29" s="130"/>
      <c r="P29" s="130"/>
      <c r="Q29" s="130"/>
      <c r="R29" s="10" t="s">
        <v>6</v>
      </c>
      <c r="S29" s="130"/>
      <c r="T29" s="130"/>
      <c r="U29" s="130"/>
      <c r="V29" s="130"/>
      <c r="W29" s="130"/>
      <c r="X29" s="130"/>
      <c r="Y29" s="10" t="s">
        <v>6</v>
      </c>
      <c r="Z29" s="130"/>
      <c r="AA29" s="130"/>
      <c r="AB29" s="130"/>
      <c r="AC29" s="130"/>
      <c r="AD29" s="130"/>
      <c r="AE29" s="130"/>
      <c r="AF29" s="130"/>
      <c r="AG29" s="130"/>
      <c r="AH29" s="131"/>
    </row>
    <row r="30" ht="30.0" customHeight="1">
      <c r="B30" s="135" t="s">
        <v>208</v>
      </c>
      <c r="C30" s="133"/>
      <c r="D30" s="10" t="s">
        <v>6</v>
      </c>
      <c r="E30" s="133"/>
      <c r="F30" s="133"/>
      <c r="G30" s="133"/>
      <c r="H30" s="133"/>
      <c r="I30" s="133"/>
      <c r="J30" s="133"/>
      <c r="K30" s="10" t="s">
        <v>6</v>
      </c>
      <c r="L30" s="133"/>
      <c r="M30" s="133"/>
      <c r="N30" s="10" t="s">
        <v>6</v>
      </c>
      <c r="O30" s="133"/>
      <c r="P30" s="133"/>
      <c r="Q30" s="133"/>
      <c r="R30" s="10" t="s">
        <v>6</v>
      </c>
      <c r="S30" s="133"/>
      <c r="T30" s="133"/>
      <c r="U30" s="133"/>
      <c r="V30" s="133"/>
      <c r="W30" s="133"/>
      <c r="X30" s="10" t="s">
        <v>6</v>
      </c>
      <c r="Y30" s="133"/>
      <c r="Z30" s="133"/>
      <c r="AA30" s="133"/>
      <c r="AB30" s="133"/>
      <c r="AC30" s="133"/>
      <c r="AD30" s="133"/>
      <c r="AE30" s="10" t="s">
        <v>6</v>
      </c>
      <c r="AF30" s="133"/>
      <c r="AG30" s="133"/>
      <c r="AH30" s="134"/>
    </row>
    <row r="31" ht="30.0" customHeight="1">
      <c r="B31" s="138" t="s">
        <v>274</v>
      </c>
      <c r="C31" s="130"/>
      <c r="D31" s="10" t="s">
        <v>6</v>
      </c>
      <c r="E31" s="130"/>
      <c r="F31" s="130"/>
      <c r="G31" s="130"/>
      <c r="H31" s="130"/>
      <c r="I31" s="10" t="s">
        <v>6</v>
      </c>
      <c r="J31" s="10" t="s">
        <v>6</v>
      </c>
      <c r="K31" s="130"/>
      <c r="L31" s="130"/>
      <c r="M31" s="10" t="s">
        <v>6</v>
      </c>
      <c r="N31" s="130"/>
      <c r="O31" s="10" t="s">
        <v>6</v>
      </c>
      <c r="P31" s="130"/>
      <c r="Q31" s="10" t="s">
        <v>6</v>
      </c>
      <c r="R31" s="130"/>
      <c r="S31" s="130"/>
      <c r="T31" s="130"/>
      <c r="U31" s="10" t="s">
        <v>6</v>
      </c>
      <c r="V31" s="130"/>
      <c r="W31" s="10" t="s">
        <v>6</v>
      </c>
      <c r="X31" s="130"/>
      <c r="Y31" s="130"/>
      <c r="Z31" s="130"/>
      <c r="AA31" s="130"/>
      <c r="AB31" s="10" t="s">
        <v>6</v>
      </c>
      <c r="AC31" s="130"/>
      <c r="AD31" s="130"/>
      <c r="AE31" s="130"/>
      <c r="AF31" s="130"/>
      <c r="AG31" s="130"/>
      <c r="AH31" s="131"/>
    </row>
    <row r="32" ht="30.0" customHeight="1">
      <c r="B32" s="135" t="s">
        <v>349</v>
      </c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0" t="s">
        <v>6</v>
      </c>
      <c r="P32" s="133"/>
      <c r="Q32" s="133"/>
      <c r="R32" s="10" t="s">
        <v>6</v>
      </c>
      <c r="S32" s="133"/>
      <c r="T32" s="133"/>
      <c r="U32" s="133"/>
      <c r="V32" s="133"/>
      <c r="W32" s="10" t="s">
        <v>6</v>
      </c>
      <c r="X32" s="133"/>
      <c r="Y32" s="10" t="s">
        <v>6</v>
      </c>
      <c r="Z32" s="133"/>
      <c r="AA32" s="133"/>
      <c r="AB32" s="133"/>
      <c r="AC32" s="10" t="s">
        <v>6</v>
      </c>
      <c r="AD32" s="133"/>
      <c r="AE32" s="133"/>
      <c r="AF32" s="133"/>
      <c r="AG32" s="133"/>
      <c r="AH32" s="134"/>
    </row>
    <row r="33" ht="30.0" customHeight="1">
      <c r="B33" s="138" t="s">
        <v>47</v>
      </c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0" t="s">
        <v>6</v>
      </c>
      <c r="S33" s="130"/>
      <c r="T33" s="130"/>
      <c r="U33" s="130"/>
      <c r="V33" s="130"/>
      <c r="W33" s="130"/>
      <c r="X33" s="130"/>
      <c r="Y33" s="10" t="s">
        <v>6</v>
      </c>
      <c r="Z33" s="130"/>
      <c r="AA33" s="130"/>
      <c r="AB33" s="130"/>
      <c r="AC33" s="130"/>
      <c r="AD33" s="130"/>
      <c r="AE33" s="130"/>
      <c r="AF33" s="130"/>
      <c r="AG33" s="130"/>
      <c r="AH33" s="131"/>
    </row>
    <row r="34" ht="30.0" customHeight="1">
      <c r="B34" s="135" t="s">
        <v>350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0" t="s">
        <v>6</v>
      </c>
      <c r="AC34" s="128"/>
      <c r="AD34" s="10" t="s">
        <v>6</v>
      </c>
      <c r="AE34" s="128"/>
      <c r="AF34" s="128"/>
      <c r="AG34" s="128"/>
      <c r="AH34" s="128"/>
    </row>
    <row r="35" ht="30.0" customHeight="1">
      <c r="B35" s="138" t="s">
        <v>351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0" t="s">
        <v>6</v>
      </c>
      <c r="AF35" s="139"/>
      <c r="AG35" s="139"/>
      <c r="AH35" s="139"/>
    </row>
    <row r="36" ht="30.0" customHeight="1">
      <c r="B36" s="127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</row>
    <row r="37" ht="30.0" customHeight="1">
      <c r="B37" s="140" t="str">
        <f>Agosto!MonthName&amp;" Total"</f>
        <v>Agosto Total</v>
      </c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</row>
    <row r="38" ht="30.0" customHeight="1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4"/>
    </row>
    <row r="39" ht="30.0" customHeight="1">
      <c r="B39" s="32" t="s">
        <v>347</v>
      </c>
      <c r="C39" s="80" t="s">
        <v>332</v>
      </c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32">
        <f>CalendarioAño</f>
        <v>2025</v>
      </c>
    </row>
    <row r="40" ht="30.0" customHeight="1">
      <c r="B40" s="32"/>
      <c r="C40" s="133" t="str">
        <f>TEXT(WEEKDAY(DATE(CalendarioAño,8,1),1),"ddd")</f>
        <v>vie</v>
      </c>
      <c r="D40" s="133" t="str">
        <f>TEXT(WEEKDAY(DATE(CalendarioAño,8,2),1),"ddd")</f>
        <v>sáb</v>
      </c>
      <c r="E40" s="133" t="str">
        <f>TEXT(WEEKDAY(DATE(CalendarioAño,8,3),1),"ddd")</f>
        <v>dom</v>
      </c>
      <c r="F40" s="133" t="str">
        <f>TEXT(WEEKDAY(DATE(CalendarioAño,8,4),1),"ddd")</f>
        <v>lun</v>
      </c>
      <c r="G40" s="133" t="str">
        <f>TEXT(WEEKDAY(DATE(CalendarioAño,8,5),1),"ddd")</f>
        <v>mar</v>
      </c>
      <c r="H40" s="133" t="str">
        <f>TEXT(WEEKDAY(DATE(CalendarioAño,8,6),1),"ddd")</f>
        <v>mié</v>
      </c>
      <c r="I40" s="133" t="str">
        <f>TEXT(WEEKDAY(DATE(CalendarioAño,8,7),1),"ddd")</f>
        <v>jue</v>
      </c>
      <c r="J40" s="133" t="str">
        <f>TEXT(WEEKDAY(DATE(CalendarioAño,8,8),1),"ddd")</f>
        <v>vie</v>
      </c>
      <c r="K40" s="133" t="str">
        <f>TEXT(WEEKDAY(DATE(CalendarioAño,8,9),1),"ddd")</f>
        <v>sáb</v>
      </c>
      <c r="L40" s="133" t="str">
        <f>TEXT(WEEKDAY(DATE(CalendarioAño,8,10),1),"ddd")</f>
        <v>dom</v>
      </c>
      <c r="M40" s="133" t="str">
        <f>TEXT(WEEKDAY(DATE(CalendarioAño,8,11),1),"ddd")</f>
        <v>lun</v>
      </c>
      <c r="N40" s="133" t="str">
        <f>TEXT(WEEKDAY(DATE(CalendarioAño,8,12),1),"ddd")</f>
        <v>mar</v>
      </c>
      <c r="O40" s="133" t="str">
        <f>TEXT(WEEKDAY(DATE(CalendarioAño,8,13),1),"ddd")</f>
        <v>mié</v>
      </c>
      <c r="P40" s="133" t="str">
        <f>TEXT(WEEKDAY(DATE(CalendarioAño,8,14),1),"ddd")</f>
        <v>jue</v>
      </c>
      <c r="Q40" s="133" t="str">
        <f>TEXT(WEEKDAY(DATE(CalendarioAño,8,15),1),"ddd")</f>
        <v>vie</v>
      </c>
      <c r="R40" s="133" t="str">
        <f>TEXT(WEEKDAY(DATE(CalendarioAño,8,16),1),"ddd")</f>
        <v>sáb</v>
      </c>
      <c r="S40" s="133" t="str">
        <f>TEXT(WEEKDAY(DATE(CalendarioAño,8,17),1),"ddd")</f>
        <v>dom</v>
      </c>
      <c r="T40" s="133" t="str">
        <f>TEXT(WEEKDAY(DATE(CalendarioAño,8,18),1),"ddd")</f>
        <v>lun</v>
      </c>
      <c r="U40" s="133" t="str">
        <f>TEXT(WEEKDAY(DATE(CalendarioAño,8,19),1),"ddd")</f>
        <v>mar</v>
      </c>
      <c r="V40" s="133" t="str">
        <f>TEXT(WEEKDAY(DATE(CalendarioAño,8,20),1),"ddd")</f>
        <v>mié</v>
      </c>
      <c r="W40" s="133" t="str">
        <f>TEXT(WEEKDAY(DATE(CalendarioAño,8,21),1),"ddd")</f>
        <v>jue</v>
      </c>
      <c r="X40" s="133" t="str">
        <f>TEXT(WEEKDAY(DATE(CalendarioAño,8,22),1),"ddd")</f>
        <v>vie</v>
      </c>
      <c r="Y40" s="133" t="str">
        <f>TEXT(WEEKDAY(DATE(CalendarioAño,8,23),1),"ddd")</f>
        <v>sáb</v>
      </c>
      <c r="Z40" s="133" t="str">
        <f>TEXT(WEEKDAY(DATE(CalendarioAño,8,24),1),"ddd")</f>
        <v>dom</v>
      </c>
      <c r="AA40" s="133" t="str">
        <f>TEXT(WEEKDAY(DATE(CalendarioAño,8,25),1),"ddd")</f>
        <v>lun</v>
      </c>
      <c r="AB40" s="133" t="str">
        <f>TEXT(WEEKDAY(DATE(CalendarioAño,8,26),1),"ddd")</f>
        <v>mar</v>
      </c>
      <c r="AC40" s="133" t="str">
        <f>TEXT(WEEKDAY(DATE(CalendarioAño,8,27),1),"ddd")</f>
        <v>mié</v>
      </c>
      <c r="AD40" s="133" t="str">
        <f>TEXT(WEEKDAY(DATE(CalendarioAño,8,28),1),"ddd")</f>
        <v>jue</v>
      </c>
      <c r="AE40" s="133" t="str">
        <f>TEXT(WEEKDAY(DATE(CalendarioAño,8,29),1),"ddd")</f>
        <v>vie</v>
      </c>
      <c r="AF40" s="133" t="str">
        <f>TEXT(WEEKDAY(DATE(CalendarioAño,8,30),1),"ddd")</f>
        <v>sáb</v>
      </c>
      <c r="AG40" s="133" t="str">
        <f>TEXT(WEEKDAY(DATE(CalendarioAño,8,31),1),"ddd")</f>
        <v>dom</v>
      </c>
      <c r="AH40" s="32"/>
    </row>
    <row r="41" ht="30.0" customHeight="1">
      <c r="A41" s="115"/>
      <c r="B41" s="116" t="s">
        <v>202</v>
      </c>
      <c r="C41" s="117" t="s">
        <v>15</v>
      </c>
      <c r="D41" s="117" t="s">
        <v>16</v>
      </c>
      <c r="E41" s="117" t="s">
        <v>17</v>
      </c>
      <c r="F41" s="117" t="s">
        <v>18</v>
      </c>
      <c r="G41" s="117" t="s">
        <v>19</v>
      </c>
      <c r="H41" s="117" t="s">
        <v>20</v>
      </c>
      <c r="I41" s="117" t="s">
        <v>21</v>
      </c>
      <c r="J41" s="117" t="s">
        <v>22</v>
      </c>
      <c r="K41" s="117" t="s">
        <v>23</v>
      </c>
      <c r="L41" s="117" t="s">
        <v>24</v>
      </c>
      <c r="M41" s="117" t="s">
        <v>25</v>
      </c>
      <c r="N41" s="117" t="s">
        <v>26</v>
      </c>
      <c r="O41" s="117" t="s">
        <v>27</v>
      </c>
      <c r="P41" s="117" t="s">
        <v>28</v>
      </c>
      <c r="Q41" s="117" t="s">
        <v>29</v>
      </c>
      <c r="R41" s="117" t="s">
        <v>30</v>
      </c>
      <c r="S41" s="117" t="s">
        <v>31</v>
      </c>
      <c r="T41" s="117" t="s">
        <v>32</v>
      </c>
      <c r="U41" s="117" t="s">
        <v>33</v>
      </c>
      <c r="V41" s="117" t="s">
        <v>34</v>
      </c>
      <c r="W41" s="117" t="s">
        <v>35</v>
      </c>
      <c r="X41" s="117" t="s">
        <v>36</v>
      </c>
      <c r="Y41" s="117" t="s">
        <v>37</v>
      </c>
      <c r="Z41" s="117" t="s">
        <v>38</v>
      </c>
      <c r="AA41" s="117" t="s">
        <v>39</v>
      </c>
      <c r="AB41" s="117" t="s">
        <v>40</v>
      </c>
      <c r="AC41" s="117" t="s">
        <v>41</v>
      </c>
      <c r="AD41" s="117" t="s">
        <v>42</v>
      </c>
      <c r="AE41" s="117" t="s">
        <v>43</v>
      </c>
      <c r="AF41" s="117" t="s">
        <v>44</v>
      </c>
      <c r="AG41" s="117" t="s">
        <v>45</v>
      </c>
      <c r="AH41" s="117" t="s">
        <v>46</v>
      </c>
    </row>
    <row r="42" ht="30.0" customHeight="1">
      <c r="B42" s="129" t="s">
        <v>67</v>
      </c>
      <c r="C42" s="10" t="s">
        <v>6</v>
      </c>
      <c r="D42" s="130"/>
      <c r="E42" s="130"/>
      <c r="F42" s="10" t="s">
        <v>6</v>
      </c>
      <c r="G42" s="10" t="s">
        <v>6</v>
      </c>
      <c r="H42" s="130"/>
      <c r="I42" s="130"/>
      <c r="J42" s="10" t="s">
        <v>6</v>
      </c>
      <c r="K42" s="130"/>
      <c r="L42" s="130"/>
      <c r="M42" s="10" t="s">
        <v>6</v>
      </c>
      <c r="N42" s="130"/>
      <c r="O42" s="10" t="s">
        <v>6</v>
      </c>
      <c r="P42" s="130"/>
      <c r="Q42" s="10" t="s">
        <v>6</v>
      </c>
      <c r="R42" s="130"/>
      <c r="S42" s="130"/>
      <c r="T42" s="130"/>
      <c r="U42" s="130"/>
      <c r="V42" s="130"/>
      <c r="W42" s="130"/>
      <c r="X42" s="10" t="s">
        <v>6</v>
      </c>
      <c r="Y42" s="130"/>
      <c r="Z42" s="130"/>
      <c r="AA42" s="10" t="s">
        <v>6</v>
      </c>
      <c r="AB42" s="130"/>
      <c r="AC42" s="130"/>
      <c r="AD42" s="10" t="s">
        <v>6</v>
      </c>
      <c r="AE42" s="130"/>
      <c r="AF42" s="130"/>
      <c r="AG42" s="130"/>
      <c r="AH42" s="134"/>
    </row>
    <row r="43" ht="30.0" customHeight="1">
      <c r="B43" s="132" t="s">
        <v>287</v>
      </c>
      <c r="C43" s="10" t="s">
        <v>6</v>
      </c>
      <c r="D43" s="10" t="s">
        <v>6</v>
      </c>
      <c r="E43" s="133"/>
      <c r="F43" s="133"/>
      <c r="G43" s="133"/>
      <c r="H43" s="133"/>
      <c r="I43" s="133"/>
      <c r="J43" s="10" t="s">
        <v>6</v>
      </c>
      <c r="K43" s="133"/>
      <c r="L43" s="133"/>
      <c r="M43" s="133"/>
      <c r="N43" s="133"/>
      <c r="O43" s="10" t="s">
        <v>6</v>
      </c>
      <c r="P43" s="133"/>
      <c r="Q43" s="10" t="s">
        <v>6</v>
      </c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42"/>
    </row>
    <row r="44" ht="30.0" customHeight="1">
      <c r="B44" s="119" t="s">
        <v>227</v>
      </c>
      <c r="C44" s="10" t="s">
        <v>6</v>
      </c>
      <c r="D44" s="10" t="s">
        <v>6</v>
      </c>
      <c r="E44" s="21"/>
      <c r="F44" s="21"/>
      <c r="G44" s="21"/>
      <c r="H44" s="21"/>
      <c r="I44" s="10" t="s">
        <v>6</v>
      </c>
      <c r="J44" s="10" t="s">
        <v>6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5"/>
    </row>
    <row r="45" ht="30.0" customHeight="1">
      <c r="B45" s="135" t="s">
        <v>333</v>
      </c>
      <c r="C45" s="10" t="s">
        <v>6</v>
      </c>
      <c r="D45" s="133"/>
      <c r="E45" s="133"/>
      <c r="F45" s="133"/>
      <c r="G45" s="133"/>
      <c r="H45" s="133"/>
      <c r="I45" s="133"/>
      <c r="J45" s="10" t="s">
        <v>6</v>
      </c>
      <c r="K45" s="133"/>
      <c r="L45" s="133"/>
      <c r="M45" s="133"/>
      <c r="N45" s="133"/>
      <c r="O45" s="10" t="s">
        <v>6</v>
      </c>
      <c r="P45" s="133"/>
      <c r="Q45" s="10" t="s">
        <v>6</v>
      </c>
      <c r="R45" s="133"/>
      <c r="S45" s="133"/>
      <c r="T45" s="133"/>
      <c r="U45" s="133"/>
      <c r="V45" s="133"/>
      <c r="W45" s="133"/>
      <c r="X45" s="10" t="s">
        <v>6</v>
      </c>
      <c r="Y45" s="133"/>
      <c r="Z45" s="133"/>
      <c r="AA45" s="133"/>
      <c r="AB45" s="133"/>
      <c r="AC45" s="10" t="s">
        <v>6</v>
      </c>
      <c r="AD45" s="133"/>
      <c r="AE45" s="10" t="s">
        <v>6</v>
      </c>
      <c r="AF45" s="133"/>
      <c r="AG45" s="133"/>
      <c r="AH45" s="25"/>
    </row>
    <row r="46" ht="30.0" customHeight="1">
      <c r="B46" s="143" t="s">
        <v>268</v>
      </c>
      <c r="C46" s="109"/>
      <c r="D46" s="10" t="s">
        <v>6</v>
      </c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0" t="s">
        <v>6</v>
      </c>
      <c r="S46" s="144"/>
      <c r="T46" s="144"/>
      <c r="U46" s="144"/>
      <c r="V46" s="144"/>
      <c r="W46" s="144"/>
      <c r="X46" s="144"/>
      <c r="Y46" s="10" t="s">
        <v>6</v>
      </c>
      <c r="Z46" s="144"/>
      <c r="AA46" s="144"/>
      <c r="AB46" s="10" t="s">
        <v>6</v>
      </c>
      <c r="AC46" s="144"/>
      <c r="AD46" s="144"/>
      <c r="AE46" s="144"/>
      <c r="AF46" s="144"/>
      <c r="AG46" s="144"/>
      <c r="AH46" s="25"/>
    </row>
    <row r="47" ht="30.0" customHeight="1">
      <c r="B47" s="143" t="s">
        <v>279</v>
      </c>
      <c r="C47" s="109"/>
      <c r="D47" s="10" t="s">
        <v>6</v>
      </c>
      <c r="E47" s="144"/>
      <c r="F47" s="10" t="s">
        <v>6</v>
      </c>
      <c r="G47" s="10" t="s">
        <v>6</v>
      </c>
      <c r="H47" s="144"/>
      <c r="I47" s="10" t="s">
        <v>6</v>
      </c>
      <c r="J47" s="144"/>
      <c r="K47" s="144"/>
      <c r="L47" s="144"/>
      <c r="M47" s="10" t="s">
        <v>6</v>
      </c>
      <c r="N47" s="144"/>
      <c r="O47" s="144"/>
      <c r="P47" s="144"/>
      <c r="Q47" s="144"/>
      <c r="R47" s="10" t="s">
        <v>6</v>
      </c>
      <c r="S47" s="144"/>
      <c r="T47" s="144"/>
      <c r="U47" s="10" t="s">
        <v>6</v>
      </c>
      <c r="V47" s="144"/>
      <c r="W47" s="10" t="s">
        <v>6</v>
      </c>
      <c r="X47" s="144"/>
      <c r="Y47" s="144"/>
      <c r="Z47" s="144"/>
      <c r="AA47" s="144"/>
      <c r="AB47" s="10" t="s">
        <v>6</v>
      </c>
      <c r="AC47" s="10" t="s">
        <v>6</v>
      </c>
      <c r="AD47" s="144"/>
      <c r="AE47" s="144"/>
      <c r="AF47" s="144"/>
      <c r="AG47" s="144"/>
      <c r="AH47" s="25"/>
    </row>
    <row r="48" ht="30.0" customHeight="1">
      <c r="B48" s="143" t="s">
        <v>352</v>
      </c>
      <c r="C48" s="109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0" t="s">
        <v>6</v>
      </c>
      <c r="P48" s="144"/>
      <c r="Q48" s="144"/>
      <c r="R48" s="10" t="s">
        <v>6</v>
      </c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25"/>
    </row>
    <row r="49" ht="30.0" customHeight="1">
      <c r="B49" s="143" t="s">
        <v>289</v>
      </c>
      <c r="C49" s="109"/>
      <c r="D49" s="10" t="s">
        <v>6</v>
      </c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0" t="s">
        <v>6</v>
      </c>
      <c r="P49" s="144"/>
      <c r="Q49" s="144"/>
      <c r="R49" s="10" t="s">
        <v>6</v>
      </c>
      <c r="S49" s="144"/>
      <c r="T49" s="144"/>
      <c r="U49" s="144"/>
      <c r="V49" s="10" t="s">
        <v>6</v>
      </c>
      <c r="W49" s="10" t="s">
        <v>6</v>
      </c>
      <c r="X49" s="144"/>
      <c r="Y49" s="144"/>
      <c r="Z49" s="144"/>
      <c r="AA49" s="144"/>
      <c r="AB49" s="144"/>
      <c r="AC49" s="144"/>
      <c r="AD49" s="144"/>
      <c r="AE49" s="10" t="s">
        <v>6</v>
      </c>
      <c r="AF49" s="144"/>
      <c r="AG49" s="144"/>
      <c r="AH49" s="25"/>
    </row>
    <row r="50" ht="30.0" customHeight="1">
      <c r="B50" s="143" t="s">
        <v>334</v>
      </c>
      <c r="C50" s="109"/>
      <c r="D50" s="10" t="s">
        <v>6</v>
      </c>
      <c r="E50" s="144"/>
      <c r="F50" s="144"/>
      <c r="G50" s="144"/>
      <c r="H50" s="144"/>
      <c r="I50" s="10" t="s">
        <v>6</v>
      </c>
      <c r="J50" s="144"/>
      <c r="K50" s="10" t="s">
        <v>6</v>
      </c>
      <c r="L50" s="144"/>
      <c r="M50" s="144"/>
      <c r="N50" s="144"/>
      <c r="O50" s="144"/>
      <c r="P50" s="10" t="s">
        <v>6</v>
      </c>
      <c r="Q50" s="144"/>
      <c r="R50" s="10" t="s">
        <v>6</v>
      </c>
      <c r="S50" s="144"/>
      <c r="T50" s="144"/>
      <c r="U50" s="144"/>
      <c r="V50" s="144"/>
      <c r="W50" s="10" t="s">
        <v>6</v>
      </c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25"/>
    </row>
    <row r="51" ht="30.0" customHeight="1">
      <c r="B51" s="132" t="s">
        <v>285</v>
      </c>
      <c r="C51" s="133"/>
      <c r="D51" s="133"/>
      <c r="E51" s="133"/>
      <c r="F51" s="10" t="s">
        <v>6</v>
      </c>
      <c r="G51" s="133"/>
      <c r="H51" s="133"/>
      <c r="I51" s="10" t="s">
        <v>6</v>
      </c>
      <c r="J51" s="133"/>
      <c r="K51" s="133"/>
      <c r="L51" s="133"/>
      <c r="M51" s="10" t="s">
        <v>6</v>
      </c>
      <c r="N51" s="10" t="s">
        <v>6</v>
      </c>
      <c r="O51" s="133"/>
      <c r="P51" s="133"/>
      <c r="Q51" s="10" t="s">
        <v>6</v>
      </c>
      <c r="R51" s="133"/>
      <c r="S51" s="133"/>
      <c r="T51" s="10" t="s">
        <v>6</v>
      </c>
      <c r="U51" s="133"/>
      <c r="V51" s="133"/>
      <c r="W51" s="133"/>
      <c r="X51" s="133"/>
      <c r="Y51" s="133"/>
      <c r="Z51" s="133"/>
      <c r="AA51" s="133"/>
      <c r="AB51" s="133"/>
      <c r="AC51" s="133"/>
      <c r="AD51" s="10" t="s">
        <v>6</v>
      </c>
      <c r="AE51" s="10" t="s">
        <v>6</v>
      </c>
      <c r="AF51" s="133"/>
      <c r="AG51" s="133"/>
      <c r="AH51" s="145"/>
    </row>
    <row r="52" ht="30.0" customHeight="1">
      <c r="B52" s="138" t="s">
        <v>211</v>
      </c>
      <c r="C52" s="139"/>
      <c r="D52" s="139"/>
      <c r="E52" s="139"/>
      <c r="F52" s="10" t="s">
        <v>6</v>
      </c>
      <c r="G52" s="139"/>
      <c r="H52" s="139"/>
      <c r="I52" s="139"/>
      <c r="J52" s="139"/>
      <c r="K52" s="139"/>
      <c r="L52" s="139"/>
      <c r="M52" s="139"/>
      <c r="N52" s="139"/>
      <c r="O52" s="10" t="s">
        <v>6</v>
      </c>
      <c r="P52" s="139"/>
      <c r="Q52" s="10" t="s">
        <v>6</v>
      </c>
      <c r="R52" s="139"/>
      <c r="S52" s="139"/>
      <c r="T52" s="139"/>
      <c r="U52" s="139"/>
      <c r="V52" s="10" t="s">
        <v>6</v>
      </c>
      <c r="W52" s="139"/>
      <c r="X52" s="139"/>
      <c r="Y52" s="139"/>
      <c r="Z52" s="139"/>
      <c r="AA52" s="10" t="s">
        <v>6</v>
      </c>
      <c r="AB52" s="139"/>
      <c r="AC52" s="10" t="s">
        <v>6</v>
      </c>
      <c r="AD52" s="139"/>
      <c r="AE52" s="139"/>
      <c r="AF52" s="139"/>
      <c r="AG52" s="139"/>
      <c r="AH52" s="139"/>
    </row>
    <row r="53" ht="30.0" customHeight="1">
      <c r="B53" s="135" t="s">
        <v>64</v>
      </c>
      <c r="C53" s="128"/>
      <c r="D53" s="128"/>
      <c r="E53" s="128"/>
      <c r="F53" s="128"/>
      <c r="G53" s="10" t="s">
        <v>6</v>
      </c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</row>
    <row r="54" ht="30.0" customHeight="1">
      <c r="B54" s="138" t="s">
        <v>280</v>
      </c>
      <c r="C54" s="139"/>
      <c r="D54" s="139"/>
      <c r="E54" s="139"/>
      <c r="F54" s="139"/>
      <c r="G54" s="10" t="s">
        <v>6</v>
      </c>
      <c r="H54" s="139"/>
      <c r="I54" s="10" t="s">
        <v>6</v>
      </c>
      <c r="J54" s="139"/>
      <c r="K54" s="139"/>
      <c r="L54" s="139"/>
      <c r="M54" s="139"/>
      <c r="N54" s="139"/>
      <c r="O54" s="139"/>
      <c r="P54" s="10" t="s">
        <v>6</v>
      </c>
      <c r="Q54" s="139"/>
      <c r="R54" s="139"/>
      <c r="S54" s="139"/>
      <c r="T54" s="139"/>
      <c r="U54" s="10" t="s">
        <v>6</v>
      </c>
      <c r="V54" s="139"/>
      <c r="W54" s="139"/>
      <c r="X54" s="139"/>
      <c r="Y54" s="139"/>
      <c r="Z54" s="139"/>
      <c r="AA54" s="139"/>
      <c r="AB54" s="139"/>
      <c r="AC54" s="139"/>
      <c r="AD54" s="10" t="s">
        <v>6</v>
      </c>
      <c r="AE54" s="139"/>
      <c r="AF54" s="139"/>
      <c r="AG54" s="139"/>
      <c r="AH54" s="139"/>
    </row>
    <row r="55" ht="30.0" customHeight="1">
      <c r="B55" s="135" t="s">
        <v>282</v>
      </c>
      <c r="C55" s="128"/>
      <c r="D55" s="128"/>
      <c r="E55" s="128"/>
      <c r="F55" s="128"/>
      <c r="G55" s="10" t="s">
        <v>6</v>
      </c>
      <c r="H55" s="128"/>
      <c r="I55" s="128"/>
      <c r="J55" s="10" t="s">
        <v>6</v>
      </c>
      <c r="K55" s="128"/>
      <c r="L55" s="128"/>
      <c r="M55" s="128"/>
      <c r="N55" s="128"/>
      <c r="O55" s="10" t="s">
        <v>6</v>
      </c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0" t="s">
        <v>6</v>
      </c>
      <c r="AD55" s="128"/>
      <c r="AE55" s="10" t="s">
        <v>6</v>
      </c>
      <c r="AF55" s="128"/>
      <c r="AG55" s="128"/>
      <c r="AH55" s="128"/>
    </row>
    <row r="56" ht="30.0" customHeight="1">
      <c r="B56" s="138" t="s">
        <v>353</v>
      </c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0" t="s">
        <v>6</v>
      </c>
      <c r="P56" s="139"/>
      <c r="Q56" s="139"/>
      <c r="R56" s="10" t="s">
        <v>6</v>
      </c>
      <c r="S56" s="139"/>
      <c r="T56" s="139"/>
      <c r="U56" s="139"/>
      <c r="V56" s="10" t="s">
        <v>6</v>
      </c>
      <c r="W56" s="139"/>
      <c r="X56" s="139"/>
      <c r="Y56" s="10" t="s">
        <v>6</v>
      </c>
      <c r="Z56" s="139"/>
      <c r="AA56" s="139"/>
      <c r="AB56" s="139"/>
      <c r="AC56" s="139"/>
      <c r="AD56" s="139"/>
      <c r="AE56" s="139"/>
      <c r="AF56" s="139"/>
      <c r="AG56" s="139"/>
      <c r="AH56" s="139"/>
    </row>
    <row r="57" ht="30.0" customHeight="1">
      <c r="B57" s="135" t="s">
        <v>354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0" t="s">
        <v>6</v>
      </c>
      <c r="Z57" s="128"/>
      <c r="AA57" s="128"/>
      <c r="AB57" s="128"/>
      <c r="AC57" s="128"/>
      <c r="AD57" s="128"/>
      <c r="AE57" s="128"/>
      <c r="AF57" s="128"/>
      <c r="AG57" s="128"/>
      <c r="AH57" s="128"/>
    </row>
    <row r="58" ht="30.0" customHeight="1">
      <c r="B58" s="138" t="s">
        <v>355</v>
      </c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0" t="s">
        <v>6</v>
      </c>
      <c r="AE58" s="139"/>
      <c r="AF58" s="139"/>
      <c r="AG58" s="139"/>
      <c r="AH58" s="139"/>
    </row>
    <row r="59" ht="30.0" customHeight="1">
      <c r="B59" s="127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</row>
    <row r="60" ht="30.0" customHeight="1">
      <c r="B60" s="140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</row>
    <row r="61" ht="30.0" customHeight="1">
      <c r="B61" s="127" t="str">
        <f>Agosto!MonthName&amp;" Total"</f>
        <v>Agosto Total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</row>
    <row r="62" ht="30.0" customHeight="1"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4"/>
    </row>
    <row r="63" ht="30.0" customHeight="1">
      <c r="B63" s="32" t="s">
        <v>347</v>
      </c>
      <c r="C63" s="80" t="s">
        <v>356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32">
        <f>CalendarioAño</f>
        <v>2025</v>
      </c>
    </row>
    <row r="64" ht="30.0" customHeight="1">
      <c r="B64" s="32"/>
      <c r="C64" s="130" t="str">
        <f>TEXT(WEEKDAY(DATE(CalendarioAño,8,1),1),"ddd")</f>
        <v>vie</v>
      </c>
      <c r="D64" s="130" t="str">
        <f>TEXT(WEEKDAY(DATE(CalendarioAño,8,2),1),"ddd")</f>
        <v>sáb</v>
      </c>
      <c r="E64" s="130" t="str">
        <f>TEXT(WEEKDAY(DATE(CalendarioAño,8,3),1),"ddd")</f>
        <v>dom</v>
      </c>
      <c r="F64" s="130" t="str">
        <f>TEXT(WEEKDAY(DATE(CalendarioAño,8,4),1),"ddd")</f>
        <v>lun</v>
      </c>
      <c r="G64" s="130" t="str">
        <f>TEXT(WEEKDAY(DATE(CalendarioAño,8,5),1),"ddd")</f>
        <v>mar</v>
      </c>
      <c r="H64" s="130" t="str">
        <f>TEXT(WEEKDAY(DATE(CalendarioAño,8,6),1),"ddd")</f>
        <v>mié</v>
      </c>
      <c r="I64" s="130" t="str">
        <f>TEXT(WEEKDAY(DATE(CalendarioAño,8,7),1),"ddd")</f>
        <v>jue</v>
      </c>
      <c r="J64" s="130" t="str">
        <f>TEXT(WEEKDAY(DATE(CalendarioAño,8,8),1),"ddd")</f>
        <v>vie</v>
      </c>
      <c r="K64" s="130" t="str">
        <f>TEXT(WEEKDAY(DATE(CalendarioAño,8,9),1),"ddd")</f>
        <v>sáb</v>
      </c>
      <c r="L64" s="130" t="str">
        <f>TEXT(WEEKDAY(DATE(CalendarioAño,8,10),1),"ddd")</f>
        <v>dom</v>
      </c>
      <c r="M64" s="130" t="str">
        <f>TEXT(WEEKDAY(DATE(CalendarioAño,8,11),1),"ddd")</f>
        <v>lun</v>
      </c>
      <c r="N64" s="130" t="str">
        <f>TEXT(WEEKDAY(DATE(CalendarioAño,8,12),1),"ddd")</f>
        <v>mar</v>
      </c>
      <c r="O64" s="130" t="str">
        <f>TEXT(WEEKDAY(DATE(CalendarioAño,8,13),1),"ddd")</f>
        <v>mié</v>
      </c>
      <c r="P64" s="130" t="str">
        <f>TEXT(WEEKDAY(DATE(CalendarioAño,8,14),1),"ddd")</f>
        <v>jue</v>
      </c>
      <c r="Q64" s="130" t="str">
        <f>TEXT(WEEKDAY(DATE(CalendarioAño,8,15),1),"ddd")</f>
        <v>vie</v>
      </c>
      <c r="R64" s="130" t="str">
        <f>TEXT(WEEKDAY(DATE(CalendarioAño,8,16),1),"ddd")</f>
        <v>sáb</v>
      </c>
      <c r="S64" s="130" t="str">
        <f>TEXT(WEEKDAY(DATE(CalendarioAño,8,17),1),"ddd")</f>
        <v>dom</v>
      </c>
      <c r="T64" s="130" t="str">
        <f>TEXT(WEEKDAY(DATE(CalendarioAño,8,18),1),"ddd")</f>
        <v>lun</v>
      </c>
      <c r="U64" s="130" t="str">
        <f>TEXT(WEEKDAY(DATE(CalendarioAño,8,19),1),"ddd")</f>
        <v>mar</v>
      </c>
      <c r="V64" s="130" t="str">
        <f>TEXT(WEEKDAY(DATE(CalendarioAño,8,20),1),"ddd")</f>
        <v>mié</v>
      </c>
      <c r="W64" s="130" t="str">
        <f>TEXT(WEEKDAY(DATE(CalendarioAño,8,21),1),"ddd")</f>
        <v>jue</v>
      </c>
      <c r="X64" s="130" t="str">
        <f>TEXT(WEEKDAY(DATE(CalendarioAño,8,22),1),"ddd")</f>
        <v>vie</v>
      </c>
      <c r="Y64" s="130" t="str">
        <f>TEXT(WEEKDAY(DATE(CalendarioAño,8,23),1),"ddd")</f>
        <v>sáb</v>
      </c>
      <c r="Z64" s="130" t="str">
        <f>TEXT(WEEKDAY(DATE(CalendarioAño,8,24),1),"ddd")</f>
        <v>dom</v>
      </c>
      <c r="AA64" s="130" t="str">
        <f>TEXT(WEEKDAY(DATE(CalendarioAño,8,25),1),"ddd")</f>
        <v>lun</v>
      </c>
      <c r="AB64" s="130" t="str">
        <f>TEXT(WEEKDAY(DATE(CalendarioAño,8,26),1),"ddd")</f>
        <v>mar</v>
      </c>
      <c r="AC64" s="130" t="str">
        <f>TEXT(WEEKDAY(DATE(CalendarioAño,8,27),1),"ddd")</f>
        <v>mié</v>
      </c>
      <c r="AD64" s="130" t="str">
        <f>TEXT(WEEKDAY(DATE(CalendarioAño,8,28),1),"ddd")</f>
        <v>jue</v>
      </c>
      <c r="AE64" s="130" t="str">
        <f>TEXT(WEEKDAY(DATE(CalendarioAño,8,29),1),"ddd")</f>
        <v>vie</v>
      </c>
      <c r="AF64" s="130" t="str">
        <f>TEXT(WEEKDAY(DATE(CalendarioAño,8,30),1),"ddd")</f>
        <v>sáb</v>
      </c>
      <c r="AG64" s="130" t="str">
        <f>TEXT(WEEKDAY(DATE(CalendarioAño,8,31),1),"ddd")</f>
        <v>dom</v>
      </c>
      <c r="AH64" s="32"/>
    </row>
    <row r="65" ht="30.0" customHeight="1">
      <c r="A65" s="115"/>
      <c r="B65" s="116" t="s">
        <v>202</v>
      </c>
      <c r="C65" s="117" t="s">
        <v>15</v>
      </c>
      <c r="D65" s="117" t="s">
        <v>16</v>
      </c>
      <c r="E65" s="117" t="s">
        <v>17</v>
      </c>
      <c r="F65" s="117" t="s">
        <v>18</v>
      </c>
      <c r="G65" s="117" t="s">
        <v>19</v>
      </c>
      <c r="H65" s="117" t="s">
        <v>20</v>
      </c>
      <c r="I65" s="117" t="s">
        <v>21</v>
      </c>
      <c r="J65" s="117" t="s">
        <v>22</v>
      </c>
      <c r="K65" s="117" t="s">
        <v>23</v>
      </c>
      <c r="L65" s="117" t="s">
        <v>24</v>
      </c>
      <c r="M65" s="117" t="s">
        <v>25</v>
      </c>
      <c r="N65" s="117" t="s">
        <v>26</v>
      </c>
      <c r="O65" s="117" t="s">
        <v>27</v>
      </c>
      <c r="P65" s="117" t="s">
        <v>28</v>
      </c>
      <c r="Q65" s="117" t="s">
        <v>29</v>
      </c>
      <c r="R65" s="117" t="s">
        <v>30</v>
      </c>
      <c r="S65" s="117" t="s">
        <v>31</v>
      </c>
      <c r="T65" s="117" t="s">
        <v>32</v>
      </c>
      <c r="U65" s="117" t="s">
        <v>33</v>
      </c>
      <c r="V65" s="117" t="s">
        <v>34</v>
      </c>
      <c r="W65" s="117" t="s">
        <v>35</v>
      </c>
      <c r="X65" s="117" t="s">
        <v>36</v>
      </c>
      <c r="Y65" s="117" t="s">
        <v>37</v>
      </c>
      <c r="Z65" s="117" t="s">
        <v>38</v>
      </c>
      <c r="AA65" s="117" t="s">
        <v>39</v>
      </c>
      <c r="AB65" s="117" t="s">
        <v>40</v>
      </c>
      <c r="AC65" s="117" t="s">
        <v>41</v>
      </c>
      <c r="AD65" s="117" t="s">
        <v>42</v>
      </c>
      <c r="AE65" s="117" t="s">
        <v>43</v>
      </c>
      <c r="AF65" s="117" t="s">
        <v>44</v>
      </c>
      <c r="AG65" s="117" t="s">
        <v>45</v>
      </c>
      <c r="AH65" s="117" t="s">
        <v>46</v>
      </c>
    </row>
    <row r="66" ht="30.0" customHeight="1">
      <c r="B66" s="129" t="s">
        <v>297</v>
      </c>
      <c r="C66" s="10" t="s">
        <v>6</v>
      </c>
      <c r="D66" s="130"/>
      <c r="E66" s="130"/>
      <c r="F66" s="130"/>
      <c r="G66" s="10" t="s">
        <v>6</v>
      </c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0" t="s">
        <v>6</v>
      </c>
      <c r="V66" s="10" t="s">
        <v>6</v>
      </c>
      <c r="W66" s="130"/>
      <c r="X66" s="130"/>
      <c r="Y66" s="130"/>
      <c r="Z66" s="130"/>
      <c r="AA66" s="130"/>
      <c r="AB66" s="10" t="s">
        <v>6</v>
      </c>
      <c r="AC66" s="10" t="s">
        <v>6</v>
      </c>
      <c r="AD66" s="130"/>
      <c r="AE66" s="130"/>
      <c r="AF66" s="130"/>
      <c r="AG66" s="130"/>
      <c r="AH66" s="131"/>
    </row>
    <row r="67" ht="30.0" customHeight="1">
      <c r="B67" s="132" t="s">
        <v>105</v>
      </c>
      <c r="C67" s="10" t="s">
        <v>6</v>
      </c>
      <c r="D67" s="133"/>
      <c r="E67" s="133"/>
      <c r="F67" s="133"/>
      <c r="G67" s="10" t="s">
        <v>6</v>
      </c>
      <c r="H67" s="133"/>
      <c r="I67" s="133"/>
      <c r="J67" s="10" t="s">
        <v>6</v>
      </c>
      <c r="K67" s="133"/>
      <c r="L67" s="133"/>
      <c r="M67" s="133"/>
      <c r="N67" s="10" t="s">
        <v>6</v>
      </c>
      <c r="O67" s="133"/>
      <c r="P67" s="133"/>
      <c r="Q67" s="133"/>
      <c r="R67" s="133"/>
      <c r="S67" s="133"/>
      <c r="T67" s="10" t="s">
        <v>6</v>
      </c>
      <c r="U67" s="10" t="s">
        <v>6</v>
      </c>
      <c r="V67" s="10" t="s">
        <v>6</v>
      </c>
      <c r="W67" s="133"/>
      <c r="X67" s="10" t="s">
        <v>6</v>
      </c>
      <c r="Y67" s="133"/>
      <c r="Z67" s="133"/>
      <c r="AA67" s="133"/>
      <c r="AB67" s="10" t="s">
        <v>6</v>
      </c>
      <c r="AC67" s="133"/>
      <c r="AD67" s="133"/>
      <c r="AE67" s="133"/>
      <c r="AF67" s="133"/>
      <c r="AG67" s="133"/>
      <c r="AH67" s="134"/>
    </row>
    <row r="68" ht="30.0" customHeight="1">
      <c r="B68" s="129" t="s">
        <v>115</v>
      </c>
      <c r="C68" s="10" t="s">
        <v>6</v>
      </c>
      <c r="D68" s="10" t="s">
        <v>6</v>
      </c>
      <c r="E68" s="130"/>
      <c r="F68" s="130"/>
      <c r="G68" s="130"/>
      <c r="H68" s="130"/>
      <c r="I68" s="10" t="s">
        <v>6</v>
      </c>
      <c r="J68" s="130"/>
      <c r="K68" s="130"/>
      <c r="L68" s="130"/>
      <c r="M68" s="130"/>
      <c r="N68" s="130"/>
      <c r="O68" s="130"/>
      <c r="P68" s="130"/>
      <c r="Q68" s="10" t="s">
        <v>6</v>
      </c>
      <c r="R68" s="10" t="s">
        <v>6</v>
      </c>
      <c r="S68" s="130"/>
      <c r="T68" s="130"/>
      <c r="U68" s="130"/>
      <c r="V68" s="130"/>
      <c r="W68" s="130"/>
      <c r="X68" s="10" t="s">
        <v>6</v>
      </c>
      <c r="Y68" s="10" t="s">
        <v>6</v>
      </c>
      <c r="Z68" s="130"/>
      <c r="AA68" s="130"/>
      <c r="AB68" s="130"/>
      <c r="AC68" s="130"/>
      <c r="AD68" s="130"/>
      <c r="AE68" s="10" t="s">
        <v>6</v>
      </c>
      <c r="AF68" s="130"/>
      <c r="AG68" s="130"/>
      <c r="AH68" s="131"/>
    </row>
    <row r="69" ht="30.0" customHeight="1">
      <c r="B69" s="135" t="s">
        <v>284</v>
      </c>
      <c r="C69" s="133"/>
      <c r="D69" s="10" t="s">
        <v>6</v>
      </c>
      <c r="E69" s="10" t="s">
        <v>6</v>
      </c>
      <c r="F69" s="133"/>
      <c r="G69" s="10" t="s">
        <v>6</v>
      </c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4"/>
    </row>
    <row r="70" ht="30.0" customHeight="1">
      <c r="B70" s="138" t="s">
        <v>222</v>
      </c>
      <c r="C70" s="130"/>
      <c r="D70" s="10" t="s">
        <v>6</v>
      </c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1"/>
    </row>
    <row r="71" ht="30.0" customHeight="1">
      <c r="B71" s="135" t="s">
        <v>283</v>
      </c>
      <c r="C71" s="133"/>
      <c r="D71" s="10" t="s">
        <v>6</v>
      </c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4"/>
    </row>
    <row r="72" ht="30.0" customHeight="1">
      <c r="B72" s="138" t="s">
        <v>295</v>
      </c>
      <c r="C72" s="130"/>
      <c r="D72" s="130"/>
      <c r="E72" s="130"/>
      <c r="F72" s="10" t="s">
        <v>6</v>
      </c>
      <c r="G72" s="130"/>
      <c r="H72" s="130"/>
      <c r="I72" s="130"/>
      <c r="J72" s="130"/>
      <c r="K72" s="130"/>
      <c r="L72" s="130"/>
      <c r="M72" s="10" t="s">
        <v>6</v>
      </c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1"/>
    </row>
    <row r="73" ht="30.0" customHeight="1">
      <c r="B73" s="132" t="s">
        <v>296</v>
      </c>
      <c r="C73" s="133"/>
      <c r="D73" s="133"/>
      <c r="E73" s="133"/>
      <c r="F73" s="10" t="s">
        <v>6</v>
      </c>
      <c r="G73" s="133"/>
      <c r="H73" s="133"/>
      <c r="I73" s="133"/>
      <c r="J73" s="133"/>
      <c r="K73" s="133"/>
      <c r="L73" s="133"/>
      <c r="M73" s="10" t="s">
        <v>6</v>
      </c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4"/>
    </row>
    <row r="74" ht="30.0" customHeight="1">
      <c r="B74" s="138" t="s">
        <v>294</v>
      </c>
      <c r="C74" s="139"/>
      <c r="D74" s="139"/>
      <c r="E74" s="139"/>
      <c r="F74" s="10" t="s">
        <v>6</v>
      </c>
      <c r="G74" s="10" t="s">
        <v>6</v>
      </c>
      <c r="H74" s="139"/>
      <c r="I74" s="139"/>
      <c r="J74" s="10" t="s">
        <v>6</v>
      </c>
      <c r="K74" s="139"/>
      <c r="L74" s="139"/>
      <c r="M74" s="10" t="s">
        <v>6</v>
      </c>
      <c r="N74" s="139"/>
      <c r="O74" s="139"/>
      <c r="P74" s="139"/>
      <c r="Q74" s="139"/>
      <c r="R74" s="139"/>
      <c r="S74" s="139"/>
      <c r="T74" s="10" t="s">
        <v>6</v>
      </c>
      <c r="U74" s="139"/>
      <c r="V74" s="10" t="s">
        <v>6</v>
      </c>
      <c r="W74" s="139"/>
      <c r="X74" s="139"/>
      <c r="Y74" s="139"/>
      <c r="Z74" s="139"/>
      <c r="AA74" s="10" t="s">
        <v>6</v>
      </c>
      <c r="AB74" s="139"/>
      <c r="AC74" s="139"/>
      <c r="AD74" s="139"/>
      <c r="AE74" s="139"/>
      <c r="AF74" s="139"/>
      <c r="AG74" s="139"/>
      <c r="AH74" s="139"/>
    </row>
    <row r="75" ht="30.0" customHeight="1">
      <c r="B75" s="132" t="s">
        <v>227</v>
      </c>
      <c r="C75" s="128"/>
      <c r="D75" s="128"/>
      <c r="E75" s="128"/>
      <c r="F75" s="10" t="s">
        <v>6</v>
      </c>
      <c r="G75" s="128"/>
      <c r="H75" s="128"/>
      <c r="I75" s="128"/>
      <c r="J75" s="128"/>
      <c r="K75" s="10" t="s">
        <v>6</v>
      </c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</row>
    <row r="76" ht="30.0" customHeight="1">
      <c r="B76" s="129" t="s">
        <v>82</v>
      </c>
      <c r="C76" s="139"/>
      <c r="D76" s="139"/>
      <c r="E76" s="139"/>
      <c r="F76" s="10" t="s">
        <v>6</v>
      </c>
      <c r="G76" s="139"/>
      <c r="H76" s="139"/>
      <c r="I76" s="10" t="s">
        <v>6</v>
      </c>
      <c r="J76" s="139"/>
      <c r="K76" s="139"/>
      <c r="L76" s="139"/>
      <c r="M76" s="10" t="s">
        <v>6</v>
      </c>
      <c r="N76" s="139"/>
      <c r="O76" s="139"/>
      <c r="P76" s="139"/>
      <c r="Q76" s="10" t="s">
        <v>6</v>
      </c>
      <c r="R76" s="139"/>
      <c r="S76" s="139"/>
      <c r="T76" s="139"/>
      <c r="U76" s="10" t="s">
        <v>6</v>
      </c>
      <c r="V76" s="139"/>
      <c r="W76" s="139"/>
      <c r="X76" s="10" t="s">
        <v>6</v>
      </c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</row>
    <row r="77" ht="30.0" customHeight="1">
      <c r="B77" s="132" t="s">
        <v>337</v>
      </c>
      <c r="C77" s="128"/>
      <c r="D77" s="128"/>
      <c r="E77" s="128"/>
      <c r="F77" s="128"/>
      <c r="G77" s="10" t="s">
        <v>6</v>
      </c>
      <c r="H77" s="128"/>
      <c r="I77" s="10" t="s">
        <v>6</v>
      </c>
      <c r="J77" s="128"/>
      <c r="K77" s="128"/>
      <c r="L77" s="128"/>
      <c r="M77" s="128"/>
      <c r="N77" s="10" t="s">
        <v>6</v>
      </c>
      <c r="O77" s="128"/>
      <c r="P77" s="10" t="s">
        <v>6</v>
      </c>
      <c r="Q77" s="128"/>
      <c r="R77" s="128"/>
      <c r="S77" s="128"/>
      <c r="T77" s="128"/>
      <c r="U77" s="128"/>
      <c r="V77" s="128"/>
      <c r="W77" s="10" t="s">
        <v>6</v>
      </c>
      <c r="X77" s="128"/>
      <c r="Y77" s="128"/>
      <c r="Z77" s="128"/>
      <c r="AA77" s="128"/>
      <c r="AB77" s="128"/>
      <c r="AC77" s="128"/>
      <c r="AD77" s="10" t="s">
        <v>6</v>
      </c>
      <c r="AE77" s="128"/>
      <c r="AF77" s="128"/>
      <c r="AG77" s="128"/>
      <c r="AH77" s="128"/>
    </row>
    <row r="78" ht="30.0" customHeight="1">
      <c r="B78" s="129" t="s">
        <v>79</v>
      </c>
      <c r="C78" s="139"/>
      <c r="D78" s="139"/>
      <c r="E78" s="139"/>
      <c r="F78" s="139"/>
      <c r="G78" s="139"/>
      <c r="H78" s="139"/>
      <c r="I78" s="10" t="s">
        <v>6</v>
      </c>
      <c r="J78" s="139"/>
      <c r="K78" s="139"/>
      <c r="L78" s="139"/>
      <c r="M78" s="139"/>
      <c r="N78" s="10" t="s">
        <v>6</v>
      </c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0" t="s">
        <v>6</v>
      </c>
      <c r="AE78" s="139"/>
      <c r="AF78" s="139"/>
      <c r="AG78" s="139"/>
      <c r="AH78" s="139"/>
    </row>
    <row r="79" ht="30.0" customHeight="1">
      <c r="B79" s="132" t="s">
        <v>133</v>
      </c>
      <c r="C79" s="128"/>
      <c r="D79" s="128"/>
      <c r="E79" s="128"/>
      <c r="F79" s="128"/>
      <c r="G79" s="128"/>
      <c r="H79" s="128"/>
      <c r="I79" s="128"/>
      <c r="J79" s="10" t="s">
        <v>6</v>
      </c>
      <c r="K79" s="128"/>
      <c r="L79" s="128"/>
      <c r="M79" s="128"/>
      <c r="N79" s="128"/>
      <c r="O79" s="10" t="s">
        <v>6</v>
      </c>
      <c r="P79" s="128"/>
      <c r="Q79" s="10" t="s">
        <v>6</v>
      </c>
      <c r="R79" s="128"/>
      <c r="S79" s="128"/>
      <c r="T79" s="128"/>
      <c r="U79" s="128"/>
      <c r="V79" s="128"/>
      <c r="W79" s="128"/>
      <c r="X79" s="10" t="s">
        <v>6</v>
      </c>
      <c r="Y79" s="128"/>
      <c r="Z79" s="128"/>
      <c r="AA79" s="128"/>
      <c r="AB79" s="128"/>
      <c r="AC79" s="10" t="s">
        <v>6</v>
      </c>
      <c r="AD79" s="128"/>
      <c r="AE79" s="128"/>
      <c r="AF79" s="128"/>
      <c r="AG79" s="128"/>
      <c r="AH79" s="128"/>
    </row>
    <row r="80" ht="30.0" customHeight="1">
      <c r="B80" s="129" t="s">
        <v>357</v>
      </c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0" t="s">
        <v>6</v>
      </c>
      <c r="AB80" s="139"/>
      <c r="AC80" s="10" t="s">
        <v>6</v>
      </c>
      <c r="AD80" s="139"/>
      <c r="AE80" s="139"/>
      <c r="AF80" s="139"/>
      <c r="AG80" s="139"/>
      <c r="AH80" s="139"/>
    </row>
    <row r="81" ht="30.0" customHeight="1">
      <c r="B81" s="132" t="s">
        <v>106</v>
      </c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0" t="s">
        <v>6</v>
      </c>
      <c r="AE81" s="128"/>
      <c r="AF81" s="128"/>
      <c r="AG81" s="128"/>
      <c r="AH81" s="128"/>
    </row>
    <row r="82" ht="30.0" customHeight="1">
      <c r="B82" s="129" t="s">
        <v>278</v>
      </c>
      <c r="C82" s="10" t="s">
        <v>6</v>
      </c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</row>
    <row r="83" ht="30.0" customHeight="1">
      <c r="B83" s="127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</row>
    <row r="84" ht="30.0" customHeight="1">
      <c r="B84" s="140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</row>
    <row r="85" ht="30.0" customHeight="1">
      <c r="B85" s="140" t="str">
        <f>Agosto!MonthName&amp;" Total"</f>
        <v>Agosto Total</v>
      </c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</row>
    <row r="86" ht="30.0" customHeight="1"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31"/>
    </row>
    <row r="87" ht="30.0" customHeight="1">
      <c r="B87" s="32" t="s">
        <v>347</v>
      </c>
      <c r="C87" s="80" t="s">
        <v>338</v>
      </c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4"/>
    </row>
    <row r="88" ht="30.0" customHeight="1">
      <c r="B88" s="32"/>
      <c r="C88" s="130" t="str">
        <f>TEXT(WEEKDAY(DATE(CalendarioAño,8,1),1),"ddd")</f>
        <v>vie</v>
      </c>
      <c r="D88" s="130" t="str">
        <f>TEXT(WEEKDAY(DATE(CalendarioAño,8,2),1),"ddd")</f>
        <v>sáb</v>
      </c>
      <c r="E88" s="130" t="str">
        <f>TEXT(WEEKDAY(DATE(CalendarioAño,8,3),1),"ddd")</f>
        <v>dom</v>
      </c>
      <c r="F88" s="130" t="str">
        <f>TEXT(WEEKDAY(DATE(CalendarioAño,8,4),1),"ddd")</f>
        <v>lun</v>
      </c>
      <c r="G88" s="130" t="str">
        <f>TEXT(WEEKDAY(DATE(CalendarioAño,8,5),1),"ddd")</f>
        <v>mar</v>
      </c>
      <c r="H88" s="130" t="str">
        <f>TEXT(WEEKDAY(DATE(CalendarioAño,8,6),1),"ddd")</f>
        <v>mié</v>
      </c>
      <c r="I88" s="130" t="str">
        <f>TEXT(WEEKDAY(DATE(CalendarioAño,8,7),1),"ddd")</f>
        <v>jue</v>
      </c>
      <c r="J88" s="130" t="str">
        <f>TEXT(WEEKDAY(DATE(CalendarioAño,8,8),1),"ddd")</f>
        <v>vie</v>
      </c>
      <c r="K88" s="130" t="str">
        <f>TEXT(WEEKDAY(DATE(CalendarioAño,8,9),1),"ddd")</f>
        <v>sáb</v>
      </c>
      <c r="L88" s="130" t="str">
        <f>TEXT(WEEKDAY(DATE(CalendarioAño,8,10),1),"ddd")</f>
        <v>dom</v>
      </c>
      <c r="M88" s="130" t="str">
        <f>TEXT(WEEKDAY(DATE(CalendarioAño,8,11),1),"ddd")</f>
        <v>lun</v>
      </c>
      <c r="N88" s="130" t="str">
        <f>TEXT(WEEKDAY(DATE(CalendarioAño,8,12),1),"ddd")</f>
        <v>mar</v>
      </c>
      <c r="O88" s="130" t="str">
        <f>TEXT(WEEKDAY(DATE(CalendarioAño,8,13),1),"ddd")</f>
        <v>mié</v>
      </c>
      <c r="P88" s="130" t="str">
        <f>TEXT(WEEKDAY(DATE(CalendarioAño,8,14),1),"ddd")</f>
        <v>jue</v>
      </c>
      <c r="Q88" s="130" t="str">
        <f>TEXT(WEEKDAY(DATE(CalendarioAño,8,15),1),"ddd")</f>
        <v>vie</v>
      </c>
      <c r="R88" s="130" t="str">
        <f>TEXT(WEEKDAY(DATE(CalendarioAño,8,16),1),"ddd")</f>
        <v>sáb</v>
      </c>
      <c r="S88" s="130" t="str">
        <f>TEXT(WEEKDAY(DATE(CalendarioAño,8,17),1),"ddd")</f>
        <v>dom</v>
      </c>
      <c r="T88" s="130" t="str">
        <f>TEXT(WEEKDAY(DATE(CalendarioAño,8,18),1),"ddd")</f>
        <v>lun</v>
      </c>
      <c r="U88" s="130" t="str">
        <f>TEXT(WEEKDAY(DATE(CalendarioAño,8,19),1),"ddd")</f>
        <v>mar</v>
      </c>
      <c r="V88" s="130" t="str">
        <f>TEXT(WEEKDAY(DATE(CalendarioAño,8,20),1),"ddd")</f>
        <v>mié</v>
      </c>
      <c r="W88" s="130" t="str">
        <f>TEXT(WEEKDAY(DATE(CalendarioAño,8,21),1),"ddd")</f>
        <v>jue</v>
      </c>
      <c r="X88" s="130" t="str">
        <f>TEXT(WEEKDAY(DATE(CalendarioAño,8,22),1),"ddd")</f>
        <v>vie</v>
      </c>
      <c r="Y88" s="130" t="str">
        <f>TEXT(WEEKDAY(DATE(CalendarioAño,8,23),1),"ddd")</f>
        <v>sáb</v>
      </c>
      <c r="Z88" s="130" t="str">
        <f>TEXT(WEEKDAY(DATE(CalendarioAño,8,24),1),"ddd")</f>
        <v>dom</v>
      </c>
      <c r="AA88" s="130" t="str">
        <f>TEXT(WEEKDAY(DATE(CalendarioAño,8,25),1),"ddd")</f>
        <v>lun</v>
      </c>
      <c r="AB88" s="130" t="str">
        <f>TEXT(WEEKDAY(DATE(CalendarioAño,8,26),1),"ddd")</f>
        <v>mar</v>
      </c>
      <c r="AC88" s="130" t="str">
        <f>TEXT(WEEKDAY(DATE(CalendarioAño,8,27),1),"ddd")</f>
        <v>mié</v>
      </c>
      <c r="AD88" s="130" t="str">
        <f>TEXT(WEEKDAY(DATE(CalendarioAño,8,28),1),"ddd")</f>
        <v>jue</v>
      </c>
      <c r="AE88" s="130" t="str">
        <f>TEXT(WEEKDAY(DATE(CalendarioAño,8,29),1),"ddd")</f>
        <v>vie</v>
      </c>
      <c r="AF88" s="130" t="str">
        <f>TEXT(WEEKDAY(DATE(CalendarioAño,8,30),1),"ddd")</f>
        <v>sáb</v>
      </c>
      <c r="AG88" s="130" t="str">
        <f>TEXT(WEEKDAY(DATE(CalendarioAño,8,31),1),"ddd")</f>
        <v>dom</v>
      </c>
      <c r="AH88" s="131"/>
    </row>
    <row r="89" ht="30.0" customHeight="1">
      <c r="A89" s="115"/>
      <c r="B89" s="116" t="s">
        <v>202</v>
      </c>
      <c r="C89" s="117" t="s">
        <v>15</v>
      </c>
      <c r="D89" s="117" t="s">
        <v>16</v>
      </c>
      <c r="E89" s="117" t="s">
        <v>17</v>
      </c>
      <c r="F89" s="117" t="s">
        <v>18</v>
      </c>
      <c r="G89" s="117" t="s">
        <v>19</v>
      </c>
      <c r="H89" s="117" t="s">
        <v>20</v>
      </c>
      <c r="I89" s="117" t="s">
        <v>21</v>
      </c>
      <c r="J89" s="117" t="s">
        <v>22</v>
      </c>
      <c r="K89" s="117" t="s">
        <v>23</v>
      </c>
      <c r="L89" s="117" t="s">
        <v>24</v>
      </c>
      <c r="M89" s="117" t="s">
        <v>25</v>
      </c>
      <c r="N89" s="117" t="s">
        <v>26</v>
      </c>
      <c r="O89" s="117" t="s">
        <v>27</v>
      </c>
      <c r="P89" s="117" t="s">
        <v>28</v>
      </c>
      <c r="Q89" s="117" t="s">
        <v>29</v>
      </c>
      <c r="R89" s="117" t="s">
        <v>30</v>
      </c>
      <c r="S89" s="117" t="s">
        <v>31</v>
      </c>
      <c r="T89" s="117" t="s">
        <v>32</v>
      </c>
      <c r="U89" s="117" t="s">
        <v>33</v>
      </c>
      <c r="V89" s="117" t="s">
        <v>34</v>
      </c>
      <c r="W89" s="117" t="s">
        <v>35</v>
      </c>
      <c r="X89" s="117" t="s">
        <v>36</v>
      </c>
      <c r="Y89" s="117" t="s">
        <v>37</v>
      </c>
      <c r="Z89" s="117" t="s">
        <v>38</v>
      </c>
      <c r="AA89" s="117" t="s">
        <v>39</v>
      </c>
      <c r="AB89" s="117" t="s">
        <v>40</v>
      </c>
      <c r="AC89" s="117" t="s">
        <v>41</v>
      </c>
      <c r="AD89" s="117" t="s">
        <v>42</v>
      </c>
      <c r="AE89" s="117" t="s">
        <v>43</v>
      </c>
      <c r="AF89" s="117" t="s">
        <v>44</v>
      </c>
      <c r="AG89" s="117" t="s">
        <v>45</v>
      </c>
      <c r="AH89" s="134"/>
    </row>
    <row r="90" ht="30.0" customHeight="1">
      <c r="B90" s="129" t="s">
        <v>298</v>
      </c>
      <c r="C90" s="10" t="s">
        <v>6</v>
      </c>
      <c r="D90" s="130"/>
      <c r="E90" s="130"/>
      <c r="F90" s="130"/>
      <c r="G90" s="130"/>
      <c r="H90" s="130"/>
      <c r="I90" s="130"/>
      <c r="J90" s="10" t="s">
        <v>6</v>
      </c>
      <c r="K90" s="10" t="s">
        <v>6</v>
      </c>
      <c r="L90" s="130"/>
      <c r="M90" s="130"/>
      <c r="N90" s="130"/>
      <c r="O90" s="10" t="s">
        <v>6</v>
      </c>
      <c r="P90" s="130"/>
      <c r="Q90" s="10" t="s">
        <v>6</v>
      </c>
      <c r="R90" s="130"/>
      <c r="S90" s="130"/>
      <c r="T90" s="130"/>
      <c r="U90" s="130"/>
      <c r="V90" s="130"/>
      <c r="W90" s="130"/>
      <c r="X90" s="10" t="s">
        <v>6</v>
      </c>
      <c r="Y90" s="10" t="s">
        <v>6</v>
      </c>
      <c r="Z90" s="130"/>
      <c r="AA90" s="130"/>
      <c r="AB90" s="130"/>
      <c r="AC90" s="10" t="s">
        <v>6</v>
      </c>
      <c r="AD90" s="130"/>
      <c r="AE90" s="10" t="s">
        <v>6</v>
      </c>
      <c r="AF90" s="130"/>
      <c r="AG90" s="130"/>
      <c r="AH90" s="131"/>
    </row>
    <row r="91" ht="30.0" customHeight="1">
      <c r="B91" s="132" t="s">
        <v>339</v>
      </c>
      <c r="C91" s="10" t="s">
        <v>6</v>
      </c>
      <c r="D91" s="133"/>
      <c r="E91" s="133"/>
      <c r="F91" s="10" t="s">
        <v>6</v>
      </c>
      <c r="G91" s="133"/>
      <c r="H91" s="133"/>
      <c r="I91" s="10" t="s">
        <v>6</v>
      </c>
      <c r="J91" s="133"/>
      <c r="K91" s="133"/>
      <c r="L91" s="133"/>
      <c r="M91" s="133"/>
      <c r="N91" s="10" t="s">
        <v>6</v>
      </c>
      <c r="O91" s="133"/>
      <c r="P91" s="10" t="s">
        <v>6</v>
      </c>
      <c r="Q91" s="133"/>
      <c r="R91" s="133"/>
      <c r="S91" s="133"/>
      <c r="T91" s="133"/>
      <c r="U91" s="10" t="s">
        <v>6</v>
      </c>
      <c r="V91" s="133"/>
      <c r="W91" s="10" t="s">
        <v>6</v>
      </c>
      <c r="X91" s="133"/>
      <c r="Y91" s="133"/>
      <c r="Z91" s="133"/>
      <c r="AA91" s="133"/>
      <c r="AB91" s="10" t="s">
        <v>6</v>
      </c>
      <c r="AC91" s="133"/>
      <c r="AD91" s="10" t="s">
        <v>6</v>
      </c>
      <c r="AE91" s="133"/>
      <c r="AF91" s="133"/>
      <c r="AG91" s="133"/>
      <c r="AH91" s="134"/>
    </row>
    <row r="92" ht="30.0" customHeight="1">
      <c r="B92" s="129" t="s">
        <v>215</v>
      </c>
      <c r="C92" s="10" t="s">
        <v>6</v>
      </c>
      <c r="D92" s="130"/>
      <c r="E92" s="130"/>
      <c r="F92" s="10" t="s">
        <v>6</v>
      </c>
      <c r="G92" s="130"/>
      <c r="H92" s="130"/>
      <c r="I92" s="130"/>
      <c r="J92" s="10" t="s">
        <v>6</v>
      </c>
      <c r="K92" s="130"/>
      <c r="L92" s="130"/>
      <c r="M92" s="10" t="s">
        <v>6</v>
      </c>
      <c r="N92" s="130"/>
      <c r="O92" s="130"/>
      <c r="P92" s="130"/>
      <c r="Q92" s="10" t="s">
        <v>6</v>
      </c>
      <c r="R92" s="130"/>
      <c r="S92" s="130"/>
      <c r="T92" s="10" t="s">
        <v>6</v>
      </c>
      <c r="U92" s="130"/>
      <c r="V92" s="10" t="s">
        <v>6</v>
      </c>
      <c r="W92" s="130"/>
      <c r="X92" s="130"/>
      <c r="Y92" s="130"/>
      <c r="Z92" s="130"/>
      <c r="AA92" s="10" t="s">
        <v>6</v>
      </c>
      <c r="AB92" s="130"/>
      <c r="AC92" s="10" t="s">
        <v>6</v>
      </c>
      <c r="AD92" s="130"/>
      <c r="AE92" s="130"/>
      <c r="AF92" s="130"/>
      <c r="AG92" s="130"/>
      <c r="AH92" s="131"/>
    </row>
    <row r="93" ht="30.0" customHeight="1">
      <c r="B93" s="135" t="s">
        <v>311</v>
      </c>
      <c r="C93" s="133"/>
      <c r="D93" s="133"/>
      <c r="E93" s="133"/>
      <c r="F93" s="133"/>
      <c r="G93" s="10" t="s">
        <v>6</v>
      </c>
      <c r="H93" s="133"/>
      <c r="I93" s="10" t="s">
        <v>6</v>
      </c>
      <c r="J93" s="133"/>
      <c r="K93" s="133"/>
      <c r="L93" s="133"/>
      <c r="M93" s="133"/>
      <c r="N93" s="133"/>
      <c r="O93" s="133"/>
      <c r="P93" s="10" t="s">
        <v>6</v>
      </c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4"/>
    </row>
    <row r="94" ht="30.0" customHeight="1">
      <c r="B94" s="138" t="s">
        <v>341</v>
      </c>
      <c r="C94" s="130"/>
      <c r="D94" s="130"/>
      <c r="E94" s="130"/>
      <c r="F94" s="130"/>
      <c r="G94" s="10" t="s">
        <v>6</v>
      </c>
      <c r="H94" s="130"/>
      <c r="I94" s="10" t="s">
        <v>6</v>
      </c>
      <c r="J94" s="130"/>
      <c r="K94" s="130"/>
      <c r="L94" s="130"/>
      <c r="M94" s="130"/>
      <c r="N94" s="10" t="s">
        <v>6</v>
      </c>
      <c r="O94" s="130"/>
      <c r="P94" s="10" t="s">
        <v>6</v>
      </c>
      <c r="Q94" s="130"/>
      <c r="R94" s="130"/>
      <c r="S94" s="130"/>
      <c r="T94" s="130"/>
      <c r="U94" s="130"/>
      <c r="V94" s="130"/>
      <c r="W94" s="130"/>
      <c r="X94" s="10" t="s">
        <v>6</v>
      </c>
      <c r="Y94" s="130"/>
      <c r="Z94" s="130"/>
      <c r="AA94" s="130"/>
      <c r="AB94" s="10" t="s">
        <v>6</v>
      </c>
      <c r="AC94" s="130"/>
      <c r="AD94" s="130"/>
      <c r="AE94" s="130"/>
      <c r="AF94" s="130"/>
      <c r="AG94" s="130"/>
      <c r="AH94" s="131"/>
    </row>
    <row r="95" ht="30.0" customHeight="1">
      <c r="B95" s="135" t="s">
        <v>340</v>
      </c>
      <c r="C95" s="133"/>
      <c r="D95" s="133"/>
      <c r="E95" s="133"/>
      <c r="F95" s="133"/>
      <c r="G95" s="10" t="s">
        <v>6</v>
      </c>
      <c r="H95" s="133"/>
      <c r="I95" s="10" t="s">
        <v>6</v>
      </c>
      <c r="J95" s="133"/>
      <c r="K95" s="133"/>
      <c r="L95" s="133"/>
      <c r="M95" s="133"/>
      <c r="N95" s="10" t="s">
        <v>6</v>
      </c>
      <c r="O95" s="133"/>
      <c r="P95" s="10" t="s">
        <v>6</v>
      </c>
      <c r="Q95" s="133"/>
      <c r="R95" s="133"/>
      <c r="S95" s="133"/>
      <c r="T95" s="133"/>
      <c r="U95" s="10" t="s">
        <v>6</v>
      </c>
      <c r="V95" s="133"/>
      <c r="W95" s="133"/>
      <c r="X95" s="10" t="s">
        <v>6</v>
      </c>
      <c r="Y95" s="133"/>
      <c r="Z95" s="133"/>
      <c r="AA95" s="133"/>
      <c r="AB95" s="10" t="s">
        <v>6</v>
      </c>
      <c r="AC95" s="133"/>
      <c r="AD95" s="133"/>
      <c r="AE95" s="10" t="s">
        <v>6</v>
      </c>
      <c r="AF95" s="133"/>
      <c r="AG95" s="133"/>
      <c r="AH95" s="134"/>
    </row>
    <row r="96" ht="30.0" customHeight="1">
      <c r="B96" s="138" t="s">
        <v>302</v>
      </c>
      <c r="C96" s="130"/>
      <c r="D96" s="130"/>
      <c r="E96" s="130"/>
      <c r="F96" s="130"/>
      <c r="G96" s="130"/>
      <c r="H96" s="130"/>
      <c r="I96" s="130"/>
      <c r="J96" s="130"/>
      <c r="K96" s="10" t="s">
        <v>6</v>
      </c>
      <c r="L96" s="130"/>
      <c r="M96" s="130"/>
      <c r="N96" s="130"/>
      <c r="O96" s="130"/>
      <c r="P96" s="130"/>
      <c r="Q96" s="130"/>
      <c r="R96" s="10" t="s">
        <v>6</v>
      </c>
      <c r="S96" s="130"/>
      <c r="T96" s="130"/>
      <c r="U96" s="130"/>
      <c r="V96" s="130"/>
      <c r="W96" s="130"/>
      <c r="X96" s="130"/>
      <c r="Y96" s="10" t="s">
        <v>6</v>
      </c>
      <c r="Z96" s="130"/>
      <c r="AA96" s="130"/>
      <c r="AB96" s="130"/>
      <c r="AC96" s="130"/>
      <c r="AD96" s="130"/>
      <c r="AE96" s="130"/>
      <c r="AF96" s="130"/>
      <c r="AG96" s="130"/>
      <c r="AH96" s="131"/>
    </row>
    <row r="97" ht="30.0" customHeight="1">
      <c r="B97" s="132" t="s">
        <v>308</v>
      </c>
      <c r="C97" s="133"/>
      <c r="D97" s="133"/>
      <c r="E97" s="133"/>
      <c r="F97" s="133"/>
      <c r="G97" s="133"/>
      <c r="H97" s="133"/>
      <c r="I97" s="133"/>
      <c r="J97" s="133"/>
      <c r="K97" s="10" t="s">
        <v>6</v>
      </c>
      <c r="L97" s="133"/>
      <c r="M97" s="133"/>
      <c r="N97" s="133"/>
      <c r="O97" s="133"/>
      <c r="P97" s="133"/>
      <c r="Q97" s="133"/>
      <c r="R97" s="10" t="s">
        <v>6</v>
      </c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4"/>
    </row>
    <row r="98" ht="30.0" customHeight="1">
      <c r="B98" s="138" t="s">
        <v>121</v>
      </c>
      <c r="C98" s="139"/>
      <c r="D98" s="139"/>
      <c r="E98" s="139"/>
      <c r="F98" s="139"/>
      <c r="G98" s="139"/>
      <c r="H98" s="139"/>
      <c r="I98" s="139"/>
      <c r="J98" s="139"/>
      <c r="K98" s="10" t="s">
        <v>6</v>
      </c>
      <c r="L98" s="139"/>
      <c r="M98" s="139"/>
      <c r="N98" s="139"/>
      <c r="O98" s="139"/>
      <c r="P98" s="139"/>
      <c r="Q98" s="139"/>
      <c r="R98" s="10" t="s">
        <v>6</v>
      </c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1"/>
    </row>
    <row r="99" ht="30.0" customHeight="1">
      <c r="B99" s="132" t="s">
        <v>358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0" t="s">
        <v>6</v>
      </c>
      <c r="N99" s="128"/>
      <c r="O99" s="10" t="s">
        <v>6</v>
      </c>
      <c r="P99" s="128"/>
      <c r="Q99" s="128"/>
      <c r="R99" s="10" t="s">
        <v>6</v>
      </c>
      <c r="S99" s="128"/>
      <c r="T99" s="10" t="s">
        <v>6</v>
      </c>
      <c r="U99" s="128"/>
      <c r="V99" s="128"/>
      <c r="W99" s="128"/>
      <c r="X99" s="128"/>
      <c r="Y99" s="10" t="s">
        <v>6</v>
      </c>
      <c r="Z99" s="128"/>
      <c r="AA99" s="10" t="s">
        <v>6</v>
      </c>
      <c r="AB99" s="128"/>
      <c r="AC99" s="128"/>
      <c r="AD99" s="128"/>
      <c r="AE99" s="128"/>
      <c r="AF99" s="128"/>
      <c r="AG99" s="128"/>
      <c r="AH99" s="134"/>
    </row>
    <row r="100" ht="30.0" customHeight="1">
      <c r="B100" s="138" t="s">
        <v>178</v>
      </c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0" t="s">
        <v>6</v>
      </c>
      <c r="P100" s="139"/>
      <c r="Q100" s="139"/>
      <c r="R100" s="139"/>
      <c r="S100" s="139"/>
      <c r="T100" s="139"/>
      <c r="U100" s="139"/>
      <c r="V100" s="139"/>
      <c r="W100" s="139"/>
      <c r="X100" s="139"/>
      <c r="Y100" s="10" t="s">
        <v>6</v>
      </c>
      <c r="Z100" s="139"/>
      <c r="AA100" s="139"/>
      <c r="AB100" s="139"/>
      <c r="AC100" s="10" t="s">
        <v>6</v>
      </c>
      <c r="AD100" s="139"/>
      <c r="AE100" s="139"/>
      <c r="AF100" s="139"/>
      <c r="AG100" s="139"/>
      <c r="AH100" s="131"/>
    </row>
    <row r="101" ht="30.0" customHeight="1">
      <c r="B101" s="135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34"/>
    </row>
    <row r="102" ht="30.0" customHeight="1">
      <c r="B102" s="140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1"/>
    </row>
    <row r="103" ht="30.0" customHeight="1">
      <c r="B103" s="127" t="str">
        <f>Agosto!MonthName&amp;" Total"</f>
        <v>Agosto Total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34"/>
    </row>
    <row r="104" ht="30.0" customHeight="1"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31"/>
    </row>
    <row r="105" ht="30.0" customHeight="1">
      <c r="B105" s="32" t="s">
        <v>347</v>
      </c>
      <c r="C105" s="101" t="s">
        <v>359</v>
      </c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4"/>
    </row>
    <row r="106" ht="30.0" customHeight="1">
      <c r="B106" s="32"/>
      <c r="C106" s="130" t="str">
        <f>TEXT(WEEKDAY(DATE(CalendarioAño,8,1),1),"ddd")</f>
        <v>vie</v>
      </c>
      <c r="D106" s="130" t="str">
        <f>TEXT(WEEKDAY(DATE(CalendarioAño,8,2),1),"ddd")</f>
        <v>sáb</v>
      </c>
      <c r="E106" s="130" t="str">
        <f>TEXT(WEEKDAY(DATE(CalendarioAño,8,3),1),"ddd")</f>
        <v>dom</v>
      </c>
      <c r="F106" s="130" t="str">
        <f>TEXT(WEEKDAY(DATE(CalendarioAño,8,4),1),"ddd")</f>
        <v>lun</v>
      </c>
      <c r="G106" s="130" t="str">
        <f>TEXT(WEEKDAY(DATE(CalendarioAño,8,5),1),"ddd")</f>
        <v>mar</v>
      </c>
      <c r="H106" s="130" t="str">
        <f>TEXT(WEEKDAY(DATE(CalendarioAño,8,6),1),"ddd")</f>
        <v>mié</v>
      </c>
      <c r="I106" s="130" t="str">
        <f>TEXT(WEEKDAY(DATE(CalendarioAño,8,7),1),"ddd")</f>
        <v>jue</v>
      </c>
      <c r="J106" s="130" t="str">
        <f>TEXT(WEEKDAY(DATE(CalendarioAño,8,8),1),"ddd")</f>
        <v>vie</v>
      </c>
      <c r="K106" s="130" t="str">
        <f>TEXT(WEEKDAY(DATE(CalendarioAño,8,9),1),"ddd")</f>
        <v>sáb</v>
      </c>
      <c r="L106" s="130" t="str">
        <f>TEXT(WEEKDAY(DATE(CalendarioAño,8,10),1),"ddd")</f>
        <v>dom</v>
      </c>
      <c r="M106" s="130" t="str">
        <f>TEXT(WEEKDAY(DATE(CalendarioAño,8,11),1),"ddd")</f>
        <v>lun</v>
      </c>
      <c r="N106" s="130" t="str">
        <f>TEXT(WEEKDAY(DATE(CalendarioAño,8,12),1),"ddd")</f>
        <v>mar</v>
      </c>
      <c r="O106" s="130" t="str">
        <f>TEXT(WEEKDAY(DATE(CalendarioAño,8,13),1),"ddd")</f>
        <v>mié</v>
      </c>
      <c r="P106" s="130" t="str">
        <f>TEXT(WEEKDAY(DATE(CalendarioAño,8,14),1),"ddd")</f>
        <v>jue</v>
      </c>
      <c r="Q106" s="130" t="str">
        <f>TEXT(WEEKDAY(DATE(CalendarioAño,8,15),1),"ddd")</f>
        <v>vie</v>
      </c>
      <c r="R106" s="130" t="str">
        <f>TEXT(WEEKDAY(DATE(CalendarioAño,8,16),1),"ddd")</f>
        <v>sáb</v>
      </c>
      <c r="S106" s="130" t="str">
        <f>TEXT(WEEKDAY(DATE(CalendarioAño,8,17),1),"ddd")</f>
        <v>dom</v>
      </c>
      <c r="T106" s="130" t="str">
        <f>TEXT(WEEKDAY(DATE(CalendarioAño,8,18),1),"ddd")</f>
        <v>lun</v>
      </c>
      <c r="U106" s="130" t="str">
        <f>TEXT(WEEKDAY(DATE(CalendarioAño,8,19),1),"ddd")</f>
        <v>mar</v>
      </c>
      <c r="V106" s="130" t="str">
        <f>TEXT(WEEKDAY(DATE(CalendarioAño,8,20),1),"ddd")</f>
        <v>mié</v>
      </c>
      <c r="W106" s="130" t="str">
        <f>TEXT(WEEKDAY(DATE(CalendarioAño,8,21),1),"ddd")</f>
        <v>jue</v>
      </c>
      <c r="X106" s="130" t="str">
        <f>TEXT(WEEKDAY(DATE(CalendarioAño,8,22),1),"ddd")</f>
        <v>vie</v>
      </c>
      <c r="Y106" s="130" t="str">
        <f>TEXT(WEEKDAY(DATE(CalendarioAño,8,23),1),"ddd")</f>
        <v>sáb</v>
      </c>
      <c r="Z106" s="130" t="str">
        <f>TEXT(WEEKDAY(DATE(CalendarioAño,8,24),1),"ddd")</f>
        <v>dom</v>
      </c>
      <c r="AA106" s="130" t="str">
        <f>TEXT(WEEKDAY(DATE(CalendarioAño,8,25),1),"ddd")</f>
        <v>lun</v>
      </c>
      <c r="AB106" s="130" t="str">
        <f>TEXT(WEEKDAY(DATE(CalendarioAño,8,26),1),"ddd")</f>
        <v>mar</v>
      </c>
      <c r="AC106" s="130" t="str">
        <f>TEXT(WEEKDAY(DATE(CalendarioAño,8,27),1),"ddd")</f>
        <v>mié</v>
      </c>
      <c r="AD106" s="130" t="str">
        <f>TEXT(WEEKDAY(DATE(CalendarioAño,8,28),1),"ddd")</f>
        <v>jue</v>
      </c>
      <c r="AE106" s="130" t="str">
        <f>TEXT(WEEKDAY(DATE(CalendarioAño,8,29),1),"ddd")</f>
        <v>vie</v>
      </c>
      <c r="AF106" s="130" t="str">
        <f>TEXT(WEEKDAY(DATE(CalendarioAño,8,30),1),"ddd")</f>
        <v>sáb</v>
      </c>
      <c r="AG106" s="130" t="str">
        <f>TEXT(WEEKDAY(DATE(CalendarioAño,8,31),1),"ddd")</f>
        <v>dom</v>
      </c>
      <c r="AH106" s="131"/>
    </row>
    <row r="107" ht="30.0" customHeight="1">
      <c r="A107" s="115"/>
      <c r="B107" s="116" t="s">
        <v>202</v>
      </c>
      <c r="C107" s="117" t="s">
        <v>15</v>
      </c>
      <c r="D107" s="117" t="s">
        <v>16</v>
      </c>
      <c r="E107" s="117" t="s">
        <v>17</v>
      </c>
      <c r="F107" s="117" t="s">
        <v>18</v>
      </c>
      <c r="G107" s="117" t="s">
        <v>19</v>
      </c>
      <c r="H107" s="117" t="s">
        <v>20</v>
      </c>
      <c r="I107" s="117" t="s">
        <v>21</v>
      </c>
      <c r="J107" s="117" t="s">
        <v>22</v>
      </c>
      <c r="K107" s="117" t="s">
        <v>23</v>
      </c>
      <c r="L107" s="117" t="s">
        <v>24</v>
      </c>
      <c r="M107" s="117" t="s">
        <v>25</v>
      </c>
      <c r="N107" s="117" t="s">
        <v>26</v>
      </c>
      <c r="O107" s="117" t="s">
        <v>27</v>
      </c>
      <c r="P107" s="117" t="s">
        <v>28</v>
      </c>
      <c r="Q107" s="117" t="s">
        <v>29</v>
      </c>
      <c r="R107" s="117" t="s">
        <v>30</v>
      </c>
      <c r="S107" s="117" t="s">
        <v>31</v>
      </c>
      <c r="T107" s="117" t="s">
        <v>32</v>
      </c>
      <c r="U107" s="117" t="s">
        <v>33</v>
      </c>
      <c r="V107" s="117" t="s">
        <v>34</v>
      </c>
      <c r="W107" s="117" t="s">
        <v>35</v>
      </c>
      <c r="X107" s="117" t="s">
        <v>36</v>
      </c>
      <c r="Y107" s="117" t="s">
        <v>37</v>
      </c>
      <c r="Z107" s="117" t="s">
        <v>38</v>
      </c>
      <c r="AA107" s="117" t="s">
        <v>39</v>
      </c>
      <c r="AB107" s="117" t="s">
        <v>40</v>
      </c>
      <c r="AC107" s="117" t="s">
        <v>41</v>
      </c>
      <c r="AD107" s="117" t="s">
        <v>42</v>
      </c>
      <c r="AE107" s="117" t="s">
        <v>43</v>
      </c>
      <c r="AF107" s="117" t="s">
        <v>44</v>
      </c>
      <c r="AG107" s="117" t="s">
        <v>45</v>
      </c>
      <c r="AH107" s="134"/>
    </row>
    <row r="108" ht="30.0" customHeight="1">
      <c r="B108" s="129" t="s">
        <v>316</v>
      </c>
      <c r="C108" s="10" t="s">
        <v>6</v>
      </c>
      <c r="D108" s="10" t="s">
        <v>6</v>
      </c>
      <c r="E108" s="130"/>
      <c r="F108" s="130"/>
      <c r="G108" s="130"/>
      <c r="H108" s="130"/>
      <c r="I108" s="130"/>
      <c r="J108" s="10" t="s">
        <v>6</v>
      </c>
      <c r="K108" s="130"/>
      <c r="L108" s="130"/>
      <c r="M108" s="130"/>
      <c r="N108" s="130"/>
      <c r="O108" s="130"/>
      <c r="P108" s="130"/>
      <c r="Q108" s="130"/>
      <c r="R108" s="130"/>
      <c r="S108" s="130"/>
      <c r="T108" s="10" t="s">
        <v>6</v>
      </c>
      <c r="U108" s="130"/>
      <c r="V108" s="10" t="s">
        <v>6</v>
      </c>
      <c r="W108" s="10" t="s">
        <v>6</v>
      </c>
      <c r="X108" s="10" t="s">
        <v>6</v>
      </c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1"/>
    </row>
    <row r="109" ht="30.0" customHeight="1">
      <c r="B109" s="132" t="s">
        <v>187</v>
      </c>
      <c r="C109" s="133"/>
      <c r="D109" s="10" t="s">
        <v>6</v>
      </c>
      <c r="E109" s="133"/>
      <c r="F109" s="133"/>
      <c r="G109" s="133"/>
      <c r="H109" s="133"/>
      <c r="I109" s="133"/>
      <c r="J109" s="133"/>
      <c r="K109" s="10" t="s">
        <v>6</v>
      </c>
      <c r="L109" s="133"/>
      <c r="M109" s="133"/>
      <c r="N109" s="133"/>
      <c r="O109" s="133"/>
      <c r="P109" s="133"/>
      <c r="Q109" s="133"/>
      <c r="R109" s="10" t="s">
        <v>6</v>
      </c>
      <c r="S109" s="133"/>
      <c r="T109" s="133"/>
      <c r="U109" s="133"/>
      <c r="V109" s="133"/>
      <c r="W109" s="133"/>
      <c r="X109" s="133"/>
      <c r="Y109" s="10" t="s">
        <v>6</v>
      </c>
      <c r="Z109" s="133"/>
      <c r="AA109" s="133"/>
      <c r="AB109" s="133"/>
      <c r="AC109" s="133"/>
      <c r="AD109" s="133"/>
      <c r="AE109" s="133"/>
      <c r="AF109" s="133"/>
      <c r="AG109" s="133"/>
      <c r="AH109" s="134"/>
    </row>
    <row r="110" ht="30.0" customHeight="1">
      <c r="B110" s="129" t="s">
        <v>309</v>
      </c>
      <c r="C110" s="130"/>
      <c r="D110" s="130"/>
      <c r="E110" s="130"/>
      <c r="F110" s="10" t="s">
        <v>6</v>
      </c>
      <c r="G110" s="10" t="s">
        <v>6</v>
      </c>
      <c r="H110" s="130"/>
      <c r="I110" s="10" t="s">
        <v>6</v>
      </c>
      <c r="J110" s="130"/>
      <c r="K110" s="130"/>
      <c r="L110" s="130"/>
      <c r="M110" s="130"/>
      <c r="N110" s="10" t="s">
        <v>6</v>
      </c>
      <c r="O110" s="130"/>
      <c r="P110" s="10" t="s">
        <v>6</v>
      </c>
      <c r="Q110" s="130"/>
      <c r="R110" s="130"/>
      <c r="S110" s="130"/>
      <c r="T110" s="130"/>
      <c r="U110" s="130"/>
      <c r="V110" s="130"/>
      <c r="W110" s="10" t="s">
        <v>6</v>
      </c>
      <c r="X110" s="130"/>
      <c r="Y110" s="130"/>
      <c r="Z110" s="130"/>
      <c r="AA110" s="10" t="s">
        <v>6</v>
      </c>
      <c r="AB110" s="130"/>
      <c r="AC110" s="130"/>
      <c r="AD110" s="10" t="s">
        <v>6</v>
      </c>
      <c r="AE110" s="130"/>
      <c r="AF110" s="130"/>
      <c r="AG110" s="130"/>
      <c r="AH110" s="131"/>
    </row>
    <row r="111" ht="30.0" customHeight="1">
      <c r="B111" s="135" t="s">
        <v>307</v>
      </c>
      <c r="C111" s="133"/>
      <c r="D111" s="133"/>
      <c r="E111" s="133"/>
      <c r="F111" s="10" t="s">
        <v>6</v>
      </c>
      <c r="G111" s="133"/>
      <c r="H111" s="133"/>
      <c r="I111" s="10" t="s">
        <v>6</v>
      </c>
      <c r="J111" s="133"/>
      <c r="K111" s="133"/>
      <c r="L111" s="133"/>
      <c r="M111" s="10" t="s">
        <v>6</v>
      </c>
      <c r="N111" s="133"/>
      <c r="O111" s="10" t="s">
        <v>6</v>
      </c>
      <c r="P111" s="133"/>
      <c r="Q111" s="133"/>
      <c r="R111" s="133"/>
      <c r="S111" s="133"/>
      <c r="T111" s="10" t="s">
        <v>6</v>
      </c>
      <c r="U111" s="133"/>
      <c r="V111" s="10" t="s">
        <v>6</v>
      </c>
      <c r="W111" s="133"/>
      <c r="X111" s="133"/>
      <c r="Y111" s="133"/>
      <c r="Z111" s="133"/>
      <c r="AA111" s="133"/>
      <c r="AB111" s="133"/>
      <c r="AC111" s="10" t="s">
        <v>6</v>
      </c>
      <c r="AD111" s="133"/>
      <c r="AE111" s="133"/>
      <c r="AF111" s="133"/>
      <c r="AG111" s="133"/>
      <c r="AH111" s="134"/>
    </row>
    <row r="112" ht="30.0" customHeight="1">
      <c r="B112" s="138" t="s">
        <v>251</v>
      </c>
      <c r="C112" s="130"/>
      <c r="D112" s="130"/>
      <c r="E112" s="130"/>
      <c r="F112" s="130"/>
      <c r="G112" s="10" t="s">
        <v>6</v>
      </c>
      <c r="H112" s="130"/>
      <c r="I112" s="10" t="s">
        <v>6</v>
      </c>
      <c r="J112" s="130"/>
      <c r="K112" s="130"/>
      <c r="L112" s="130"/>
      <c r="M112" s="10" t="s">
        <v>6</v>
      </c>
      <c r="N112" s="130"/>
      <c r="O112" s="130"/>
      <c r="P112" s="10" t="s">
        <v>6</v>
      </c>
      <c r="Q112" s="130"/>
      <c r="R112" s="130"/>
      <c r="S112" s="130"/>
      <c r="T112" s="10" t="s">
        <v>6</v>
      </c>
      <c r="U112" s="130"/>
      <c r="V112" s="130"/>
      <c r="W112" s="130"/>
      <c r="X112" s="10" t="s">
        <v>6</v>
      </c>
      <c r="Y112" s="130"/>
      <c r="Z112" s="130"/>
      <c r="AA112" s="10" t="s">
        <v>6</v>
      </c>
      <c r="AB112" s="130"/>
      <c r="AC112" s="10" t="s">
        <v>6</v>
      </c>
      <c r="AD112" s="130"/>
      <c r="AE112" s="130"/>
      <c r="AF112" s="130"/>
      <c r="AG112" s="130"/>
      <c r="AH112" s="146"/>
    </row>
    <row r="113" ht="30.0" customHeight="1">
      <c r="B113" s="135" t="s">
        <v>184</v>
      </c>
      <c r="C113" s="133"/>
      <c r="D113" s="133"/>
      <c r="E113" s="133"/>
      <c r="F113" s="133"/>
      <c r="G113" s="10" t="s">
        <v>6</v>
      </c>
      <c r="H113" s="133"/>
      <c r="I113" s="133"/>
      <c r="J113" s="10" t="s">
        <v>6</v>
      </c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0" t="s">
        <v>6</v>
      </c>
      <c r="AC113" s="133"/>
      <c r="AD113" s="10" t="s">
        <v>6</v>
      </c>
      <c r="AE113" s="133"/>
      <c r="AF113" s="133"/>
      <c r="AG113" s="133"/>
      <c r="AH113" s="147"/>
    </row>
    <row r="114" ht="30.0" customHeight="1">
      <c r="B114" s="138" t="s">
        <v>318</v>
      </c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0" t="s">
        <v>6</v>
      </c>
      <c r="N114" s="10" t="s">
        <v>6</v>
      </c>
      <c r="O114" s="10" t="s">
        <v>6</v>
      </c>
      <c r="P114" s="10" t="s">
        <v>6</v>
      </c>
      <c r="Q114" s="130"/>
      <c r="R114" s="130"/>
      <c r="S114" s="130"/>
      <c r="T114" s="10" t="s">
        <v>6</v>
      </c>
      <c r="U114" s="10" t="s">
        <v>6</v>
      </c>
      <c r="V114" s="130"/>
      <c r="W114" s="130"/>
      <c r="X114" s="130"/>
      <c r="Y114" s="130"/>
      <c r="Z114" s="130"/>
      <c r="AA114" s="130"/>
      <c r="AB114" s="10" t="s">
        <v>6</v>
      </c>
      <c r="AC114" s="130"/>
      <c r="AD114" s="10" t="s">
        <v>6</v>
      </c>
      <c r="AE114" s="130"/>
      <c r="AF114" s="130"/>
      <c r="AG114" s="130"/>
      <c r="AH114" s="146"/>
    </row>
    <row r="115" ht="30.0" customHeight="1">
      <c r="B115" s="132" t="s">
        <v>360</v>
      </c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0" t="s">
        <v>6</v>
      </c>
      <c r="O115" s="133"/>
      <c r="P115" s="10" t="s">
        <v>6</v>
      </c>
      <c r="Q115" s="133"/>
      <c r="R115" s="133"/>
      <c r="S115" s="133"/>
      <c r="T115" s="133"/>
      <c r="U115" s="10" t="s">
        <v>6</v>
      </c>
      <c r="V115" s="133"/>
      <c r="W115" s="10" t="s">
        <v>6</v>
      </c>
      <c r="X115" s="133"/>
      <c r="Y115" s="133"/>
      <c r="Z115" s="133"/>
      <c r="AA115" s="133"/>
      <c r="AB115" s="10" t="s">
        <v>6</v>
      </c>
      <c r="AC115" s="133"/>
      <c r="AD115" s="10" t="s">
        <v>6</v>
      </c>
      <c r="AE115" s="133"/>
      <c r="AF115" s="133"/>
      <c r="AG115" s="133"/>
      <c r="AH115" s="147"/>
    </row>
    <row r="116" ht="30.0" customHeight="1">
      <c r="B116" s="138" t="s">
        <v>361</v>
      </c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0" t="s">
        <v>6</v>
      </c>
      <c r="V116" s="139"/>
      <c r="W116" s="10" t="s">
        <v>6</v>
      </c>
      <c r="X116" s="139"/>
      <c r="Y116" s="139"/>
      <c r="Z116" s="139"/>
      <c r="AA116" s="139"/>
      <c r="AB116" s="10" t="s">
        <v>6</v>
      </c>
      <c r="AC116" s="139"/>
      <c r="AD116" s="139"/>
      <c r="AE116" s="139"/>
      <c r="AF116" s="139"/>
      <c r="AG116" s="139"/>
      <c r="AH116" s="131"/>
    </row>
    <row r="117" ht="30.0" customHeight="1">
      <c r="B117" s="132" t="s">
        <v>362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0" t="s">
        <v>6</v>
      </c>
      <c r="V117" s="128"/>
      <c r="W117" s="128"/>
      <c r="X117" s="128"/>
      <c r="Y117" s="128"/>
      <c r="Z117" s="128"/>
      <c r="AA117" s="128"/>
      <c r="AB117" s="10" t="s">
        <v>6</v>
      </c>
      <c r="AC117" s="128"/>
      <c r="AD117" s="128"/>
      <c r="AE117" s="128"/>
      <c r="AF117" s="128"/>
      <c r="AG117" s="128"/>
      <c r="AH117" s="134"/>
    </row>
    <row r="118" ht="30.0" customHeight="1">
      <c r="B118" s="138" t="s">
        <v>344</v>
      </c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0" t="s">
        <v>6</v>
      </c>
      <c r="AC118" s="139"/>
      <c r="AD118" s="139"/>
      <c r="AE118" s="139"/>
      <c r="AF118" s="139"/>
      <c r="AG118" s="139"/>
      <c r="AH118" s="131"/>
    </row>
    <row r="119" ht="30.0" customHeight="1">
      <c r="B119" s="132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34"/>
    </row>
    <row r="120" ht="30.0" customHeight="1">
      <c r="B120" s="140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1"/>
    </row>
    <row r="121" ht="30.0" customHeight="1">
      <c r="B121" s="127" t="str">
        <f>Agosto!MonthName&amp;" Total"</f>
        <v>Agosto Total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34"/>
    </row>
    <row r="122" ht="30.0" customHeight="1">
      <c r="B122" s="14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  <c r="AD122" s="148"/>
      <c r="AE122" s="148"/>
      <c r="AF122" s="148"/>
      <c r="AG122" s="148"/>
      <c r="AH122" s="131"/>
    </row>
    <row r="123" ht="30.0" customHeight="1">
      <c r="B123" s="32" t="s">
        <v>347</v>
      </c>
      <c r="C123" s="101" t="s">
        <v>345</v>
      </c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4"/>
    </row>
    <row r="124" ht="30.0" customHeight="1">
      <c r="B124" s="32"/>
      <c r="C124" s="130" t="str">
        <f>TEXT(WEEKDAY(DATE(CalendarioAño,8,1),1),"ddd")</f>
        <v>vie</v>
      </c>
      <c r="D124" s="130" t="str">
        <f>TEXT(WEEKDAY(DATE(CalendarioAño,8,2),1),"ddd")</f>
        <v>sáb</v>
      </c>
      <c r="E124" s="130" t="str">
        <f>TEXT(WEEKDAY(DATE(CalendarioAño,8,3),1),"ddd")</f>
        <v>dom</v>
      </c>
      <c r="F124" s="130" t="str">
        <f>TEXT(WEEKDAY(DATE(CalendarioAño,8,4),1),"ddd")</f>
        <v>lun</v>
      </c>
      <c r="G124" s="130" t="str">
        <f>TEXT(WEEKDAY(DATE(CalendarioAño,8,5),1),"ddd")</f>
        <v>mar</v>
      </c>
      <c r="H124" s="130" t="str">
        <f>TEXT(WEEKDAY(DATE(CalendarioAño,8,6),1),"ddd")</f>
        <v>mié</v>
      </c>
      <c r="I124" s="130" t="str">
        <f>TEXT(WEEKDAY(DATE(CalendarioAño,8,7),1),"ddd")</f>
        <v>jue</v>
      </c>
      <c r="J124" s="130" t="str">
        <f>TEXT(WEEKDAY(DATE(CalendarioAño,8,8),1),"ddd")</f>
        <v>vie</v>
      </c>
      <c r="K124" s="130" t="str">
        <f>TEXT(WEEKDAY(DATE(CalendarioAño,8,9),1),"ddd")</f>
        <v>sáb</v>
      </c>
      <c r="L124" s="130" t="str">
        <f>TEXT(WEEKDAY(DATE(CalendarioAño,8,10),1),"ddd")</f>
        <v>dom</v>
      </c>
      <c r="M124" s="130" t="str">
        <f>TEXT(WEEKDAY(DATE(CalendarioAño,8,11),1),"ddd")</f>
        <v>lun</v>
      </c>
      <c r="N124" s="130" t="str">
        <f>TEXT(WEEKDAY(DATE(CalendarioAño,8,12),1),"ddd")</f>
        <v>mar</v>
      </c>
      <c r="O124" s="130" t="str">
        <f>TEXT(WEEKDAY(DATE(CalendarioAño,8,13),1),"ddd")</f>
        <v>mié</v>
      </c>
      <c r="P124" s="130" t="str">
        <f>TEXT(WEEKDAY(DATE(CalendarioAño,8,14),1),"ddd")</f>
        <v>jue</v>
      </c>
      <c r="Q124" s="130" t="str">
        <f>TEXT(WEEKDAY(DATE(CalendarioAño,8,15),1),"ddd")</f>
        <v>vie</v>
      </c>
      <c r="R124" s="130" t="str">
        <f>TEXT(WEEKDAY(DATE(CalendarioAño,8,16),1),"ddd")</f>
        <v>sáb</v>
      </c>
      <c r="S124" s="130" t="str">
        <f>TEXT(WEEKDAY(DATE(CalendarioAño,8,17),1),"ddd")</f>
        <v>dom</v>
      </c>
      <c r="T124" s="130" t="str">
        <f>TEXT(WEEKDAY(DATE(CalendarioAño,8,18),1),"ddd")</f>
        <v>lun</v>
      </c>
      <c r="U124" s="130" t="str">
        <f>TEXT(WEEKDAY(DATE(CalendarioAño,8,19),1),"ddd")</f>
        <v>mar</v>
      </c>
      <c r="V124" s="130" t="str">
        <f>TEXT(WEEKDAY(DATE(CalendarioAño,8,20),1),"ddd")</f>
        <v>mié</v>
      </c>
      <c r="W124" s="130" t="str">
        <f>TEXT(WEEKDAY(DATE(CalendarioAño,8,21),1),"ddd")</f>
        <v>jue</v>
      </c>
      <c r="X124" s="130" t="str">
        <f>TEXT(WEEKDAY(DATE(CalendarioAño,8,22),1),"ddd")</f>
        <v>vie</v>
      </c>
      <c r="Y124" s="130" t="str">
        <f>TEXT(WEEKDAY(DATE(CalendarioAño,8,23),1),"ddd")</f>
        <v>sáb</v>
      </c>
      <c r="Z124" s="130" t="str">
        <f>TEXT(WEEKDAY(DATE(CalendarioAño,8,24),1),"ddd")</f>
        <v>dom</v>
      </c>
      <c r="AA124" s="130" t="str">
        <f>TEXT(WEEKDAY(DATE(CalendarioAño,8,25),1),"ddd")</f>
        <v>lun</v>
      </c>
      <c r="AB124" s="130" t="str">
        <f>TEXT(WEEKDAY(DATE(CalendarioAño,8,26),1),"ddd")</f>
        <v>mar</v>
      </c>
      <c r="AC124" s="130" t="str">
        <f>TEXT(WEEKDAY(DATE(CalendarioAño,8,27),1),"ddd")</f>
        <v>mié</v>
      </c>
      <c r="AD124" s="130" t="str">
        <f>TEXT(WEEKDAY(DATE(CalendarioAño,8,28),1),"ddd")</f>
        <v>jue</v>
      </c>
      <c r="AE124" s="130" t="str">
        <f>TEXT(WEEKDAY(DATE(CalendarioAño,8,29),1),"ddd")</f>
        <v>vie</v>
      </c>
      <c r="AF124" s="130" t="str">
        <f>TEXT(WEEKDAY(DATE(CalendarioAño,8,30),1),"ddd")</f>
        <v>sáb</v>
      </c>
      <c r="AG124" s="130" t="str">
        <f>TEXT(WEEKDAY(DATE(CalendarioAño,8,31),1),"ddd")</f>
        <v>dom</v>
      </c>
      <c r="AH124" s="131"/>
    </row>
    <row r="125" ht="30.0" customHeight="1">
      <c r="A125" s="115"/>
      <c r="B125" s="116" t="s">
        <v>202</v>
      </c>
      <c r="C125" s="117" t="s">
        <v>15</v>
      </c>
      <c r="D125" s="117" t="s">
        <v>16</v>
      </c>
      <c r="E125" s="117" t="s">
        <v>17</v>
      </c>
      <c r="F125" s="117" t="s">
        <v>18</v>
      </c>
      <c r="G125" s="117" t="s">
        <v>19</v>
      </c>
      <c r="H125" s="117" t="s">
        <v>20</v>
      </c>
      <c r="I125" s="117" t="s">
        <v>21</v>
      </c>
      <c r="J125" s="117" t="s">
        <v>22</v>
      </c>
      <c r="K125" s="117" t="s">
        <v>23</v>
      </c>
      <c r="L125" s="117" t="s">
        <v>24</v>
      </c>
      <c r="M125" s="117" t="s">
        <v>25</v>
      </c>
      <c r="N125" s="117" t="s">
        <v>26</v>
      </c>
      <c r="O125" s="117" t="s">
        <v>27</v>
      </c>
      <c r="P125" s="117" t="s">
        <v>28</v>
      </c>
      <c r="Q125" s="117" t="s">
        <v>29</v>
      </c>
      <c r="R125" s="117" t="s">
        <v>30</v>
      </c>
      <c r="S125" s="117" t="s">
        <v>31</v>
      </c>
      <c r="T125" s="117" t="s">
        <v>32</v>
      </c>
      <c r="U125" s="117" t="s">
        <v>33</v>
      </c>
      <c r="V125" s="117" t="s">
        <v>34</v>
      </c>
      <c r="W125" s="117" t="s">
        <v>35</v>
      </c>
      <c r="X125" s="117" t="s">
        <v>36</v>
      </c>
      <c r="Y125" s="117" t="s">
        <v>37</v>
      </c>
      <c r="Z125" s="117" t="s">
        <v>38</v>
      </c>
      <c r="AA125" s="117" t="s">
        <v>39</v>
      </c>
      <c r="AB125" s="117" t="s">
        <v>40</v>
      </c>
      <c r="AC125" s="117" t="s">
        <v>41</v>
      </c>
      <c r="AD125" s="117" t="s">
        <v>42</v>
      </c>
      <c r="AE125" s="117" t="s">
        <v>43</v>
      </c>
      <c r="AF125" s="117" t="s">
        <v>44</v>
      </c>
      <c r="AG125" s="117" t="s">
        <v>45</v>
      </c>
      <c r="AH125" s="128"/>
    </row>
    <row r="126" ht="30.0" customHeight="1">
      <c r="B126" s="129" t="s">
        <v>324</v>
      </c>
      <c r="C126" s="10" t="s">
        <v>6</v>
      </c>
      <c r="D126" s="130"/>
      <c r="E126" s="130"/>
      <c r="F126" s="10" t="s">
        <v>6</v>
      </c>
      <c r="G126" s="130"/>
      <c r="H126" s="130"/>
      <c r="I126" s="130"/>
      <c r="J126" s="10" t="s">
        <v>6</v>
      </c>
      <c r="K126" s="130"/>
      <c r="L126" s="130"/>
      <c r="M126" s="130"/>
      <c r="N126" s="130"/>
      <c r="O126" s="130"/>
      <c r="P126" s="130"/>
      <c r="Q126" s="10" t="s">
        <v>6</v>
      </c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49"/>
    </row>
    <row r="127" ht="30.0" customHeight="1">
      <c r="B127" s="132" t="s">
        <v>322</v>
      </c>
      <c r="C127" s="10" t="s">
        <v>6</v>
      </c>
      <c r="D127" s="133"/>
      <c r="E127" s="133"/>
      <c r="F127" s="10" t="s">
        <v>6</v>
      </c>
      <c r="G127" s="133"/>
      <c r="H127" s="133"/>
      <c r="I127" s="133"/>
      <c r="J127" s="10" t="s">
        <v>6</v>
      </c>
      <c r="K127" s="133"/>
      <c r="L127" s="133"/>
      <c r="M127" s="133"/>
      <c r="N127" s="133"/>
      <c r="O127" s="133"/>
      <c r="P127" s="133"/>
      <c r="Q127" s="10" t="s">
        <v>6</v>
      </c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50"/>
    </row>
    <row r="128" ht="30.0" customHeight="1">
      <c r="B128" s="129" t="s">
        <v>343</v>
      </c>
      <c r="C128" s="10" t="s">
        <v>6</v>
      </c>
      <c r="D128" s="130"/>
      <c r="E128" s="130"/>
      <c r="F128" s="130"/>
      <c r="G128" s="130"/>
      <c r="H128" s="130"/>
      <c r="I128" s="130"/>
      <c r="J128" s="10" t="s">
        <v>6</v>
      </c>
      <c r="K128" s="130"/>
      <c r="L128" s="130"/>
      <c r="M128" s="130"/>
      <c r="N128" s="130"/>
      <c r="O128" s="10" t="s">
        <v>6</v>
      </c>
      <c r="P128" s="130"/>
      <c r="Q128" s="10" t="s">
        <v>6</v>
      </c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0" t="s">
        <v>6</v>
      </c>
      <c r="AD128" s="130"/>
      <c r="AE128" s="10" t="s">
        <v>6</v>
      </c>
      <c r="AF128" s="130"/>
      <c r="AG128" s="130"/>
      <c r="AH128" s="151"/>
    </row>
    <row r="129" ht="30.0" customHeight="1">
      <c r="B129" s="135" t="s">
        <v>323</v>
      </c>
      <c r="C129" s="133"/>
      <c r="D129" s="10" t="s">
        <v>6</v>
      </c>
      <c r="E129" s="133"/>
      <c r="F129" s="10" t="s">
        <v>6</v>
      </c>
      <c r="G129" s="133"/>
      <c r="H129" s="133"/>
      <c r="I129" s="133"/>
      <c r="J129" s="133"/>
      <c r="K129" s="10" t="s">
        <v>6</v>
      </c>
      <c r="L129" s="133"/>
      <c r="M129" s="10" t="s">
        <v>6</v>
      </c>
      <c r="N129" s="133"/>
      <c r="O129" s="10" t="s">
        <v>6</v>
      </c>
      <c r="P129" s="133"/>
      <c r="Q129" s="133"/>
      <c r="R129" s="10" t="s">
        <v>6</v>
      </c>
      <c r="S129" s="133"/>
      <c r="T129" s="133"/>
      <c r="U129" s="133"/>
      <c r="V129" s="10" t="s">
        <v>6</v>
      </c>
      <c r="W129" s="133"/>
      <c r="X129" s="133"/>
      <c r="Y129" s="10" t="s">
        <v>6</v>
      </c>
      <c r="Z129" s="133"/>
      <c r="AA129" s="133"/>
      <c r="AB129" s="133"/>
      <c r="AC129" s="10" t="s">
        <v>6</v>
      </c>
      <c r="AD129" s="133"/>
      <c r="AE129" s="133"/>
      <c r="AF129" s="133"/>
      <c r="AG129" s="133"/>
      <c r="AH129" s="133"/>
    </row>
    <row r="130" ht="30.0" customHeight="1">
      <c r="B130" s="129" t="s">
        <v>255</v>
      </c>
      <c r="C130" s="130"/>
      <c r="D130" s="130"/>
      <c r="E130" s="130"/>
      <c r="F130" s="10" t="s">
        <v>6</v>
      </c>
      <c r="G130" s="130"/>
      <c r="H130" s="130"/>
      <c r="I130" s="130"/>
      <c r="J130" s="10" t="s">
        <v>6</v>
      </c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1"/>
    </row>
    <row r="131" ht="30.0" customHeight="1">
      <c r="B131" s="135" t="s">
        <v>321</v>
      </c>
      <c r="C131" s="128"/>
      <c r="D131" s="128"/>
      <c r="E131" s="128"/>
      <c r="F131" s="10" t="s">
        <v>6</v>
      </c>
      <c r="G131" s="128"/>
      <c r="H131" s="128"/>
      <c r="I131" s="128"/>
      <c r="J131" s="10" t="s">
        <v>6</v>
      </c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34"/>
    </row>
    <row r="132" ht="30.0" customHeight="1">
      <c r="B132" s="129" t="s">
        <v>189</v>
      </c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0" t="s">
        <v>6</v>
      </c>
      <c r="N132" s="139"/>
      <c r="O132" s="10" t="s">
        <v>6</v>
      </c>
      <c r="P132" s="139"/>
      <c r="Q132" s="139"/>
      <c r="R132" s="139"/>
      <c r="S132" s="139"/>
      <c r="T132" s="10" t="s">
        <v>6</v>
      </c>
      <c r="U132" s="139"/>
      <c r="V132" s="139"/>
      <c r="W132" s="139"/>
      <c r="X132" s="10" t="s">
        <v>6</v>
      </c>
      <c r="Y132" s="139"/>
      <c r="Z132" s="139"/>
      <c r="AA132" s="10" t="s">
        <v>6</v>
      </c>
      <c r="AB132" s="139"/>
      <c r="AC132" s="139"/>
      <c r="AD132" s="139"/>
      <c r="AE132" s="10" t="s">
        <v>6</v>
      </c>
      <c r="AF132" s="139"/>
      <c r="AG132" s="139"/>
      <c r="AH132" s="131"/>
    </row>
    <row r="133" ht="30.0" customHeight="1">
      <c r="B133" s="135" t="s">
        <v>147</v>
      </c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0" t="s">
        <v>6</v>
      </c>
      <c r="Z133" s="128"/>
      <c r="AA133" s="128"/>
      <c r="AB133" s="128"/>
      <c r="AC133" s="128"/>
      <c r="AD133" s="128"/>
      <c r="AE133" s="128"/>
      <c r="AF133" s="128"/>
      <c r="AG133" s="128"/>
      <c r="AH133" s="134"/>
    </row>
    <row r="134" ht="30.0" customHeight="1">
      <c r="B134" s="140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1"/>
    </row>
    <row r="135" ht="30.0" customHeight="1"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34"/>
    </row>
    <row r="136" ht="30.0" customHeight="1">
      <c r="B136" s="140" t="str">
        <f>Agosto!MonthName&amp;" Total"</f>
        <v>Agosto Total</v>
      </c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1"/>
    </row>
    <row r="137" ht="30.0" customHeight="1">
      <c r="B137" s="14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8"/>
      <c r="AE137" s="148"/>
      <c r="AF137" s="148"/>
      <c r="AG137" s="148"/>
      <c r="AH137" s="134"/>
    </row>
    <row r="138" ht="30.0" customHeight="1">
      <c r="B138" s="32" t="s">
        <v>347</v>
      </c>
      <c r="C138" s="101" t="s">
        <v>346</v>
      </c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31"/>
    </row>
    <row r="139" ht="30.0" customHeight="1">
      <c r="B139" s="32"/>
      <c r="C139" s="133" t="str">
        <f>TEXT(WEEKDAY(DATE(CalendarioAño,8,1),1),"ddd")</f>
        <v>vie</v>
      </c>
      <c r="D139" s="133" t="str">
        <f>TEXT(WEEKDAY(DATE(CalendarioAño,8,2),1),"ddd")</f>
        <v>sáb</v>
      </c>
      <c r="E139" s="133" t="str">
        <f>TEXT(WEEKDAY(DATE(CalendarioAño,8,3),1),"ddd")</f>
        <v>dom</v>
      </c>
      <c r="F139" s="133" t="str">
        <f>TEXT(WEEKDAY(DATE(CalendarioAño,8,4),1),"ddd")</f>
        <v>lun</v>
      </c>
      <c r="G139" s="133" t="str">
        <f>TEXT(WEEKDAY(DATE(CalendarioAño,8,5),1),"ddd")</f>
        <v>mar</v>
      </c>
      <c r="H139" s="133" t="str">
        <f>TEXT(WEEKDAY(DATE(CalendarioAño,8,6),1),"ddd")</f>
        <v>mié</v>
      </c>
      <c r="I139" s="133" t="str">
        <f>TEXT(WEEKDAY(DATE(CalendarioAño,8,7),1),"ddd")</f>
        <v>jue</v>
      </c>
      <c r="J139" s="133" t="str">
        <f>TEXT(WEEKDAY(DATE(CalendarioAño,8,8),1),"ddd")</f>
        <v>vie</v>
      </c>
      <c r="K139" s="133" t="str">
        <f>TEXT(WEEKDAY(DATE(CalendarioAño,8,9),1),"ddd")</f>
        <v>sáb</v>
      </c>
      <c r="L139" s="133" t="str">
        <f>TEXT(WEEKDAY(DATE(CalendarioAño,8,10),1),"ddd")</f>
        <v>dom</v>
      </c>
      <c r="M139" s="133" t="str">
        <f>TEXT(WEEKDAY(DATE(CalendarioAño,8,11),1),"ddd")</f>
        <v>lun</v>
      </c>
      <c r="N139" s="133" t="str">
        <f>TEXT(WEEKDAY(DATE(CalendarioAño,8,12),1),"ddd")</f>
        <v>mar</v>
      </c>
      <c r="O139" s="133" t="str">
        <f>TEXT(WEEKDAY(DATE(CalendarioAño,8,13),1),"ddd")</f>
        <v>mié</v>
      </c>
      <c r="P139" s="133" t="str">
        <f>TEXT(WEEKDAY(DATE(CalendarioAño,8,14),1),"ddd")</f>
        <v>jue</v>
      </c>
      <c r="Q139" s="133" t="str">
        <f>TEXT(WEEKDAY(DATE(CalendarioAño,8,15),1),"ddd")</f>
        <v>vie</v>
      </c>
      <c r="R139" s="133" t="str">
        <f>TEXT(WEEKDAY(DATE(CalendarioAño,8,16),1),"ddd")</f>
        <v>sáb</v>
      </c>
      <c r="S139" s="133" t="str">
        <f>TEXT(WEEKDAY(DATE(CalendarioAño,8,17),1),"ddd")</f>
        <v>dom</v>
      </c>
      <c r="T139" s="133" t="str">
        <f>TEXT(WEEKDAY(DATE(CalendarioAño,8,18),1),"ddd")</f>
        <v>lun</v>
      </c>
      <c r="U139" s="133" t="str">
        <f>TEXT(WEEKDAY(DATE(CalendarioAño,8,19),1),"ddd")</f>
        <v>mar</v>
      </c>
      <c r="V139" s="133" t="str">
        <f>TEXT(WEEKDAY(DATE(CalendarioAño,8,20),1),"ddd")</f>
        <v>mié</v>
      </c>
      <c r="W139" s="133" t="str">
        <f>TEXT(WEEKDAY(DATE(CalendarioAño,8,21),1),"ddd")</f>
        <v>jue</v>
      </c>
      <c r="X139" s="133" t="str">
        <f>TEXT(WEEKDAY(DATE(CalendarioAño,8,22),1),"ddd")</f>
        <v>vie</v>
      </c>
      <c r="Y139" s="133" t="str">
        <f>TEXT(WEEKDAY(DATE(CalendarioAño,8,23),1),"ddd")</f>
        <v>sáb</v>
      </c>
      <c r="Z139" s="133" t="str">
        <f>TEXT(WEEKDAY(DATE(CalendarioAño,8,24),1),"ddd")</f>
        <v>dom</v>
      </c>
      <c r="AA139" s="133" t="str">
        <f>TEXT(WEEKDAY(DATE(CalendarioAño,8,25),1),"ddd")</f>
        <v>lun</v>
      </c>
      <c r="AB139" s="133" t="str">
        <f>TEXT(WEEKDAY(DATE(CalendarioAño,8,26),1),"ddd")</f>
        <v>mar</v>
      </c>
      <c r="AC139" s="133" t="str">
        <f>TEXT(WEEKDAY(DATE(CalendarioAño,8,27),1),"ddd")</f>
        <v>mié</v>
      </c>
      <c r="AD139" s="133" t="str">
        <f>TEXT(WEEKDAY(DATE(CalendarioAño,8,28),1),"ddd")</f>
        <v>jue</v>
      </c>
      <c r="AE139" s="133" t="str">
        <f>TEXT(WEEKDAY(DATE(CalendarioAño,8,29),1),"ddd")</f>
        <v>vie</v>
      </c>
      <c r="AF139" s="133" t="str">
        <f>TEXT(WEEKDAY(DATE(CalendarioAño,8,30),1),"ddd")</f>
        <v>sáb</v>
      </c>
      <c r="AG139" s="133" t="str">
        <f>TEXT(WEEKDAY(DATE(CalendarioAño,8,31),1),"ddd")</f>
        <v>dom</v>
      </c>
      <c r="AH139" s="134"/>
    </row>
    <row r="140" ht="30.0" customHeight="1">
      <c r="A140" s="115"/>
      <c r="B140" s="116" t="s">
        <v>202</v>
      </c>
      <c r="C140" s="117" t="s">
        <v>15</v>
      </c>
      <c r="D140" s="117" t="s">
        <v>16</v>
      </c>
      <c r="E140" s="117" t="s">
        <v>17</v>
      </c>
      <c r="F140" s="117" t="s">
        <v>18</v>
      </c>
      <c r="G140" s="117" t="s">
        <v>19</v>
      </c>
      <c r="H140" s="117" t="s">
        <v>20</v>
      </c>
      <c r="I140" s="117" t="s">
        <v>21</v>
      </c>
      <c r="J140" s="117" t="s">
        <v>22</v>
      </c>
      <c r="K140" s="117" t="s">
        <v>23</v>
      </c>
      <c r="L140" s="117" t="s">
        <v>24</v>
      </c>
      <c r="M140" s="117" t="s">
        <v>25</v>
      </c>
      <c r="N140" s="117" t="s">
        <v>26</v>
      </c>
      <c r="O140" s="117" t="s">
        <v>27</v>
      </c>
      <c r="P140" s="117" t="s">
        <v>28</v>
      </c>
      <c r="Q140" s="117" t="s">
        <v>29</v>
      </c>
      <c r="R140" s="117" t="s">
        <v>30</v>
      </c>
      <c r="S140" s="117" t="s">
        <v>31</v>
      </c>
      <c r="T140" s="117" t="s">
        <v>32</v>
      </c>
      <c r="U140" s="117" t="s">
        <v>33</v>
      </c>
      <c r="V140" s="117" t="s">
        <v>34</v>
      </c>
      <c r="W140" s="117" t="s">
        <v>35</v>
      </c>
      <c r="X140" s="117" t="s">
        <v>36</v>
      </c>
      <c r="Y140" s="117" t="s">
        <v>37</v>
      </c>
      <c r="Z140" s="117" t="s">
        <v>38</v>
      </c>
      <c r="AA140" s="117" t="s">
        <v>39</v>
      </c>
      <c r="AB140" s="117" t="s">
        <v>40</v>
      </c>
      <c r="AC140" s="117" t="s">
        <v>41</v>
      </c>
      <c r="AD140" s="117" t="s">
        <v>42</v>
      </c>
      <c r="AE140" s="117" t="s">
        <v>43</v>
      </c>
      <c r="AF140" s="117" t="s">
        <v>44</v>
      </c>
      <c r="AG140" s="117" t="s">
        <v>45</v>
      </c>
      <c r="AH140" s="131"/>
    </row>
    <row r="141" ht="30.0" customHeight="1">
      <c r="B141" s="132" t="s">
        <v>326</v>
      </c>
      <c r="C141" s="133"/>
      <c r="D141" s="133"/>
      <c r="E141" s="133"/>
      <c r="F141" s="133"/>
      <c r="G141" s="133"/>
      <c r="H141" s="133"/>
      <c r="I141" s="10" t="s">
        <v>6</v>
      </c>
      <c r="J141" s="133"/>
      <c r="K141" s="10" t="s">
        <v>6</v>
      </c>
      <c r="L141" s="133"/>
      <c r="M141" s="133"/>
      <c r="N141" s="10" t="s">
        <v>6</v>
      </c>
      <c r="O141" s="133"/>
      <c r="P141" s="10" t="s">
        <v>6</v>
      </c>
      <c r="Q141" s="133"/>
      <c r="R141" s="133"/>
      <c r="S141" s="133"/>
      <c r="T141" s="133"/>
      <c r="U141" s="133"/>
      <c r="V141" s="133"/>
      <c r="W141" s="10" t="s">
        <v>6</v>
      </c>
      <c r="X141" s="133"/>
      <c r="Y141" s="133"/>
      <c r="Z141" s="133"/>
      <c r="AA141" s="133"/>
      <c r="AB141" s="10" t="s">
        <v>6</v>
      </c>
      <c r="AC141" s="133"/>
      <c r="AD141" s="10" t="s">
        <v>6</v>
      </c>
      <c r="AE141" s="133"/>
      <c r="AF141" s="133"/>
      <c r="AG141" s="133"/>
      <c r="AH141" s="134"/>
    </row>
    <row r="142" ht="30.0" customHeight="1">
      <c r="B142" s="129" t="s">
        <v>327</v>
      </c>
      <c r="C142" s="130"/>
      <c r="D142" s="130"/>
      <c r="E142" s="130"/>
      <c r="F142" s="130"/>
      <c r="G142" s="130"/>
      <c r="H142" s="130"/>
      <c r="I142" s="10" t="s">
        <v>6</v>
      </c>
      <c r="J142" s="130"/>
      <c r="K142" s="130"/>
      <c r="L142" s="130"/>
      <c r="M142" s="130"/>
      <c r="N142" s="10" t="s">
        <v>6</v>
      </c>
      <c r="O142" s="130"/>
      <c r="P142" s="130"/>
      <c r="Q142" s="130"/>
      <c r="R142" s="130"/>
      <c r="S142" s="130"/>
      <c r="T142" s="130"/>
      <c r="U142" s="10" t="s">
        <v>6</v>
      </c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1"/>
    </row>
    <row r="143" ht="30.0" customHeight="1">
      <c r="B143" s="152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4"/>
    </row>
    <row r="144" ht="30.0" customHeight="1">
      <c r="B144" s="136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1"/>
    </row>
    <row r="145" ht="30.0" customHeight="1">
      <c r="B145" s="152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4"/>
    </row>
    <row r="146" ht="30.0" customHeight="1">
      <c r="B146" s="140" t="str">
        <f>Agosto!MonthName&amp;" Total"</f>
        <v>Agosto Total</v>
      </c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1"/>
    </row>
    <row r="147" ht="30.0" customHeight="1">
      <c r="B147" s="136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4"/>
    </row>
    <row r="148" ht="30.0" customHeight="1">
      <c r="B148" s="136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1"/>
    </row>
    <row r="149" ht="30.0" customHeight="1">
      <c r="B149" s="136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4"/>
    </row>
    <row r="150" ht="30.0" customHeight="1">
      <c r="B150" s="136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1"/>
    </row>
    <row r="151" ht="30.0" customHeight="1">
      <c r="B151" s="136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4"/>
    </row>
    <row r="152" ht="30.0" customHeight="1">
      <c r="B152" s="136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1"/>
    </row>
    <row r="153" ht="30.0" customHeight="1">
      <c r="B153" s="136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4"/>
    </row>
    <row r="154" ht="30.0" customHeight="1">
      <c r="B154" s="136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1"/>
    </row>
    <row r="155" ht="30.0" customHeight="1">
      <c r="B155" s="136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4"/>
    </row>
    <row r="156" ht="30.0" customHeight="1">
      <c r="B156" s="140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53"/>
    </row>
    <row r="157" ht="30.0" customHeight="1"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</row>
    <row r="158" ht="30.0" customHeight="1">
      <c r="B158" s="155"/>
      <c r="C158" s="156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32"/>
    </row>
    <row r="159" ht="30.0" customHeight="1">
      <c r="B159" s="155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32"/>
    </row>
    <row r="160" ht="30.0" customHeight="1">
      <c r="B160" s="157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58"/>
    </row>
    <row r="161" ht="30.0" customHeight="1">
      <c r="B161" s="136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25"/>
    </row>
    <row r="162" ht="30.0" customHeight="1">
      <c r="B162" s="136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25"/>
    </row>
    <row r="163" ht="30.0" customHeight="1">
      <c r="B163" s="136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25"/>
    </row>
    <row r="164" ht="30.0" customHeight="1">
      <c r="B164" s="136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25"/>
    </row>
    <row r="165" ht="30.0" customHeight="1">
      <c r="B165" s="136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25"/>
    </row>
    <row r="166" ht="30.0" customHeight="1">
      <c r="B166" s="136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25"/>
    </row>
    <row r="167" ht="30.0" customHeight="1">
      <c r="B167" s="140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27"/>
    </row>
    <row r="168" ht="30.0" customHeight="1"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</row>
    <row r="169" ht="30.0" customHeight="1">
      <c r="B169" s="155"/>
      <c r="C169" s="156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32"/>
    </row>
    <row r="170" ht="30.0" customHeight="1">
      <c r="B170" s="155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32"/>
    </row>
    <row r="171" ht="30.0" customHeight="1">
      <c r="B171" s="157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58"/>
    </row>
    <row r="172" ht="30.0" customHeight="1">
      <c r="B172" s="136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25"/>
    </row>
    <row r="173" ht="30.0" customHeight="1">
      <c r="B173" s="136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25"/>
    </row>
    <row r="174" ht="30.0" customHeight="1">
      <c r="B174" s="136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25"/>
    </row>
    <row r="175" ht="30.0" customHeight="1">
      <c r="B175" s="136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25"/>
    </row>
    <row r="176" ht="30.0" customHeight="1">
      <c r="B176" s="136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25"/>
    </row>
    <row r="177" ht="30.0" customHeight="1">
      <c r="B177" s="140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27"/>
    </row>
    <row r="178" ht="30.0" customHeight="1"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</row>
    <row r="179" ht="30.0" customHeight="1">
      <c r="B179" s="155"/>
      <c r="C179" s="156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32"/>
    </row>
    <row r="180" ht="30.0" customHeight="1">
      <c r="B180" s="155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32"/>
    </row>
    <row r="181" ht="30.0" customHeight="1">
      <c r="B181" s="157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58"/>
    </row>
    <row r="182" ht="30.0" customHeight="1">
      <c r="B182" s="136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25"/>
    </row>
    <row r="183" ht="30.0" customHeight="1">
      <c r="B183" s="136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25"/>
    </row>
    <row r="184" ht="30.0" customHeight="1">
      <c r="B184" s="136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25"/>
    </row>
    <row r="185" ht="30.0" customHeight="1">
      <c r="B185" s="136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25"/>
    </row>
    <row r="186" ht="30.0" customHeight="1">
      <c r="B186" s="136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25"/>
    </row>
    <row r="187" ht="30.0" customHeight="1">
      <c r="B187" s="140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27"/>
    </row>
    <row r="188" ht="30.0" customHeight="1"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</row>
    <row r="189" ht="30.0" customHeight="1">
      <c r="B189" s="155"/>
      <c r="C189" s="156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32"/>
    </row>
    <row r="190" ht="30.0" customHeight="1">
      <c r="B190" s="155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32"/>
    </row>
    <row r="191" ht="30.0" customHeight="1">
      <c r="B191" s="157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58"/>
    </row>
    <row r="192" ht="30.0" customHeight="1">
      <c r="B192" s="136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25"/>
    </row>
    <row r="193" ht="30.0" customHeight="1">
      <c r="B193" s="136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25"/>
    </row>
    <row r="194" ht="30.0" customHeight="1">
      <c r="B194" s="136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25"/>
    </row>
    <row r="195" ht="30.0" customHeight="1">
      <c r="B195" s="136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25"/>
    </row>
    <row r="196" ht="30.0" customHeight="1">
      <c r="B196" s="136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25"/>
    </row>
    <row r="197" ht="30.0" customHeight="1">
      <c r="B197" s="140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27"/>
    </row>
    <row r="198" ht="30.0" customHeight="1"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</row>
    <row r="199" ht="30.0" customHeight="1"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</row>
    <row r="200" ht="30.0" customHeight="1"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</row>
    <row r="201" ht="30.0" customHeight="1"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</row>
    <row r="202" ht="30.0" customHeight="1"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</row>
    <row r="203" ht="30.0" customHeight="1"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</row>
    <row r="204" ht="30.0" customHeight="1"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</row>
    <row r="205" ht="30.0" customHeight="1"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</row>
    <row r="206" ht="30.0" customHeight="1"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</row>
    <row r="207" ht="30.0" customHeight="1"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</row>
    <row r="208" ht="30.0" customHeight="1"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</row>
    <row r="209" ht="30.0" customHeight="1"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</row>
    <row r="210" ht="30.0" customHeight="1"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</row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  <row r="1023" ht="30.0" customHeight="1"/>
    <row r="1024" ht="30.0" customHeight="1"/>
    <row r="1025" ht="30.0" customHeight="1"/>
    <row r="1026" ht="30.0" customHeight="1"/>
    <row r="1027" ht="30.0" customHeight="1"/>
    <row r="1028" ht="30.0" customHeight="1"/>
    <row r="1029" ht="30.0" customHeight="1"/>
    <row r="1030" ht="30.0" customHeight="1"/>
    <row r="1031" ht="30.0" customHeight="1"/>
    <row r="1032" ht="30.0" customHeight="1"/>
    <row r="1033" ht="30.0" customHeight="1"/>
    <row r="1034" ht="30.0" customHeight="1"/>
    <row r="1035" ht="30.0" customHeight="1"/>
    <row r="1036" ht="30.0" customHeight="1"/>
    <row r="1037" ht="30.0" customHeight="1"/>
    <row r="1038" ht="30.0" customHeight="1"/>
    <row r="1039" ht="30.0" customHeight="1"/>
    <row r="1040" ht="30.0" customHeight="1"/>
    <row r="1041" ht="30.0" customHeight="1"/>
    <row r="1042" ht="30.0" customHeight="1"/>
    <row r="1043" ht="30.0" customHeight="1"/>
    <row r="1044" ht="30.0" customHeight="1"/>
    <row r="1045" ht="30.0" customHeight="1"/>
    <row r="1046" ht="30.0" customHeight="1"/>
    <row r="1047" ht="30.0" customHeight="1"/>
    <row r="1048" ht="30.0" customHeight="1"/>
    <row r="1049" ht="30.0" customHeight="1"/>
    <row r="1050" ht="30.0" customHeight="1"/>
    <row r="1051" ht="30.0" customHeight="1"/>
    <row r="1052" ht="30.0" customHeight="1"/>
    <row r="1053" ht="30.0" customHeight="1"/>
    <row r="1054" ht="30.0" customHeight="1"/>
    <row r="1055" ht="30.0" customHeight="1"/>
    <row r="1056" ht="30.0" customHeight="1"/>
    <row r="1057" ht="30.0" customHeight="1"/>
    <row r="1058" ht="30.0" customHeight="1"/>
    <row r="1059" ht="30.0" customHeight="1"/>
    <row r="1060" ht="30.0" customHeight="1"/>
    <row r="1061" ht="30.0" customHeight="1"/>
    <row r="1062" ht="30.0" customHeight="1"/>
    <row r="1063" ht="30.0" customHeight="1"/>
    <row r="1064" ht="30.0" customHeight="1"/>
    <row r="1065" ht="30.0" customHeight="1"/>
    <row r="1066" ht="30.0" customHeight="1"/>
    <row r="1067" ht="30.0" customHeight="1"/>
    <row r="1068" ht="30.0" customHeight="1"/>
    <row r="1069" ht="30.0" customHeight="1"/>
    <row r="1070" ht="30.0" customHeight="1"/>
    <row r="1071" ht="30.0" customHeight="1"/>
    <row r="1072" ht="30.0" customHeight="1"/>
    <row r="1073" ht="30.0" customHeight="1"/>
    <row r="1074" ht="30.0" customHeight="1"/>
    <row r="1075" ht="30.0" customHeight="1"/>
    <row r="1076" ht="30.0" customHeight="1"/>
    <row r="1077" ht="30.0" customHeight="1"/>
    <row r="1078" ht="30.0" customHeight="1"/>
    <row r="1079" ht="30.0" customHeight="1"/>
    <row r="1080" ht="30.0" customHeight="1"/>
    <row r="1081" ht="30.0" customHeight="1"/>
    <row r="1082" ht="30.0" customHeight="1"/>
    <row r="1083" ht="30.0" customHeight="1"/>
    <row r="1084" ht="30.0" customHeight="1"/>
    <row r="1085" ht="30.0" customHeight="1"/>
    <row r="1086" ht="30.0" customHeight="1"/>
    <row r="1087" ht="30.0" customHeight="1"/>
    <row r="1088" ht="30.0" customHeight="1"/>
    <row r="1089" ht="30.0" customHeight="1"/>
    <row r="1090" ht="30.0" customHeight="1"/>
    <row r="1091" ht="30.0" customHeight="1"/>
    <row r="1092" ht="30.0" customHeight="1"/>
    <row r="1093" ht="30.0" customHeight="1"/>
    <row r="1094" ht="30.0" customHeight="1"/>
    <row r="1095" ht="30.0" customHeight="1"/>
    <row r="1096" ht="30.0" customHeight="1"/>
    <row r="1097" ht="30.0" customHeight="1"/>
    <row r="1098" ht="30.0" customHeight="1"/>
    <row r="1099" ht="30.0" customHeight="1"/>
    <row r="1100" ht="30.0" customHeight="1"/>
    <row r="1101" ht="30.0" customHeight="1"/>
    <row r="1102" ht="30.0" customHeight="1"/>
    <row r="1103" ht="30.0" customHeight="1"/>
    <row r="1104" ht="30.0" customHeight="1"/>
    <row r="1105" ht="30.0" customHeight="1"/>
    <row r="1106" ht="30.0" customHeight="1"/>
    <row r="1107" ht="30.0" customHeight="1"/>
    <row r="1108" ht="30.0" customHeight="1"/>
    <row r="1109" ht="30.0" customHeight="1"/>
    <row r="1110" ht="30.0" customHeight="1"/>
    <row r="1111" ht="30.0" customHeight="1"/>
    <row r="1112" ht="30.0" customHeight="1"/>
    <row r="1113" ht="30.0" customHeight="1"/>
    <row r="1114" ht="30.0" customHeight="1"/>
    <row r="1115" ht="30.0" customHeight="1"/>
  </sheetData>
  <mergeCells count="19">
    <mergeCell ref="B1:N1"/>
    <mergeCell ref="D2:F2"/>
    <mergeCell ref="H2:J2"/>
    <mergeCell ref="L2:N2"/>
    <mergeCell ref="P2:S2"/>
    <mergeCell ref="U2:X2"/>
    <mergeCell ref="C4:AG4"/>
    <mergeCell ref="C138:AG138"/>
    <mergeCell ref="C158:AG158"/>
    <mergeCell ref="C169:AG169"/>
    <mergeCell ref="C179:AG179"/>
    <mergeCell ref="C189:AG189"/>
    <mergeCell ref="C14:AG14"/>
    <mergeCell ref="C24:AG24"/>
    <mergeCell ref="C39:AG39"/>
    <mergeCell ref="C63:AG63"/>
    <mergeCell ref="C87:AG87"/>
    <mergeCell ref="C105:AG105"/>
    <mergeCell ref="C123:AG123"/>
  </mergeCells>
  <conditionalFormatting sqref="C7:AG12 C17:C23 D17:AG155 B21 C25:C38 C40:C62 C64:C86 C88:C104 C106:C121 C124:C137 C139:C155 C161:AG166 C172:AG176 C182:AG186 C192:AG196">
    <cfRule type="expression" dxfId="5" priority="1" stopIfTrue="1">
      <formula>C7=""</formula>
    </cfRule>
  </conditionalFormatting>
  <dataValidations>
    <dataValidation type="list" allowBlank="1" showErrorMessage="1" sqref="B7:B11 B17:B21 B27:B35 B42:B58 B66:B82 B90:B101 B108:B119 B126:B133 B141:B145 B147:B155 B161:B166 B172:B174">
      <formula1>'Nombres de los alumnos '!$B$4:$B$1014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4B2A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2" width="4.71"/>
    <col customWidth="1" min="33" max="33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89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8" t="s">
        <v>363</v>
      </c>
      <c r="C4" s="80" t="s">
        <v>329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32">
        <f>CalendarioAño</f>
        <v>2025</v>
      </c>
    </row>
    <row r="5" ht="15.0" customHeight="1">
      <c r="B5" s="32"/>
      <c r="C5" s="159" t="s">
        <v>364</v>
      </c>
      <c r="D5" s="159" t="s">
        <v>365</v>
      </c>
      <c r="E5" s="16" t="str">
        <f>TEXT(WEEKDAY(DATE(CalendarioAño,8,6),1),"ddd")</f>
        <v>mié</v>
      </c>
      <c r="F5" s="16" t="str">
        <f>TEXT(WEEKDAY(DATE(CalendarioAño,8,7),1),"ddd")</f>
        <v>jue</v>
      </c>
      <c r="G5" s="159" t="s">
        <v>366</v>
      </c>
      <c r="H5" s="16" t="str">
        <f>TEXT(WEEKDAY(DATE(CalendarioAño,8,9),1),"ddd")</f>
        <v>sáb</v>
      </c>
      <c r="I5" s="159" t="s">
        <v>367</v>
      </c>
      <c r="J5" s="159" t="s">
        <v>364</v>
      </c>
      <c r="K5" s="159" t="s">
        <v>365</v>
      </c>
      <c r="L5" s="16" t="str">
        <f>TEXT(WEEKDAY(DATE(CalendarioAño,8,6),1),"ddd")</f>
        <v>mié</v>
      </c>
      <c r="M5" s="16" t="str">
        <f>TEXT(WEEKDAY(DATE(CalendarioAño,8,7),1),"ddd")</f>
        <v>jue</v>
      </c>
      <c r="N5" s="159" t="s">
        <v>366</v>
      </c>
      <c r="O5" s="16" t="str">
        <f>TEXT(WEEKDAY(DATE(CalendarioAño,8,9),1),"ddd")</f>
        <v>sáb</v>
      </c>
      <c r="P5" s="159" t="s">
        <v>367</v>
      </c>
      <c r="Q5" s="159" t="s">
        <v>364</v>
      </c>
      <c r="R5" s="159" t="s">
        <v>365</v>
      </c>
      <c r="S5" s="16" t="str">
        <f>TEXT(WEEKDAY(DATE(CalendarioAño,8,6),1),"ddd")</f>
        <v>mié</v>
      </c>
      <c r="T5" s="16" t="str">
        <f>TEXT(WEEKDAY(DATE(CalendarioAño,8,7),1),"ddd")</f>
        <v>jue</v>
      </c>
      <c r="U5" s="159" t="s">
        <v>366</v>
      </c>
      <c r="V5" s="16" t="str">
        <f>TEXT(WEEKDAY(DATE(CalendarioAño,8,9),1),"ddd")</f>
        <v>sáb</v>
      </c>
      <c r="W5" s="159" t="s">
        <v>367</v>
      </c>
      <c r="X5" s="159" t="s">
        <v>364</v>
      </c>
      <c r="Y5" s="159" t="s">
        <v>365</v>
      </c>
      <c r="Z5" s="16" t="str">
        <f>TEXT(WEEKDAY(DATE(CalendarioAño,8,6),1),"ddd")</f>
        <v>mié</v>
      </c>
      <c r="AA5" s="16" t="str">
        <f>TEXT(WEEKDAY(DATE(CalendarioAño,8,7),1),"ddd")</f>
        <v>jue</v>
      </c>
      <c r="AB5" s="159" t="s">
        <v>366</v>
      </c>
      <c r="AC5" s="16" t="str">
        <f>TEXT(WEEKDAY(DATE(CalendarioAño,8,9),1),"ddd")</f>
        <v>sáb</v>
      </c>
      <c r="AD5" s="159" t="s">
        <v>367</v>
      </c>
      <c r="AE5" s="159" t="s">
        <v>364</v>
      </c>
      <c r="AF5" s="159" t="s">
        <v>365</v>
      </c>
      <c r="AG5" s="32"/>
    </row>
    <row r="6" ht="15.0" customHeight="1">
      <c r="A6" s="115"/>
      <c r="B6" s="116" t="s">
        <v>202</v>
      </c>
      <c r="C6" s="117" t="s">
        <v>15</v>
      </c>
      <c r="D6" s="117" t="s">
        <v>16</v>
      </c>
      <c r="E6" s="117" t="s">
        <v>17</v>
      </c>
      <c r="F6" s="117" t="s">
        <v>18</v>
      </c>
      <c r="G6" s="117" t="s">
        <v>19</v>
      </c>
      <c r="H6" s="117" t="s">
        <v>20</v>
      </c>
      <c r="I6" s="117" t="s">
        <v>21</v>
      </c>
      <c r="J6" s="117" t="s">
        <v>22</v>
      </c>
      <c r="K6" s="117" t="s">
        <v>23</v>
      </c>
      <c r="L6" s="117" t="s">
        <v>24</v>
      </c>
      <c r="M6" s="117" t="s">
        <v>25</v>
      </c>
      <c r="N6" s="117" t="s">
        <v>26</v>
      </c>
      <c r="O6" s="117" t="s">
        <v>27</v>
      </c>
      <c r="P6" s="117" t="s">
        <v>28</v>
      </c>
      <c r="Q6" s="117" t="s">
        <v>29</v>
      </c>
      <c r="R6" s="117" t="s">
        <v>30</v>
      </c>
      <c r="S6" s="117" t="s">
        <v>31</v>
      </c>
      <c r="T6" s="117" t="s">
        <v>32</v>
      </c>
      <c r="U6" s="117" t="s">
        <v>33</v>
      </c>
      <c r="V6" s="117" t="s">
        <v>34</v>
      </c>
      <c r="W6" s="117" t="s">
        <v>35</v>
      </c>
      <c r="X6" s="117" t="s">
        <v>36</v>
      </c>
      <c r="Y6" s="117" t="s">
        <v>37</v>
      </c>
      <c r="Z6" s="117" t="s">
        <v>38</v>
      </c>
      <c r="AA6" s="117" t="s">
        <v>39</v>
      </c>
      <c r="AB6" s="117" t="s">
        <v>40</v>
      </c>
      <c r="AC6" s="117" t="s">
        <v>41</v>
      </c>
      <c r="AD6" s="117" t="s">
        <v>42</v>
      </c>
      <c r="AE6" s="117" t="s">
        <v>43</v>
      </c>
      <c r="AF6" s="117" t="s">
        <v>44</v>
      </c>
      <c r="AG6" s="117" t="s">
        <v>46</v>
      </c>
    </row>
    <row r="7" ht="30.0" customHeight="1">
      <c r="B7" s="11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5"/>
    </row>
    <row r="8" ht="30.0" customHeight="1">
      <c r="B8" s="118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5"/>
    </row>
    <row r="9" ht="30.0" customHeight="1">
      <c r="B9" s="118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5"/>
    </row>
    <row r="10" ht="30.0" customHeight="1">
      <c r="B10" s="8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5"/>
    </row>
    <row r="12" ht="30.0" customHeight="1">
      <c r="B12" s="127" t="str">
        <f>Setiembre!MonthName&amp;" Total"</f>
        <v>Setiembre Total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27"/>
    </row>
    <row r="13" ht="30.0" customHeight="1"/>
    <row r="14" ht="30.0" customHeight="1">
      <c r="B14" s="38" t="s">
        <v>363</v>
      </c>
      <c r="C14" s="80" t="s">
        <v>330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32">
        <f>CalendarioAño</f>
        <v>2025</v>
      </c>
    </row>
    <row r="15" ht="30.0" customHeight="1">
      <c r="B15" s="32"/>
      <c r="C15" s="159" t="s">
        <v>364</v>
      </c>
      <c r="D15" s="159" t="s">
        <v>365</v>
      </c>
      <c r="E15" s="16" t="str">
        <f>TEXT(WEEKDAY(DATE(CalendarioAño,8,6),1),"ddd")</f>
        <v>mié</v>
      </c>
      <c r="F15" s="16" t="str">
        <f>TEXT(WEEKDAY(DATE(CalendarioAño,8,7),1),"ddd")</f>
        <v>jue</v>
      </c>
      <c r="G15" s="159" t="s">
        <v>366</v>
      </c>
      <c r="H15" s="16" t="str">
        <f>TEXT(WEEKDAY(DATE(CalendarioAño,8,9),1),"ddd")</f>
        <v>sáb</v>
      </c>
      <c r="I15" s="159" t="s">
        <v>367</v>
      </c>
      <c r="J15" s="159" t="s">
        <v>364</v>
      </c>
      <c r="K15" s="159" t="s">
        <v>365</v>
      </c>
      <c r="L15" s="16" t="str">
        <f>TEXT(WEEKDAY(DATE(CalendarioAño,8,6),1),"ddd")</f>
        <v>mié</v>
      </c>
      <c r="M15" s="16" t="str">
        <f>TEXT(WEEKDAY(DATE(CalendarioAño,8,7),1),"ddd")</f>
        <v>jue</v>
      </c>
      <c r="N15" s="159" t="s">
        <v>366</v>
      </c>
      <c r="O15" s="16" t="str">
        <f>TEXT(WEEKDAY(DATE(CalendarioAño,8,9),1),"ddd")</f>
        <v>sáb</v>
      </c>
      <c r="P15" s="159" t="s">
        <v>367</v>
      </c>
      <c r="Q15" s="159" t="s">
        <v>364</v>
      </c>
      <c r="R15" s="159" t="s">
        <v>365</v>
      </c>
      <c r="S15" s="16" t="str">
        <f>TEXT(WEEKDAY(DATE(CalendarioAño,8,6),1),"ddd")</f>
        <v>mié</v>
      </c>
      <c r="T15" s="16" t="str">
        <f>TEXT(WEEKDAY(DATE(CalendarioAño,8,7),1),"ddd")</f>
        <v>jue</v>
      </c>
      <c r="U15" s="159" t="s">
        <v>366</v>
      </c>
      <c r="V15" s="16" t="str">
        <f>TEXT(WEEKDAY(DATE(CalendarioAño,8,9),1),"ddd")</f>
        <v>sáb</v>
      </c>
      <c r="W15" s="159" t="s">
        <v>367</v>
      </c>
      <c r="X15" s="159" t="s">
        <v>364</v>
      </c>
      <c r="Y15" s="159" t="s">
        <v>365</v>
      </c>
      <c r="Z15" s="16" t="str">
        <f>TEXT(WEEKDAY(DATE(CalendarioAño,8,6),1),"ddd")</f>
        <v>mié</v>
      </c>
      <c r="AA15" s="16" t="str">
        <f>TEXT(WEEKDAY(DATE(CalendarioAño,8,7),1),"ddd")</f>
        <v>jue</v>
      </c>
      <c r="AB15" s="159" t="s">
        <v>366</v>
      </c>
      <c r="AC15" s="16" t="str">
        <f>TEXT(WEEKDAY(DATE(CalendarioAño,8,9),1),"ddd")</f>
        <v>sáb</v>
      </c>
      <c r="AD15" s="159" t="s">
        <v>367</v>
      </c>
      <c r="AE15" s="159" t="s">
        <v>364</v>
      </c>
      <c r="AF15" s="159" t="s">
        <v>365</v>
      </c>
      <c r="AG15" s="32"/>
    </row>
    <row r="16" ht="30.0" customHeight="1">
      <c r="A16" s="115"/>
      <c r="B16" s="116" t="s">
        <v>202</v>
      </c>
      <c r="C16" s="117" t="s">
        <v>15</v>
      </c>
      <c r="D16" s="117" t="s">
        <v>16</v>
      </c>
      <c r="E16" s="117" t="s">
        <v>17</v>
      </c>
      <c r="F16" s="117" t="s">
        <v>18</v>
      </c>
      <c r="G16" s="117" t="s">
        <v>19</v>
      </c>
      <c r="H16" s="117" t="s">
        <v>20</v>
      </c>
      <c r="I16" s="117" t="s">
        <v>21</v>
      </c>
      <c r="J16" s="117" t="s">
        <v>22</v>
      </c>
      <c r="K16" s="117" t="s">
        <v>23</v>
      </c>
      <c r="L16" s="117" t="s">
        <v>24</v>
      </c>
      <c r="M16" s="117" t="s">
        <v>25</v>
      </c>
      <c r="N16" s="117" t="s">
        <v>26</v>
      </c>
      <c r="O16" s="117" t="s">
        <v>27</v>
      </c>
      <c r="P16" s="117" t="s">
        <v>28</v>
      </c>
      <c r="Q16" s="117" t="s">
        <v>29</v>
      </c>
      <c r="R16" s="117" t="s">
        <v>30</v>
      </c>
      <c r="S16" s="117" t="s">
        <v>31</v>
      </c>
      <c r="T16" s="117" t="s">
        <v>32</v>
      </c>
      <c r="U16" s="117" t="s">
        <v>33</v>
      </c>
      <c r="V16" s="117" t="s">
        <v>34</v>
      </c>
      <c r="W16" s="117" t="s">
        <v>35</v>
      </c>
      <c r="X16" s="117" t="s">
        <v>36</v>
      </c>
      <c r="Y16" s="117" t="s">
        <v>37</v>
      </c>
      <c r="Z16" s="117" t="s">
        <v>38</v>
      </c>
      <c r="AA16" s="117" t="s">
        <v>39</v>
      </c>
      <c r="AB16" s="117" t="s">
        <v>40</v>
      </c>
      <c r="AC16" s="117" t="s">
        <v>41</v>
      </c>
      <c r="AD16" s="117" t="s">
        <v>42</v>
      </c>
      <c r="AE16" s="117" t="s">
        <v>43</v>
      </c>
      <c r="AF16" s="117" t="s">
        <v>44</v>
      </c>
      <c r="AG16" s="117" t="s">
        <v>46</v>
      </c>
    </row>
    <row r="17" ht="30.0" customHeight="1">
      <c r="B17" s="129" t="s">
        <v>262</v>
      </c>
      <c r="C17" s="139"/>
      <c r="D17" s="10" t="s">
        <v>6</v>
      </c>
      <c r="E17" s="139"/>
      <c r="F17" s="139"/>
      <c r="G17" s="139"/>
      <c r="H17" s="10" t="s">
        <v>6</v>
      </c>
      <c r="I17" s="139"/>
      <c r="J17" s="139"/>
      <c r="K17" s="139"/>
      <c r="L17" s="139"/>
      <c r="M17" s="139"/>
      <c r="N17" s="10" t="s">
        <v>6</v>
      </c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1"/>
    </row>
    <row r="18" ht="30.0" customHeight="1">
      <c r="A18" s="5"/>
      <c r="B18" s="160" t="s">
        <v>266</v>
      </c>
      <c r="C18" s="128"/>
      <c r="D18" s="10" t="s">
        <v>6</v>
      </c>
      <c r="E18" s="128"/>
      <c r="F18" s="128"/>
      <c r="G18" s="10" t="s">
        <v>6</v>
      </c>
      <c r="H18" s="128"/>
      <c r="I18" s="128"/>
      <c r="J18" s="128"/>
      <c r="K18" s="128"/>
      <c r="L18" s="128"/>
      <c r="M18" s="10" t="s">
        <v>6</v>
      </c>
      <c r="N18" s="10" t="s">
        <v>6</v>
      </c>
      <c r="O18" s="128"/>
      <c r="P18" s="128"/>
      <c r="Q18" s="128"/>
      <c r="R18" s="10" t="s">
        <v>6</v>
      </c>
      <c r="S18" s="128"/>
      <c r="T18" s="128"/>
      <c r="U18" s="128"/>
      <c r="V18" s="128"/>
      <c r="W18" s="128"/>
      <c r="X18" s="128"/>
      <c r="Y18" s="10" t="s">
        <v>6</v>
      </c>
      <c r="Z18" s="128"/>
      <c r="AA18" s="128"/>
      <c r="AB18" s="128"/>
      <c r="AC18" s="128"/>
      <c r="AD18" s="128"/>
      <c r="AE18" s="128"/>
      <c r="AF18" s="10" t="s">
        <v>6</v>
      </c>
      <c r="AG18" s="134"/>
    </row>
    <row r="19" ht="30.0" customHeight="1">
      <c r="B19" s="12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1"/>
    </row>
    <row r="20" ht="30.0" customHeight="1">
      <c r="B20" s="135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34"/>
    </row>
    <row r="21" ht="30.0" customHeight="1">
      <c r="B21" s="136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</row>
    <row r="22" ht="30.0" customHeight="1">
      <c r="B22" s="127" t="str">
        <f>Setiembre!MonthName&amp;" Total"</f>
        <v>Setiembre Total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</row>
    <row r="23" ht="30.0" customHeight="1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4"/>
    </row>
    <row r="24" ht="30.0" customHeight="1">
      <c r="B24" s="38" t="s">
        <v>363</v>
      </c>
      <c r="C24" s="80" t="s">
        <v>331</v>
      </c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32">
        <f>CalendarioAño</f>
        <v>2025</v>
      </c>
    </row>
    <row r="25" ht="30.0" customHeight="1">
      <c r="B25" s="32"/>
      <c r="C25" s="161" t="s">
        <v>364</v>
      </c>
      <c r="D25" s="161" t="s">
        <v>365</v>
      </c>
      <c r="E25" s="130" t="str">
        <f>TEXT(WEEKDAY(DATE(CalendarioAño,8,6),1),"ddd")</f>
        <v>mié</v>
      </c>
      <c r="F25" s="130" t="str">
        <f>TEXT(WEEKDAY(DATE(CalendarioAño,8,7),1),"ddd")</f>
        <v>jue</v>
      </c>
      <c r="G25" s="161" t="s">
        <v>366</v>
      </c>
      <c r="H25" s="130" t="str">
        <f>TEXT(WEEKDAY(DATE(CalendarioAño,8,9),1),"ddd")</f>
        <v>sáb</v>
      </c>
      <c r="I25" s="161" t="s">
        <v>367</v>
      </c>
      <c r="J25" s="161" t="s">
        <v>364</v>
      </c>
      <c r="K25" s="161" t="s">
        <v>365</v>
      </c>
      <c r="L25" s="130" t="str">
        <f>TEXT(WEEKDAY(DATE(CalendarioAño,8,6),1),"ddd")</f>
        <v>mié</v>
      </c>
      <c r="M25" s="130" t="str">
        <f>TEXT(WEEKDAY(DATE(CalendarioAño,8,7),1),"ddd")</f>
        <v>jue</v>
      </c>
      <c r="N25" s="161" t="s">
        <v>366</v>
      </c>
      <c r="O25" s="130" t="str">
        <f>TEXT(WEEKDAY(DATE(CalendarioAño,8,9),1),"ddd")</f>
        <v>sáb</v>
      </c>
      <c r="P25" s="161" t="s">
        <v>367</v>
      </c>
      <c r="Q25" s="161" t="s">
        <v>364</v>
      </c>
      <c r="R25" s="161" t="s">
        <v>365</v>
      </c>
      <c r="S25" s="130" t="str">
        <f>TEXT(WEEKDAY(DATE(CalendarioAño,8,6),1),"ddd")</f>
        <v>mié</v>
      </c>
      <c r="T25" s="130" t="str">
        <f>TEXT(WEEKDAY(DATE(CalendarioAño,8,7),1),"ddd")</f>
        <v>jue</v>
      </c>
      <c r="U25" s="161" t="s">
        <v>366</v>
      </c>
      <c r="V25" s="130" t="str">
        <f>TEXT(WEEKDAY(DATE(CalendarioAño,8,9),1),"ddd")</f>
        <v>sáb</v>
      </c>
      <c r="W25" s="161" t="s">
        <v>367</v>
      </c>
      <c r="X25" s="161" t="s">
        <v>364</v>
      </c>
      <c r="Y25" s="161" t="s">
        <v>365</v>
      </c>
      <c r="Z25" s="130" t="str">
        <f>TEXT(WEEKDAY(DATE(CalendarioAño,8,6),1),"ddd")</f>
        <v>mié</v>
      </c>
      <c r="AA25" s="130" t="str">
        <f>TEXT(WEEKDAY(DATE(CalendarioAño,8,7),1),"ddd")</f>
        <v>jue</v>
      </c>
      <c r="AB25" s="161" t="s">
        <v>366</v>
      </c>
      <c r="AC25" s="130" t="str">
        <f>TEXT(WEEKDAY(DATE(CalendarioAño,8,9),1),"ddd")</f>
        <v>sáb</v>
      </c>
      <c r="AD25" s="161" t="s">
        <v>367</v>
      </c>
      <c r="AE25" s="161" t="s">
        <v>364</v>
      </c>
      <c r="AF25" s="161" t="s">
        <v>365</v>
      </c>
      <c r="AG25" s="32"/>
    </row>
    <row r="26" ht="30.0" customHeight="1">
      <c r="A26" s="115"/>
      <c r="B26" s="116" t="s">
        <v>202</v>
      </c>
      <c r="C26" s="117" t="s">
        <v>15</v>
      </c>
      <c r="D26" s="117" t="s">
        <v>16</v>
      </c>
      <c r="E26" s="117" t="s">
        <v>17</v>
      </c>
      <c r="F26" s="117" t="s">
        <v>18</v>
      </c>
      <c r="G26" s="117" t="s">
        <v>19</v>
      </c>
      <c r="H26" s="117" t="s">
        <v>20</v>
      </c>
      <c r="I26" s="117" t="s">
        <v>21</v>
      </c>
      <c r="J26" s="117" t="s">
        <v>22</v>
      </c>
      <c r="K26" s="117" t="s">
        <v>23</v>
      </c>
      <c r="L26" s="117" t="s">
        <v>24</v>
      </c>
      <c r="M26" s="117" t="s">
        <v>25</v>
      </c>
      <c r="N26" s="117" t="s">
        <v>26</v>
      </c>
      <c r="O26" s="117" t="s">
        <v>27</v>
      </c>
      <c r="P26" s="117" t="s">
        <v>28</v>
      </c>
      <c r="Q26" s="117" t="s">
        <v>29</v>
      </c>
      <c r="R26" s="117" t="s">
        <v>30</v>
      </c>
      <c r="S26" s="117" t="s">
        <v>31</v>
      </c>
      <c r="T26" s="117" t="s">
        <v>32</v>
      </c>
      <c r="U26" s="117" t="s">
        <v>33</v>
      </c>
      <c r="V26" s="117" t="s">
        <v>34</v>
      </c>
      <c r="W26" s="117" t="s">
        <v>35</v>
      </c>
      <c r="X26" s="117" t="s">
        <v>36</v>
      </c>
      <c r="Y26" s="117" t="s">
        <v>37</v>
      </c>
      <c r="Z26" s="117" t="s">
        <v>38</v>
      </c>
      <c r="AA26" s="117" t="s">
        <v>39</v>
      </c>
      <c r="AB26" s="117" t="s">
        <v>40</v>
      </c>
      <c r="AC26" s="117" t="s">
        <v>41</v>
      </c>
      <c r="AD26" s="117" t="s">
        <v>42</v>
      </c>
      <c r="AE26" s="117" t="s">
        <v>43</v>
      </c>
      <c r="AF26" s="117" t="s">
        <v>44</v>
      </c>
      <c r="AG26" s="117" t="s">
        <v>46</v>
      </c>
    </row>
    <row r="27" ht="30.0" customHeight="1">
      <c r="B27" s="129" t="s">
        <v>273</v>
      </c>
      <c r="C27" s="139"/>
      <c r="D27" s="139"/>
      <c r="E27" s="10" t="s">
        <v>6</v>
      </c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1"/>
    </row>
    <row r="28" ht="30.0" customHeight="1">
      <c r="B28" s="132" t="s">
        <v>268</v>
      </c>
      <c r="C28" s="128"/>
      <c r="D28" s="128"/>
      <c r="E28" s="10" t="s">
        <v>6</v>
      </c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0" t="s">
        <v>6</v>
      </c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34"/>
    </row>
    <row r="29" ht="30.0" customHeight="1">
      <c r="B29" s="129" t="s">
        <v>263</v>
      </c>
      <c r="C29" s="139"/>
      <c r="D29" s="10" t="s">
        <v>6</v>
      </c>
      <c r="E29" s="139"/>
      <c r="F29" s="10" t="s">
        <v>6</v>
      </c>
      <c r="G29" s="10" t="s">
        <v>6</v>
      </c>
      <c r="H29" s="139"/>
      <c r="I29" s="139"/>
      <c r="J29" s="10" t="s">
        <v>6</v>
      </c>
      <c r="K29" s="139"/>
      <c r="L29" s="139"/>
      <c r="M29" s="10" t="s">
        <v>6</v>
      </c>
      <c r="N29" s="139"/>
      <c r="O29" s="139"/>
      <c r="P29" s="139"/>
      <c r="Q29" s="10" t="s">
        <v>6</v>
      </c>
      <c r="R29" s="10" t="s">
        <v>6</v>
      </c>
      <c r="S29" s="139"/>
      <c r="T29" s="10" t="s">
        <v>6</v>
      </c>
      <c r="U29" s="139"/>
      <c r="V29" s="10" t="s">
        <v>6</v>
      </c>
      <c r="W29" s="139"/>
      <c r="X29" s="10" t="s">
        <v>6</v>
      </c>
      <c r="Y29" s="10" t="s">
        <v>6</v>
      </c>
      <c r="Z29" s="139"/>
      <c r="AA29" s="10" t="s">
        <v>6</v>
      </c>
      <c r="AB29" s="139"/>
      <c r="AC29" s="139"/>
      <c r="AD29" s="139"/>
      <c r="AE29" s="139"/>
      <c r="AF29" s="139"/>
      <c r="AG29" s="131"/>
    </row>
    <row r="30" ht="30.0" customHeight="1">
      <c r="B30" s="135" t="s">
        <v>349</v>
      </c>
      <c r="C30" s="128"/>
      <c r="D30" s="10" t="s">
        <v>6</v>
      </c>
      <c r="E30" s="128"/>
      <c r="F30" s="10" t="s">
        <v>6</v>
      </c>
      <c r="G30" s="128"/>
      <c r="H30" s="128"/>
      <c r="I30" s="128"/>
      <c r="J30" s="128"/>
      <c r="K30" s="128"/>
      <c r="L30" s="128"/>
      <c r="M30" s="10" t="s">
        <v>6</v>
      </c>
      <c r="N30" s="10" t="s">
        <v>6</v>
      </c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0" t="s">
        <v>6</v>
      </c>
      <c r="AB30" s="10" t="s">
        <v>6</v>
      </c>
      <c r="AC30" s="128"/>
      <c r="AD30" s="128"/>
      <c r="AE30" s="128"/>
      <c r="AF30" s="128"/>
      <c r="AG30" s="134"/>
    </row>
    <row r="31" ht="30.0" customHeight="1">
      <c r="B31" s="138" t="s">
        <v>350</v>
      </c>
      <c r="C31" s="139"/>
      <c r="D31" s="10" t="s">
        <v>6</v>
      </c>
      <c r="E31" s="139"/>
      <c r="F31" s="10" t="s">
        <v>6</v>
      </c>
      <c r="G31" s="139"/>
      <c r="H31" s="139"/>
      <c r="I31" s="139"/>
      <c r="J31" s="139"/>
      <c r="K31" s="139"/>
      <c r="L31" s="139"/>
      <c r="M31" s="10" t="s">
        <v>6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0" t="s">
        <v>6</v>
      </c>
      <c r="Z31" s="139"/>
      <c r="AA31" s="139"/>
      <c r="AB31" s="139"/>
      <c r="AC31" s="139"/>
      <c r="AD31" s="139"/>
      <c r="AE31" s="139"/>
      <c r="AF31" s="10" t="s">
        <v>6</v>
      </c>
      <c r="AG31" s="131"/>
    </row>
    <row r="32" ht="30.0" customHeight="1">
      <c r="B32" s="135" t="s">
        <v>274</v>
      </c>
      <c r="C32" s="128"/>
      <c r="D32" s="10" t="s">
        <v>6</v>
      </c>
      <c r="E32" s="128"/>
      <c r="F32" s="10" t="s">
        <v>6</v>
      </c>
      <c r="G32" s="128"/>
      <c r="H32" s="128"/>
      <c r="I32" s="128"/>
      <c r="J32" s="128"/>
      <c r="K32" s="128"/>
      <c r="L32" s="128"/>
      <c r="M32" s="10" t="s">
        <v>6</v>
      </c>
      <c r="N32" s="128"/>
      <c r="O32" s="128"/>
      <c r="P32" s="128"/>
      <c r="Q32" s="128"/>
      <c r="R32" s="10" t="s">
        <v>6</v>
      </c>
      <c r="S32" s="128"/>
      <c r="T32" s="10" t="s">
        <v>6</v>
      </c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0" t="s">
        <v>6</v>
      </c>
      <c r="AG32" s="134"/>
    </row>
    <row r="33" ht="30.0" customHeight="1">
      <c r="B33" s="138" t="s">
        <v>368</v>
      </c>
      <c r="C33" s="139"/>
      <c r="D33" s="10" t="s">
        <v>6</v>
      </c>
      <c r="E33" s="139"/>
      <c r="F33" s="10" t="s">
        <v>6</v>
      </c>
      <c r="G33" s="139"/>
      <c r="H33" s="139"/>
      <c r="I33" s="139"/>
      <c r="J33" s="139"/>
      <c r="K33" s="10" t="s">
        <v>6</v>
      </c>
      <c r="L33" s="139"/>
      <c r="M33" s="10" t="s">
        <v>6</v>
      </c>
      <c r="N33" s="139"/>
      <c r="O33" s="139"/>
      <c r="P33" s="139"/>
      <c r="Q33" s="139"/>
      <c r="R33" s="10" t="s">
        <v>6</v>
      </c>
      <c r="S33" s="139"/>
      <c r="T33" s="10" t="s">
        <v>6</v>
      </c>
      <c r="U33" s="139"/>
      <c r="V33" s="139"/>
      <c r="W33" s="139"/>
      <c r="X33" s="139"/>
      <c r="Y33" s="10" t="s">
        <v>6</v>
      </c>
      <c r="Z33" s="139"/>
      <c r="AA33" s="10" t="s">
        <v>6</v>
      </c>
      <c r="AB33" s="139"/>
      <c r="AC33" s="139"/>
      <c r="AD33" s="139"/>
      <c r="AE33" s="139"/>
      <c r="AF33" s="139"/>
      <c r="AG33" s="131"/>
    </row>
    <row r="34" ht="30.0" customHeight="1">
      <c r="B34" s="135" t="s">
        <v>205</v>
      </c>
      <c r="C34" s="128"/>
      <c r="D34" s="10" t="s">
        <v>6</v>
      </c>
      <c r="E34" s="128"/>
      <c r="F34" s="128"/>
      <c r="G34" s="128"/>
      <c r="H34" s="128"/>
      <c r="I34" s="128"/>
      <c r="J34" s="128"/>
      <c r="K34" s="10" t="s">
        <v>6</v>
      </c>
      <c r="L34" s="128"/>
      <c r="M34" s="10" t="s">
        <v>6</v>
      </c>
      <c r="N34" s="128"/>
      <c r="O34" s="128"/>
      <c r="P34" s="128"/>
      <c r="Q34" s="128"/>
      <c r="R34" s="10" t="s">
        <v>6</v>
      </c>
      <c r="S34" s="128"/>
      <c r="T34" s="10" t="s">
        <v>6</v>
      </c>
      <c r="U34" s="128"/>
      <c r="V34" s="128"/>
      <c r="W34" s="128"/>
      <c r="X34" s="128"/>
      <c r="Y34" s="10" t="s">
        <v>6</v>
      </c>
      <c r="Z34" s="128"/>
      <c r="AA34" s="10" t="s">
        <v>6</v>
      </c>
      <c r="AB34" s="128"/>
      <c r="AC34" s="128"/>
      <c r="AD34" s="128"/>
      <c r="AE34" s="128"/>
      <c r="AF34" s="10" t="s">
        <v>6</v>
      </c>
      <c r="AG34" s="128"/>
    </row>
    <row r="35" ht="30.0" customHeight="1">
      <c r="B35" s="138" t="s">
        <v>265</v>
      </c>
      <c r="C35" s="139"/>
      <c r="D35" s="139"/>
      <c r="E35" s="139"/>
      <c r="F35" s="139"/>
      <c r="G35" s="139"/>
      <c r="H35" s="10" t="s">
        <v>6</v>
      </c>
      <c r="I35" s="139"/>
      <c r="J35" s="139"/>
      <c r="K35" s="139"/>
      <c r="L35" s="139"/>
      <c r="M35" s="139"/>
      <c r="N35" s="139"/>
      <c r="O35" s="10" t="s">
        <v>6</v>
      </c>
      <c r="P35" s="139"/>
      <c r="Q35" s="139"/>
      <c r="R35" s="139"/>
      <c r="S35" s="139"/>
      <c r="T35" s="139"/>
      <c r="U35" s="139"/>
      <c r="V35" s="10" t="s">
        <v>6</v>
      </c>
      <c r="W35" s="139"/>
      <c r="X35" s="139"/>
      <c r="Y35" s="139"/>
      <c r="Z35" s="139"/>
      <c r="AA35" s="139"/>
      <c r="AB35" s="139"/>
      <c r="AC35" s="10" t="s">
        <v>6</v>
      </c>
      <c r="AD35" s="139"/>
      <c r="AE35" s="139"/>
      <c r="AF35" s="139"/>
      <c r="AG35" s="139"/>
    </row>
    <row r="36" ht="30.0" customHeight="1">
      <c r="B36" s="135" t="s">
        <v>351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0" t="s">
        <v>6</v>
      </c>
      <c r="O36" s="128"/>
      <c r="P36" s="128"/>
      <c r="Q36" s="128"/>
      <c r="R36" s="128"/>
      <c r="S36" s="10" t="s">
        <v>6</v>
      </c>
      <c r="T36" s="128"/>
      <c r="U36" s="128"/>
      <c r="V36" s="128"/>
      <c r="W36" s="128"/>
      <c r="X36" s="128"/>
      <c r="Y36" s="10" t="s">
        <v>6</v>
      </c>
      <c r="Z36" s="128"/>
      <c r="AA36" s="128"/>
      <c r="AB36" s="10" t="s">
        <v>6</v>
      </c>
      <c r="AC36" s="128"/>
      <c r="AD36" s="128"/>
      <c r="AE36" s="128"/>
      <c r="AF36" s="128"/>
      <c r="AG36" s="128"/>
    </row>
    <row r="37" ht="30.0" customHeight="1">
      <c r="B37" s="138" t="s">
        <v>335</v>
      </c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0" t="s">
        <v>6</v>
      </c>
      <c r="T37" s="139"/>
      <c r="U37" s="10" t="s">
        <v>6</v>
      </c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</row>
    <row r="38" ht="30.0" customHeight="1">
      <c r="B38" s="135" t="s">
        <v>369</v>
      </c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0" t="s">
        <v>6</v>
      </c>
      <c r="T38" s="128"/>
      <c r="U38" s="10" t="s">
        <v>6</v>
      </c>
      <c r="V38" s="128"/>
      <c r="W38" s="128"/>
      <c r="X38" s="128"/>
      <c r="Y38" s="128"/>
      <c r="Z38" s="10" t="s">
        <v>6</v>
      </c>
      <c r="AA38" s="128"/>
      <c r="AB38" s="128"/>
      <c r="AC38" s="10" t="s">
        <v>6</v>
      </c>
      <c r="AD38" s="128"/>
      <c r="AE38" s="128"/>
      <c r="AF38" s="128"/>
      <c r="AG38" s="128"/>
    </row>
    <row r="39" ht="30.0" customHeight="1">
      <c r="B39" s="138" t="s">
        <v>370</v>
      </c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0" t="s">
        <v>6</v>
      </c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</row>
    <row r="40" ht="30.0" customHeight="1">
      <c r="B40" s="135" t="s">
        <v>47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0" t="s">
        <v>6</v>
      </c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</row>
    <row r="41" ht="30.0" customHeight="1">
      <c r="B41" s="138" t="s">
        <v>371</v>
      </c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0" t="s">
        <v>6</v>
      </c>
      <c r="AD41" s="139"/>
      <c r="AE41" s="139"/>
      <c r="AF41" s="139"/>
      <c r="AG41" s="139"/>
    </row>
    <row r="42" ht="30.0" customHeight="1">
      <c r="B42" s="135" t="s">
        <v>372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0" t="s">
        <v>6</v>
      </c>
      <c r="AF42" s="128"/>
      <c r="AG42" s="128"/>
    </row>
    <row r="43" ht="30.0" customHeight="1">
      <c r="B43" s="140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</row>
    <row r="44" ht="30.0" customHeight="1"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</row>
    <row r="45" ht="30.0" customHeight="1">
      <c r="B45" s="140" t="str">
        <f>Setiembre!MonthName&amp;" Total"</f>
        <v>Setiembre Total</v>
      </c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</row>
    <row r="46" ht="30.0" customHeight="1"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4"/>
    </row>
    <row r="47" ht="30.0" customHeight="1">
      <c r="B47" s="38" t="s">
        <v>363</v>
      </c>
      <c r="C47" s="80" t="s">
        <v>332</v>
      </c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32">
        <f>CalendarioAño</f>
        <v>2025</v>
      </c>
    </row>
    <row r="48" ht="30.0" customHeight="1">
      <c r="B48" s="32"/>
      <c r="C48" s="162" t="s">
        <v>364</v>
      </c>
      <c r="D48" s="162" t="s">
        <v>365</v>
      </c>
      <c r="E48" s="133" t="str">
        <f>TEXT(WEEKDAY(DATE(CalendarioAño,8,6),1),"ddd")</f>
        <v>mié</v>
      </c>
      <c r="F48" s="133" t="str">
        <f>TEXT(WEEKDAY(DATE(CalendarioAño,8,7),1),"ddd")</f>
        <v>jue</v>
      </c>
      <c r="G48" s="162" t="s">
        <v>366</v>
      </c>
      <c r="H48" s="133" t="str">
        <f>TEXT(WEEKDAY(DATE(CalendarioAño,8,9),1),"ddd")</f>
        <v>sáb</v>
      </c>
      <c r="I48" s="162" t="s">
        <v>367</v>
      </c>
      <c r="J48" s="162" t="s">
        <v>364</v>
      </c>
      <c r="K48" s="162" t="s">
        <v>365</v>
      </c>
      <c r="L48" s="133" t="str">
        <f>TEXT(WEEKDAY(DATE(CalendarioAño,8,6),1),"ddd")</f>
        <v>mié</v>
      </c>
      <c r="M48" s="133" t="str">
        <f>TEXT(WEEKDAY(DATE(CalendarioAño,8,7),1),"ddd")</f>
        <v>jue</v>
      </c>
      <c r="N48" s="162" t="s">
        <v>366</v>
      </c>
      <c r="O48" s="133" t="str">
        <f>TEXT(WEEKDAY(DATE(CalendarioAño,8,9),1),"ddd")</f>
        <v>sáb</v>
      </c>
      <c r="P48" s="162" t="s">
        <v>367</v>
      </c>
      <c r="Q48" s="162" t="s">
        <v>364</v>
      </c>
      <c r="R48" s="162" t="s">
        <v>365</v>
      </c>
      <c r="S48" s="133" t="str">
        <f>TEXT(WEEKDAY(DATE(CalendarioAño,8,6),1),"ddd")</f>
        <v>mié</v>
      </c>
      <c r="T48" s="133" t="str">
        <f>TEXT(WEEKDAY(DATE(CalendarioAño,8,7),1),"ddd")</f>
        <v>jue</v>
      </c>
      <c r="U48" s="162" t="s">
        <v>366</v>
      </c>
      <c r="V48" s="133" t="str">
        <f>TEXT(WEEKDAY(DATE(CalendarioAño,8,9),1),"ddd")</f>
        <v>sáb</v>
      </c>
      <c r="W48" s="162" t="s">
        <v>367</v>
      </c>
      <c r="X48" s="162" t="s">
        <v>364</v>
      </c>
      <c r="Y48" s="162" t="s">
        <v>365</v>
      </c>
      <c r="Z48" s="133" t="str">
        <f>TEXT(WEEKDAY(DATE(CalendarioAño,8,6),1),"ddd")</f>
        <v>mié</v>
      </c>
      <c r="AA48" s="133" t="str">
        <f>TEXT(WEEKDAY(DATE(CalendarioAño,8,7),1),"ddd")</f>
        <v>jue</v>
      </c>
      <c r="AB48" s="162" t="s">
        <v>366</v>
      </c>
      <c r="AC48" s="133" t="str">
        <f>TEXT(WEEKDAY(DATE(CalendarioAño,8,9),1),"ddd")</f>
        <v>sáb</v>
      </c>
      <c r="AD48" s="162" t="s">
        <v>367</v>
      </c>
      <c r="AE48" s="162" t="s">
        <v>364</v>
      </c>
      <c r="AF48" s="162" t="s">
        <v>365</v>
      </c>
      <c r="AG48" s="32"/>
    </row>
    <row r="49" ht="30.0" customHeight="1">
      <c r="A49" s="115"/>
      <c r="B49" s="116" t="s">
        <v>202</v>
      </c>
      <c r="C49" s="117" t="s">
        <v>15</v>
      </c>
      <c r="D49" s="117" t="s">
        <v>16</v>
      </c>
      <c r="E49" s="117" t="s">
        <v>17</v>
      </c>
      <c r="F49" s="117" t="s">
        <v>18</v>
      </c>
      <c r="G49" s="117" t="s">
        <v>19</v>
      </c>
      <c r="H49" s="117" t="s">
        <v>20</v>
      </c>
      <c r="I49" s="117" t="s">
        <v>21</v>
      </c>
      <c r="J49" s="117" t="s">
        <v>22</v>
      </c>
      <c r="K49" s="117" t="s">
        <v>23</v>
      </c>
      <c r="L49" s="117" t="s">
        <v>24</v>
      </c>
      <c r="M49" s="117" t="s">
        <v>25</v>
      </c>
      <c r="N49" s="117" t="s">
        <v>26</v>
      </c>
      <c r="O49" s="117" t="s">
        <v>27</v>
      </c>
      <c r="P49" s="117" t="s">
        <v>28</v>
      </c>
      <c r="Q49" s="117" t="s">
        <v>29</v>
      </c>
      <c r="R49" s="117" t="s">
        <v>30</v>
      </c>
      <c r="S49" s="117" t="s">
        <v>31</v>
      </c>
      <c r="T49" s="117" t="s">
        <v>32</v>
      </c>
      <c r="U49" s="117" t="s">
        <v>33</v>
      </c>
      <c r="V49" s="117" t="s">
        <v>34</v>
      </c>
      <c r="W49" s="117" t="s">
        <v>35</v>
      </c>
      <c r="X49" s="117" t="s">
        <v>36</v>
      </c>
      <c r="Y49" s="117" t="s">
        <v>37</v>
      </c>
      <c r="Z49" s="117" t="s">
        <v>38</v>
      </c>
      <c r="AA49" s="117" t="s">
        <v>39</v>
      </c>
      <c r="AB49" s="117" t="s">
        <v>40</v>
      </c>
      <c r="AC49" s="117" t="s">
        <v>41</v>
      </c>
      <c r="AD49" s="117" t="s">
        <v>42</v>
      </c>
      <c r="AE49" s="117" t="s">
        <v>43</v>
      </c>
      <c r="AF49" s="117" t="s">
        <v>44</v>
      </c>
      <c r="AG49" s="117" t="s">
        <v>46</v>
      </c>
    </row>
    <row r="50" ht="30.0" customHeight="1">
      <c r="B50" s="129" t="s">
        <v>333</v>
      </c>
      <c r="C50" s="139"/>
      <c r="D50" s="139"/>
      <c r="E50" s="10" t="s">
        <v>6</v>
      </c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0" t="s">
        <v>6</v>
      </c>
      <c r="T50" s="139"/>
      <c r="U50" s="10" t="s">
        <v>6</v>
      </c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4"/>
    </row>
    <row r="51" ht="30.0" customHeight="1">
      <c r="B51" s="132" t="s">
        <v>282</v>
      </c>
      <c r="C51" s="128"/>
      <c r="D51" s="128"/>
      <c r="E51" s="10" t="s">
        <v>6</v>
      </c>
      <c r="F51" s="128"/>
      <c r="G51" s="10" t="s">
        <v>6</v>
      </c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0" t="s">
        <v>6</v>
      </c>
      <c r="AA51" s="128"/>
      <c r="AB51" s="10" t="s">
        <v>6</v>
      </c>
      <c r="AC51" s="128"/>
      <c r="AD51" s="128"/>
      <c r="AE51" s="10" t="s">
        <v>6</v>
      </c>
      <c r="AF51" s="128"/>
      <c r="AG51" s="142"/>
    </row>
    <row r="52" ht="30.0" customHeight="1">
      <c r="B52" s="119" t="s">
        <v>67</v>
      </c>
      <c r="C52" s="139"/>
      <c r="D52" s="139"/>
      <c r="E52" s="10" t="s">
        <v>6</v>
      </c>
      <c r="F52" s="10" t="s">
        <v>6</v>
      </c>
      <c r="G52" s="139"/>
      <c r="H52" s="139"/>
      <c r="I52" s="139"/>
      <c r="J52" s="10" t="s">
        <v>6</v>
      </c>
      <c r="K52" s="139"/>
      <c r="L52" s="139"/>
      <c r="M52" s="139"/>
      <c r="N52" s="139"/>
      <c r="O52" s="139"/>
      <c r="P52" s="139"/>
      <c r="Q52" s="139"/>
      <c r="R52" s="139"/>
      <c r="S52" s="10" t="s">
        <v>6</v>
      </c>
      <c r="T52" s="139"/>
      <c r="U52" s="139"/>
      <c r="V52" s="139"/>
      <c r="W52" s="139"/>
      <c r="X52" s="10" t="s">
        <v>6</v>
      </c>
      <c r="Y52" s="139"/>
      <c r="Z52" s="139"/>
      <c r="AA52" s="139"/>
      <c r="AB52" s="139"/>
      <c r="AC52" s="139"/>
      <c r="AD52" s="139"/>
      <c r="AE52" s="10" t="s">
        <v>6</v>
      </c>
      <c r="AF52" s="139"/>
      <c r="AG52" s="25"/>
    </row>
    <row r="53" ht="30.0" customHeight="1">
      <c r="B53" s="135" t="s">
        <v>289</v>
      </c>
      <c r="C53" s="27"/>
      <c r="D53" s="27"/>
      <c r="E53" s="10" t="s">
        <v>6</v>
      </c>
      <c r="F53" s="27"/>
      <c r="G53" s="27"/>
      <c r="H53" s="27"/>
      <c r="I53" s="27"/>
      <c r="J53" s="10" t="s">
        <v>6</v>
      </c>
      <c r="K53" s="27"/>
      <c r="L53" s="27"/>
      <c r="M53" s="10" t="s">
        <v>6</v>
      </c>
      <c r="N53" s="27"/>
      <c r="O53" s="27"/>
      <c r="P53" s="27"/>
      <c r="Q53" s="27"/>
      <c r="R53" s="27"/>
      <c r="S53" s="27"/>
      <c r="T53" s="10" t="s">
        <v>6</v>
      </c>
      <c r="U53" s="27"/>
      <c r="V53" s="27"/>
      <c r="W53" s="27"/>
      <c r="X53" s="27"/>
      <c r="Y53" s="10" t="s">
        <v>6</v>
      </c>
      <c r="Z53" s="27"/>
      <c r="AA53" s="27"/>
      <c r="AB53" s="27"/>
      <c r="AC53" s="27"/>
      <c r="AD53" s="27"/>
      <c r="AE53" s="10" t="s">
        <v>6</v>
      </c>
      <c r="AF53" s="10" t="s">
        <v>6</v>
      </c>
      <c r="AG53" s="25"/>
    </row>
    <row r="54" ht="30.0" customHeight="1">
      <c r="B54" s="143" t="s">
        <v>373</v>
      </c>
      <c r="C54" s="139"/>
      <c r="D54" s="139"/>
      <c r="E54" s="10" t="s">
        <v>6</v>
      </c>
      <c r="F54" s="10" t="s">
        <v>6</v>
      </c>
      <c r="G54" s="139"/>
      <c r="H54" s="139"/>
      <c r="I54" s="139"/>
      <c r="J54" s="139"/>
      <c r="K54" s="139"/>
      <c r="L54" s="139"/>
      <c r="M54" s="10" t="s">
        <v>6</v>
      </c>
      <c r="N54" s="10" t="s">
        <v>6</v>
      </c>
      <c r="O54" s="10" t="s">
        <v>6</v>
      </c>
      <c r="P54" s="139"/>
      <c r="Q54" s="139"/>
      <c r="R54" s="139"/>
      <c r="S54" s="10" t="s">
        <v>6</v>
      </c>
      <c r="T54" s="10" t="s">
        <v>6</v>
      </c>
      <c r="U54" s="139"/>
      <c r="V54" s="139"/>
      <c r="W54" s="139"/>
      <c r="X54" s="139"/>
      <c r="Y54" s="10" t="s">
        <v>6</v>
      </c>
      <c r="Z54" s="10" t="s">
        <v>6</v>
      </c>
      <c r="AA54" s="139"/>
      <c r="AB54" s="139"/>
      <c r="AC54" s="139"/>
      <c r="AD54" s="139"/>
      <c r="AE54" s="139"/>
      <c r="AF54" s="10" t="s">
        <v>6</v>
      </c>
      <c r="AG54" s="25"/>
    </row>
    <row r="55" ht="30.0" customHeight="1">
      <c r="B55" s="143" t="s">
        <v>287</v>
      </c>
      <c r="C55" s="27"/>
      <c r="D55" s="27"/>
      <c r="E55" s="27"/>
      <c r="F55" s="10" t="s">
        <v>6</v>
      </c>
      <c r="G55" s="10" t="s">
        <v>6</v>
      </c>
      <c r="H55" s="10" t="s">
        <v>6</v>
      </c>
      <c r="I55" s="27"/>
      <c r="J55" s="27"/>
      <c r="K55" s="27"/>
      <c r="L55" s="27"/>
      <c r="M55" s="27"/>
      <c r="N55" s="10" t="s">
        <v>6</v>
      </c>
      <c r="O55" s="10" t="s">
        <v>6</v>
      </c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5"/>
    </row>
    <row r="56" ht="30.0" customHeight="1">
      <c r="B56" s="143" t="s">
        <v>334</v>
      </c>
      <c r="C56" s="139"/>
      <c r="D56" s="139"/>
      <c r="E56" s="139"/>
      <c r="F56" s="10" t="s">
        <v>6</v>
      </c>
      <c r="G56" s="139"/>
      <c r="H56" s="10" t="s">
        <v>6</v>
      </c>
      <c r="I56" s="139"/>
      <c r="J56" s="139"/>
      <c r="K56" s="139"/>
      <c r="L56" s="139"/>
      <c r="M56" s="10" t="s">
        <v>6</v>
      </c>
      <c r="N56" s="139"/>
      <c r="O56" s="10" t="s">
        <v>6</v>
      </c>
      <c r="P56" s="139"/>
      <c r="Q56" s="139"/>
      <c r="R56" s="139"/>
      <c r="S56" s="10" t="s">
        <v>6</v>
      </c>
      <c r="T56" s="10" t="s">
        <v>6</v>
      </c>
      <c r="U56" s="139"/>
      <c r="V56" s="139"/>
      <c r="W56" s="139"/>
      <c r="X56" s="139"/>
      <c r="Y56" s="139"/>
      <c r="Z56" s="139"/>
      <c r="AA56" s="10" t="s">
        <v>6</v>
      </c>
      <c r="AB56" s="10" t="s">
        <v>6</v>
      </c>
      <c r="AC56" s="139"/>
      <c r="AD56" s="139"/>
      <c r="AE56" s="139"/>
      <c r="AF56" s="139"/>
      <c r="AG56" s="25"/>
    </row>
    <row r="57" ht="30.0" customHeight="1">
      <c r="B57" s="143" t="s">
        <v>285</v>
      </c>
      <c r="C57" s="10" t="s">
        <v>6</v>
      </c>
      <c r="D57" s="10" t="s">
        <v>6</v>
      </c>
      <c r="E57" s="27"/>
      <c r="F57" s="27"/>
      <c r="G57" s="10" t="s">
        <v>6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10" t="s">
        <v>6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5"/>
    </row>
    <row r="58" ht="30.0" customHeight="1">
      <c r="B58" s="143" t="s">
        <v>355</v>
      </c>
      <c r="C58" s="10" t="s">
        <v>6</v>
      </c>
      <c r="D58" s="10" t="s">
        <v>6</v>
      </c>
      <c r="E58" s="139"/>
      <c r="F58" s="139"/>
      <c r="G58" s="139"/>
      <c r="H58" s="10" t="s">
        <v>6</v>
      </c>
      <c r="I58" s="139"/>
      <c r="J58" s="139"/>
      <c r="K58" s="10" t="s">
        <v>6</v>
      </c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0" t="s">
        <v>6</v>
      </c>
      <c r="AG58" s="25"/>
    </row>
    <row r="59" ht="30.0" customHeight="1">
      <c r="B59" s="132" t="s">
        <v>279</v>
      </c>
      <c r="C59" s="10" t="s">
        <v>6</v>
      </c>
      <c r="D59" s="128"/>
      <c r="E59" s="128"/>
      <c r="F59" s="128"/>
      <c r="G59" s="128"/>
      <c r="H59" s="128"/>
      <c r="I59" s="128"/>
      <c r="J59" s="128"/>
      <c r="K59" s="10" t="s">
        <v>6</v>
      </c>
      <c r="L59" s="128"/>
      <c r="M59" s="128"/>
      <c r="N59" s="10" t="s">
        <v>6</v>
      </c>
      <c r="O59" s="128"/>
      <c r="P59" s="128"/>
      <c r="Q59" s="128"/>
      <c r="R59" s="10" t="s">
        <v>6</v>
      </c>
      <c r="S59" s="128"/>
      <c r="T59" s="10" t="s">
        <v>6</v>
      </c>
      <c r="U59" s="128"/>
      <c r="V59" s="128"/>
      <c r="W59" s="128"/>
      <c r="X59" s="128"/>
      <c r="Y59" s="10" t="s">
        <v>6</v>
      </c>
      <c r="Z59" s="128"/>
      <c r="AA59" s="128"/>
      <c r="AB59" s="128"/>
      <c r="AC59" s="128"/>
      <c r="AD59" s="128"/>
      <c r="AE59" s="128"/>
      <c r="AF59" s="10" t="s">
        <v>6</v>
      </c>
      <c r="AG59" s="145"/>
    </row>
    <row r="60" ht="30.0" customHeight="1">
      <c r="B60" s="138" t="s">
        <v>208</v>
      </c>
      <c r="C60" s="10" t="s">
        <v>6</v>
      </c>
      <c r="D60" s="139"/>
      <c r="E60" s="139"/>
      <c r="F60" s="139"/>
      <c r="G60" s="10" t="s">
        <v>6</v>
      </c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0" t="s">
        <v>6</v>
      </c>
      <c r="Y60" s="139"/>
      <c r="Z60" s="139"/>
      <c r="AA60" s="139"/>
      <c r="AB60" s="139"/>
      <c r="AC60" s="139"/>
      <c r="AD60" s="139"/>
      <c r="AE60" s="139"/>
      <c r="AF60" s="139"/>
      <c r="AG60" s="139"/>
    </row>
    <row r="61" ht="30.0" customHeight="1">
      <c r="B61" s="135" t="s">
        <v>354</v>
      </c>
      <c r="C61" s="10" t="s">
        <v>6</v>
      </c>
      <c r="D61" s="128"/>
      <c r="E61" s="128"/>
      <c r="F61" s="128"/>
      <c r="G61" s="128"/>
      <c r="H61" s="10" t="s">
        <v>6</v>
      </c>
      <c r="I61" s="128"/>
      <c r="J61" s="128"/>
      <c r="K61" s="128"/>
      <c r="L61" s="128"/>
      <c r="M61" s="128"/>
      <c r="N61" s="128"/>
      <c r="O61" s="10" t="s">
        <v>6</v>
      </c>
      <c r="P61" s="128"/>
      <c r="Q61" s="128"/>
      <c r="R61" s="128"/>
      <c r="S61" s="128"/>
      <c r="T61" s="128"/>
      <c r="U61" s="10" t="s">
        <v>6</v>
      </c>
      <c r="V61" s="10" t="s">
        <v>6</v>
      </c>
      <c r="W61" s="128"/>
      <c r="X61" s="128"/>
      <c r="Y61" s="128"/>
      <c r="Z61" s="10" t="s">
        <v>6</v>
      </c>
      <c r="AA61" s="128"/>
      <c r="AB61" s="128"/>
      <c r="AC61" s="10" t="s">
        <v>6</v>
      </c>
      <c r="AD61" s="128"/>
      <c r="AE61" s="128"/>
      <c r="AF61" s="128"/>
      <c r="AG61" s="128"/>
    </row>
    <row r="62" ht="30.0" customHeight="1">
      <c r="B62" s="138" t="s">
        <v>211</v>
      </c>
      <c r="C62" s="10" t="s">
        <v>6</v>
      </c>
      <c r="D62" s="139"/>
      <c r="E62" s="139"/>
      <c r="F62" s="139"/>
      <c r="G62" s="139"/>
      <c r="H62" s="139"/>
      <c r="I62" s="139"/>
      <c r="J62" s="10" t="s">
        <v>6</v>
      </c>
      <c r="K62" s="139"/>
      <c r="L62" s="139"/>
      <c r="M62" s="139"/>
      <c r="N62" s="139"/>
      <c r="O62" s="139"/>
      <c r="P62" s="139"/>
      <c r="Q62" s="10" t="s">
        <v>6</v>
      </c>
      <c r="R62" s="139"/>
      <c r="S62" s="139"/>
      <c r="T62" s="139"/>
      <c r="U62" s="139"/>
      <c r="V62" s="139"/>
      <c r="W62" s="139"/>
      <c r="X62" s="10" t="s">
        <v>6</v>
      </c>
      <c r="Y62" s="139"/>
      <c r="Z62" s="139"/>
      <c r="AA62" s="139"/>
      <c r="AB62" s="10" t="s">
        <v>6</v>
      </c>
      <c r="AC62" s="139"/>
      <c r="AD62" s="139"/>
      <c r="AE62" s="10" t="s">
        <v>6</v>
      </c>
      <c r="AF62" s="139"/>
      <c r="AG62" s="139"/>
    </row>
    <row r="63" ht="30.0" customHeight="1">
      <c r="B63" s="135" t="s">
        <v>353</v>
      </c>
      <c r="C63" s="128"/>
      <c r="D63" s="128"/>
      <c r="E63" s="128"/>
      <c r="F63" s="128"/>
      <c r="G63" s="128"/>
      <c r="H63" s="10" t="s">
        <v>6</v>
      </c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</row>
    <row r="64" ht="30.0" customHeight="1">
      <c r="B64" s="138" t="s">
        <v>301</v>
      </c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0" t="s">
        <v>6</v>
      </c>
      <c r="O64" s="10" t="s">
        <v>6</v>
      </c>
      <c r="P64" s="139"/>
      <c r="Q64" s="139"/>
      <c r="R64" s="139"/>
      <c r="S64" s="139"/>
      <c r="T64" s="139"/>
      <c r="U64" s="139"/>
      <c r="V64" s="10" t="s">
        <v>6</v>
      </c>
      <c r="W64" s="139"/>
      <c r="X64" s="139"/>
      <c r="Y64" s="139"/>
      <c r="Z64" s="139"/>
      <c r="AA64" s="139"/>
      <c r="AB64" s="139"/>
      <c r="AC64" s="10" t="s">
        <v>6</v>
      </c>
      <c r="AD64" s="139"/>
      <c r="AE64" s="139"/>
      <c r="AF64" s="139"/>
      <c r="AG64" s="139"/>
    </row>
    <row r="65" ht="30.0" customHeight="1">
      <c r="B65" s="135" t="s">
        <v>374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0" t="s">
        <v>6</v>
      </c>
      <c r="Y65" s="128"/>
      <c r="Z65" s="128"/>
      <c r="AA65" s="128"/>
      <c r="AB65" s="128"/>
      <c r="AC65" s="128"/>
      <c r="AD65" s="128"/>
      <c r="AE65" s="10" t="s">
        <v>6</v>
      </c>
      <c r="AF65" s="128"/>
      <c r="AG65" s="128"/>
    </row>
    <row r="66" ht="30.0" customHeight="1">
      <c r="B66" s="138" t="s">
        <v>375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0" t="s">
        <v>6</v>
      </c>
      <c r="AG66" s="139"/>
    </row>
    <row r="67" ht="30.0" customHeight="1">
      <c r="B67" s="135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</row>
    <row r="68" ht="30.0" customHeight="1">
      <c r="B68" s="140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</row>
    <row r="69" ht="30.0" customHeight="1">
      <c r="B69" s="127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</row>
    <row r="70" ht="30.0" customHeight="1">
      <c r="B70" s="140" t="str">
        <f>Setiembre!MonthName&amp;" Total"</f>
        <v>Setiembre Total</v>
      </c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</row>
    <row r="71" ht="30.0" customHeight="1"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4"/>
    </row>
    <row r="72" ht="30.0" customHeight="1">
      <c r="B72" s="38" t="s">
        <v>363</v>
      </c>
      <c r="C72" s="80" t="s">
        <v>356</v>
      </c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32">
        <f>CalendarioAño</f>
        <v>2025</v>
      </c>
    </row>
    <row r="73" ht="30.0" customHeight="1">
      <c r="B73" s="32"/>
      <c r="C73" s="162" t="s">
        <v>364</v>
      </c>
      <c r="D73" s="162" t="s">
        <v>365</v>
      </c>
      <c r="E73" s="133" t="str">
        <f>TEXT(WEEKDAY(DATE(CalendarioAño,8,6),1),"ddd")</f>
        <v>mié</v>
      </c>
      <c r="F73" s="133" t="str">
        <f>TEXT(WEEKDAY(DATE(CalendarioAño,8,7),1),"ddd")</f>
        <v>jue</v>
      </c>
      <c r="G73" s="162" t="s">
        <v>366</v>
      </c>
      <c r="H73" s="133" t="str">
        <f>TEXT(WEEKDAY(DATE(CalendarioAño,8,9),1),"ddd")</f>
        <v>sáb</v>
      </c>
      <c r="I73" s="162" t="s">
        <v>367</v>
      </c>
      <c r="J73" s="162" t="s">
        <v>364</v>
      </c>
      <c r="K73" s="162" t="s">
        <v>365</v>
      </c>
      <c r="L73" s="133" t="str">
        <f>TEXT(WEEKDAY(DATE(CalendarioAño,8,6),1),"ddd")</f>
        <v>mié</v>
      </c>
      <c r="M73" s="133" t="str">
        <f>TEXT(WEEKDAY(DATE(CalendarioAño,8,7),1),"ddd")</f>
        <v>jue</v>
      </c>
      <c r="N73" s="162" t="s">
        <v>366</v>
      </c>
      <c r="O73" s="133" t="str">
        <f>TEXT(WEEKDAY(DATE(CalendarioAño,8,9),1),"ddd")</f>
        <v>sáb</v>
      </c>
      <c r="P73" s="162" t="s">
        <v>367</v>
      </c>
      <c r="Q73" s="162" t="s">
        <v>364</v>
      </c>
      <c r="R73" s="162" t="s">
        <v>365</v>
      </c>
      <c r="S73" s="133" t="str">
        <f>TEXT(WEEKDAY(DATE(CalendarioAño,8,6),1),"ddd")</f>
        <v>mié</v>
      </c>
      <c r="T73" s="133" t="str">
        <f>TEXT(WEEKDAY(DATE(CalendarioAño,8,7),1),"ddd")</f>
        <v>jue</v>
      </c>
      <c r="U73" s="162" t="s">
        <v>366</v>
      </c>
      <c r="V73" s="133" t="str">
        <f>TEXT(WEEKDAY(DATE(CalendarioAño,8,9),1),"ddd")</f>
        <v>sáb</v>
      </c>
      <c r="W73" s="162" t="s">
        <v>367</v>
      </c>
      <c r="X73" s="162" t="s">
        <v>364</v>
      </c>
      <c r="Y73" s="162" t="s">
        <v>365</v>
      </c>
      <c r="Z73" s="133" t="str">
        <f>TEXT(WEEKDAY(DATE(CalendarioAño,8,6),1),"ddd")</f>
        <v>mié</v>
      </c>
      <c r="AA73" s="133" t="str">
        <f>TEXT(WEEKDAY(DATE(CalendarioAño,8,7),1),"ddd")</f>
        <v>jue</v>
      </c>
      <c r="AB73" s="162" t="s">
        <v>366</v>
      </c>
      <c r="AC73" s="133" t="str">
        <f>TEXT(WEEKDAY(DATE(CalendarioAño,8,9),1),"ddd")</f>
        <v>sáb</v>
      </c>
      <c r="AD73" s="162" t="s">
        <v>367</v>
      </c>
      <c r="AE73" s="162" t="s">
        <v>364</v>
      </c>
      <c r="AF73" s="162" t="s">
        <v>365</v>
      </c>
      <c r="AG73" s="32"/>
    </row>
    <row r="74" ht="30.0" customHeight="1">
      <c r="A74" s="115"/>
      <c r="B74" s="116" t="s">
        <v>202</v>
      </c>
      <c r="C74" s="117" t="s">
        <v>15</v>
      </c>
      <c r="D74" s="117" t="s">
        <v>16</v>
      </c>
      <c r="E74" s="117" t="s">
        <v>17</v>
      </c>
      <c r="F74" s="117" t="s">
        <v>18</v>
      </c>
      <c r="G74" s="117" t="s">
        <v>19</v>
      </c>
      <c r="H74" s="117" t="s">
        <v>20</v>
      </c>
      <c r="I74" s="117" t="s">
        <v>21</v>
      </c>
      <c r="J74" s="117" t="s">
        <v>22</v>
      </c>
      <c r="K74" s="117" t="s">
        <v>23</v>
      </c>
      <c r="L74" s="117" t="s">
        <v>24</v>
      </c>
      <c r="M74" s="117" t="s">
        <v>25</v>
      </c>
      <c r="N74" s="117" t="s">
        <v>26</v>
      </c>
      <c r="O74" s="117" t="s">
        <v>27</v>
      </c>
      <c r="P74" s="117" t="s">
        <v>28</v>
      </c>
      <c r="Q74" s="117" t="s">
        <v>29</v>
      </c>
      <c r="R74" s="117" t="s">
        <v>30</v>
      </c>
      <c r="S74" s="117" t="s">
        <v>31</v>
      </c>
      <c r="T74" s="117" t="s">
        <v>32</v>
      </c>
      <c r="U74" s="117" t="s">
        <v>33</v>
      </c>
      <c r="V74" s="117" t="s">
        <v>34</v>
      </c>
      <c r="W74" s="117" t="s">
        <v>35</v>
      </c>
      <c r="X74" s="117" t="s">
        <v>36</v>
      </c>
      <c r="Y74" s="117" t="s">
        <v>37</v>
      </c>
      <c r="Z74" s="117" t="s">
        <v>38</v>
      </c>
      <c r="AA74" s="117" t="s">
        <v>39</v>
      </c>
      <c r="AB74" s="117" t="s">
        <v>40</v>
      </c>
      <c r="AC74" s="117" t="s">
        <v>41</v>
      </c>
      <c r="AD74" s="117" t="s">
        <v>42</v>
      </c>
      <c r="AE74" s="117" t="s">
        <v>43</v>
      </c>
      <c r="AF74" s="117" t="s">
        <v>44</v>
      </c>
      <c r="AG74" s="117" t="s">
        <v>46</v>
      </c>
    </row>
    <row r="75" ht="30.0" customHeight="1">
      <c r="B75" s="132" t="s">
        <v>294</v>
      </c>
      <c r="C75" s="10" t="s">
        <v>6</v>
      </c>
      <c r="D75" s="128"/>
      <c r="E75" s="10" t="s">
        <v>6</v>
      </c>
      <c r="F75" s="128"/>
      <c r="G75" s="128"/>
      <c r="H75" s="128"/>
      <c r="I75" s="128"/>
      <c r="J75" s="10" t="s">
        <v>6</v>
      </c>
      <c r="K75" s="128"/>
      <c r="L75" s="128"/>
      <c r="M75" s="128"/>
      <c r="N75" s="128"/>
      <c r="O75" s="128"/>
      <c r="P75" s="128"/>
      <c r="Q75" s="128"/>
      <c r="R75" s="128"/>
      <c r="S75" s="10" t="s">
        <v>6</v>
      </c>
      <c r="T75" s="128"/>
      <c r="U75" s="128"/>
      <c r="V75" s="128"/>
      <c r="W75" s="128"/>
      <c r="X75" s="10" t="s">
        <v>6</v>
      </c>
      <c r="Y75" s="128"/>
      <c r="Z75" s="128"/>
      <c r="AA75" s="128"/>
      <c r="AB75" s="10" t="s">
        <v>6</v>
      </c>
      <c r="AC75" s="128"/>
      <c r="AD75" s="128"/>
      <c r="AE75" s="10" t="s">
        <v>6</v>
      </c>
      <c r="AF75" s="133"/>
      <c r="AG75" s="134"/>
    </row>
    <row r="76" ht="30.0" customHeight="1">
      <c r="B76" s="129" t="s">
        <v>106</v>
      </c>
      <c r="C76" s="139"/>
      <c r="D76" s="10" t="s">
        <v>6</v>
      </c>
      <c r="E76" s="139"/>
      <c r="F76" s="10" t="s">
        <v>6</v>
      </c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1"/>
    </row>
    <row r="77" ht="30.0" customHeight="1">
      <c r="B77" s="132" t="s">
        <v>337</v>
      </c>
      <c r="C77" s="10" t="s">
        <v>6</v>
      </c>
      <c r="D77" s="128"/>
      <c r="E77" s="128"/>
      <c r="F77" s="10" t="s">
        <v>6</v>
      </c>
      <c r="G77" s="10" t="s">
        <v>6</v>
      </c>
      <c r="H77" s="128"/>
      <c r="I77" s="128"/>
      <c r="J77" s="128"/>
      <c r="K77" s="10" t="s">
        <v>6</v>
      </c>
      <c r="L77" s="128"/>
      <c r="M77" s="128"/>
      <c r="N77" s="10" t="s">
        <v>6</v>
      </c>
      <c r="O77" s="128"/>
      <c r="P77" s="128"/>
      <c r="Q77" s="128"/>
      <c r="R77" s="10" t="s">
        <v>6</v>
      </c>
      <c r="S77" s="10" t="s">
        <v>6</v>
      </c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33"/>
      <c r="AG77" s="134"/>
    </row>
    <row r="78" ht="30.0" customHeight="1">
      <c r="B78" s="138" t="s">
        <v>79</v>
      </c>
      <c r="C78" s="139"/>
      <c r="D78" s="10" t="s">
        <v>6</v>
      </c>
      <c r="E78" s="139"/>
      <c r="F78" s="10" t="s">
        <v>6</v>
      </c>
      <c r="G78" s="139"/>
      <c r="H78" s="139"/>
      <c r="I78" s="139"/>
      <c r="J78" s="139"/>
      <c r="K78" s="10" t="s">
        <v>6</v>
      </c>
      <c r="L78" s="139"/>
      <c r="M78" s="10" t="s">
        <v>6</v>
      </c>
      <c r="N78" s="139"/>
      <c r="O78" s="139"/>
      <c r="P78" s="139"/>
      <c r="Q78" s="139"/>
      <c r="R78" s="10" t="s">
        <v>6</v>
      </c>
      <c r="S78" s="139"/>
      <c r="T78" s="10" t="s">
        <v>6</v>
      </c>
      <c r="U78" s="139"/>
      <c r="V78" s="139"/>
      <c r="W78" s="139"/>
      <c r="X78" s="139"/>
      <c r="Y78" s="10" t="s">
        <v>6</v>
      </c>
      <c r="Z78" s="139"/>
      <c r="AA78" s="10" t="s">
        <v>6</v>
      </c>
      <c r="AB78" s="139"/>
      <c r="AC78" s="139"/>
      <c r="AD78" s="139"/>
      <c r="AE78" s="139"/>
      <c r="AF78" s="139"/>
      <c r="AG78" s="131"/>
    </row>
    <row r="79" ht="30.0" customHeight="1">
      <c r="B79" s="135" t="s">
        <v>82</v>
      </c>
      <c r="C79" s="128"/>
      <c r="D79" s="10" t="s">
        <v>6</v>
      </c>
      <c r="E79" s="128"/>
      <c r="F79" s="10" t="s">
        <v>6</v>
      </c>
      <c r="G79" s="128"/>
      <c r="H79" s="128"/>
      <c r="I79" s="128"/>
      <c r="J79" s="128"/>
      <c r="K79" s="10" t="s">
        <v>6</v>
      </c>
      <c r="L79" s="128"/>
      <c r="M79" s="128"/>
      <c r="N79" s="10" t="s">
        <v>6</v>
      </c>
      <c r="O79" s="128"/>
      <c r="P79" s="128"/>
      <c r="Q79" s="128"/>
      <c r="R79" s="10" t="s">
        <v>6</v>
      </c>
      <c r="S79" s="128"/>
      <c r="T79" s="10" t="s">
        <v>6</v>
      </c>
      <c r="U79" s="128"/>
      <c r="V79" s="128"/>
      <c r="W79" s="128"/>
      <c r="X79" s="128"/>
      <c r="Y79" s="10" t="s">
        <v>6</v>
      </c>
      <c r="Z79" s="128"/>
      <c r="AA79" s="10" t="s">
        <v>6</v>
      </c>
      <c r="AB79" s="128"/>
      <c r="AC79" s="128"/>
      <c r="AD79" s="128"/>
      <c r="AE79" s="128"/>
      <c r="AF79" s="10" t="s">
        <v>6</v>
      </c>
      <c r="AG79" s="134"/>
    </row>
    <row r="80" ht="30.0" customHeight="1">
      <c r="B80" s="138" t="s">
        <v>297</v>
      </c>
      <c r="C80" s="10" t="s">
        <v>6</v>
      </c>
      <c r="D80" s="139"/>
      <c r="E80" s="139"/>
      <c r="F80" s="10" t="s">
        <v>6</v>
      </c>
      <c r="G80" s="139"/>
      <c r="H80" s="139"/>
      <c r="I80" s="139"/>
      <c r="J80" s="139"/>
      <c r="K80" s="10" t="s">
        <v>6</v>
      </c>
      <c r="L80" s="139"/>
      <c r="M80" s="139"/>
      <c r="N80" s="139"/>
      <c r="O80" s="139"/>
      <c r="P80" s="139"/>
      <c r="Q80" s="139"/>
      <c r="R80" s="10" t="s">
        <v>6</v>
      </c>
      <c r="S80" s="139"/>
      <c r="T80" s="139"/>
      <c r="U80" s="10" t="s">
        <v>6</v>
      </c>
      <c r="V80" s="139"/>
      <c r="W80" s="139"/>
      <c r="X80" s="139"/>
      <c r="Y80" s="10" t="s">
        <v>6</v>
      </c>
      <c r="Z80" s="139"/>
      <c r="AA80" s="10" t="s">
        <v>6</v>
      </c>
      <c r="AB80" s="139"/>
      <c r="AC80" s="139"/>
      <c r="AD80" s="139"/>
      <c r="AE80" s="10" t="s">
        <v>6</v>
      </c>
      <c r="AF80" s="139"/>
      <c r="AG80" s="131"/>
    </row>
    <row r="81" ht="30.0" customHeight="1">
      <c r="B81" s="135" t="s">
        <v>105</v>
      </c>
      <c r="C81" s="128"/>
      <c r="D81" s="10" t="s">
        <v>6</v>
      </c>
      <c r="E81" s="128"/>
      <c r="F81" s="128"/>
      <c r="G81" s="128"/>
      <c r="H81" s="128"/>
      <c r="I81" s="128"/>
      <c r="J81" s="10" t="s">
        <v>6</v>
      </c>
      <c r="K81" s="128"/>
      <c r="L81" s="128"/>
      <c r="M81" s="128"/>
      <c r="N81" s="10" t="s">
        <v>6</v>
      </c>
      <c r="O81" s="128"/>
      <c r="P81" s="128"/>
      <c r="Q81" s="128"/>
      <c r="R81" s="128"/>
      <c r="S81" s="10" t="s">
        <v>6</v>
      </c>
      <c r="T81" s="128"/>
      <c r="U81" s="10" t="s">
        <v>6</v>
      </c>
      <c r="V81" s="128"/>
      <c r="W81" s="128"/>
      <c r="X81" s="128"/>
      <c r="Y81" s="128"/>
      <c r="Z81" s="10" t="s">
        <v>6</v>
      </c>
      <c r="AA81" s="128"/>
      <c r="AB81" s="10" t="s">
        <v>6</v>
      </c>
      <c r="AC81" s="128"/>
      <c r="AD81" s="128"/>
      <c r="AE81" s="128"/>
      <c r="AF81" s="133"/>
      <c r="AG81" s="134"/>
    </row>
    <row r="82" ht="30.0" customHeight="1">
      <c r="B82" s="138" t="s">
        <v>357</v>
      </c>
      <c r="C82" s="10" t="s">
        <v>6</v>
      </c>
      <c r="D82" s="139"/>
      <c r="E82" s="139"/>
      <c r="F82" s="139"/>
      <c r="G82" s="139"/>
      <c r="H82" s="139"/>
      <c r="I82" s="139"/>
      <c r="J82" s="10" t="s">
        <v>6</v>
      </c>
      <c r="K82" s="139"/>
      <c r="L82" s="139"/>
      <c r="M82" s="139"/>
      <c r="N82" s="139"/>
      <c r="O82" s="139"/>
      <c r="P82" s="139"/>
      <c r="Q82" s="139"/>
      <c r="R82" s="139"/>
      <c r="S82" s="10" t="s">
        <v>6</v>
      </c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1"/>
    </row>
    <row r="83" ht="30.0" customHeight="1">
      <c r="B83" s="132" t="s">
        <v>115</v>
      </c>
      <c r="C83" s="128"/>
      <c r="D83" s="128"/>
      <c r="E83" s="128"/>
      <c r="F83" s="128"/>
      <c r="G83" s="10" t="s">
        <v>6</v>
      </c>
      <c r="H83" s="10" t="s">
        <v>6</v>
      </c>
      <c r="I83" s="128"/>
      <c r="J83" s="128"/>
      <c r="K83" s="128"/>
      <c r="L83" s="128"/>
      <c r="M83" s="128"/>
      <c r="N83" s="128"/>
      <c r="O83" s="128"/>
      <c r="P83" s="128"/>
      <c r="Q83" s="10" t="s">
        <v>6</v>
      </c>
      <c r="R83" s="128"/>
      <c r="S83" s="128"/>
      <c r="T83" s="128"/>
      <c r="U83" s="10" t="s">
        <v>6</v>
      </c>
      <c r="V83" s="10" t="s">
        <v>6</v>
      </c>
      <c r="W83" s="128"/>
      <c r="X83" s="128"/>
      <c r="Y83" s="128"/>
      <c r="Z83" s="128"/>
      <c r="AA83" s="128"/>
      <c r="AB83" s="10" t="s">
        <v>6</v>
      </c>
      <c r="AC83" s="10" t="s">
        <v>6</v>
      </c>
      <c r="AD83" s="128"/>
      <c r="AE83" s="128"/>
      <c r="AF83" s="133"/>
      <c r="AG83" s="134"/>
    </row>
    <row r="84" ht="30.0" customHeight="1">
      <c r="B84" s="138" t="s">
        <v>302</v>
      </c>
      <c r="C84" s="139"/>
      <c r="D84" s="139"/>
      <c r="E84" s="139"/>
      <c r="F84" s="139"/>
      <c r="G84" s="139"/>
      <c r="H84" s="10" t="s">
        <v>6</v>
      </c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0" t="s">
        <v>6</v>
      </c>
      <c r="W84" s="139"/>
      <c r="X84" s="139"/>
      <c r="Y84" s="139"/>
      <c r="Z84" s="139"/>
      <c r="AA84" s="139"/>
      <c r="AB84" s="139"/>
      <c r="AC84" s="10" t="s">
        <v>6</v>
      </c>
      <c r="AD84" s="139"/>
      <c r="AE84" s="139"/>
      <c r="AF84" s="139"/>
      <c r="AG84" s="139"/>
    </row>
    <row r="85" ht="30.0" customHeight="1">
      <c r="B85" s="132" t="s">
        <v>308</v>
      </c>
      <c r="C85" s="128"/>
      <c r="D85" s="128"/>
      <c r="E85" s="128"/>
      <c r="F85" s="128"/>
      <c r="G85" s="128"/>
      <c r="H85" s="10" t="s">
        <v>6</v>
      </c>
      <c r="I85" s="128"/>
      <c r="J85" s="128"/>
      <c r="K85" s="128"/>
      <c r="L85" s="128"/>
      <c r="M85" s="128"/>
      <c r="N85" s="128"/>
      <c r="O85" s="10" t="s">
        <v>6</v>
      </c>
      <c r="P85" s="128"/>
      <c r="Q85" s="128"/>
      <c r="R85" s="128"/>
      <c r="S85" s="128"/>
      <c r="T85" s="128"/>
      <c r="U85" s="128"/>
      <c r="V85" s="10" t="s">
        <v>6</v>
      </c>
      <c r="W85" s="128"/>
      <c r="X85" s="128"/>
      <c r="Y85" s="128"/>
      <c r="Z85" s="128"/>
      <c r="AA85" s="128"/>
      <c r="AB85" s="128"/>
      <c r="AC85" s="10" t="s">
        <v>6</v>
      </c>
      <c r="AD85" s="128"/>
      <c r="AE85" s="128"/>
      <c r="AF85" s="128"/>
      <c r="AG85" s="128"/>
    </row>
    <row r="86" ht="30.0" customHeight="1">
      <c r="B86" s="129" t="s">
        <v>121</v>
      </c>
      <c r="C86" s="139"/>
      <c r="D86" s="139"/>
      <c r="E86" s="139"/>
      <c r="F86" s="139"/>
      <c r="G86" s="139"/>
      <c r="H86" s="10" t="s">
        <v>6</v>
      </c>
      <c r="I86" s="139"/>
      <c r="J86" s="139"/>
      <c r="K86" s="139"/>
      <c r="L86" s="139"/>
      <c r="M86" s="139"/>
      <c r="N86" s="139"/>
      <c r="O86" s="10" t="s">
        <v>6</v>
      </c>
      <c r="P86" s="139"/>
      <c r="Q86" s="139"/>
      <c r="R86" s="139"/>
      <c r="S86" s="139"/>
      <c r="T86" s="139"/>
      <c r="U86" s="139"/>
      <c r="V86" s="10" t="s">
        <v>6</v>
      </c>
      <c r="W86" s="139"/>
      <c r="X86" s="139"/>
      <c r="Y86" s="139"/>
      <c r="Z86" s="139"/>
      <c r="AA86" s="139"/>
      <c r="AB86" s="139"/>
      <c r="AC86" s="10" t="s">
        <v>6</v>
      </c>
      <c r="AD86" s="139"/>
      <c r="AE86" s="139"/>
      <c r="AF86" s="139"/>
      <c r="AG86" s="139"/>
    </row>
    <row r="87" ht="30.0" customHeight="1">
      <c r="B87" s="132" t="s">
        <v>376</v>
      </c>
      <c r="C87" s="128"/>
      <c r="D87" s="128"/>
      <c r="E87" s="128"/>
      <c r="F87" s="128"/>
      <c r="G87" s="128"/>
      <c r="H87" s="10" t="s">
        <v>6</v>
      </c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</row>
    <row r="88" ht="30.0" customHeight="1">
      <c r="B88" s="129" t="s">
        <v>377</v>
      </c>
      <c r="C88" s="139"/>
      <c r="D88" s="139"/>
      <c r="E88" s="139"/>
      <c r="F88" s="139"/>
      <c r="G88" s="139"/>
      <c r="H88" s="10" t="s">
        <v>6</v>
      </c>
      <c r="I88" s="139"/>
      <c r="J88" s="139"/>
      <c r="K88" s="139"/>
      <c r="L88" s="139"/>
      <c r="M88" s="139"/>
      <c r="N88" s="139"/>
      <c r="O88" s="10" t="s">
        <v>6</v>
      </c>
      <c r="P88" s="139"/>
      <c r="Q88" s="139"/>
      <c r="R88" s="139"/>
      <c r="S88" s="139"/>
      <c r="T88" s="139"/>
      <c r="U88" s="139"/>
      <c r="V88" s="10" t="s">
        <v>6</v>
      </c>
      <c r="W88" s="139"/>
      <c r="X88" s="139"/>
      <c r="Y88" s="139"/>
      <c r="Z88" s="139"/>
      <c r="AA88" s="139"/>
      <c r="AB88" s="139"/>
      <c r="AC88" s="10" t="s">
        <v>6</v>
      </c>
      <c r="AD88" s="139"/>
      <c r="AE88" s="139"/>
      <c r="AF88" s="139"/>
      <c r="AG88" s="139"/>
    </row>
    <row r="89" ht="30.0" customHeight="1">
      <c r="B89" s="132" t="s">
        <v>286</v>
      </c>
      <c r="C89" s="128"/>
      <c r="D89" s="128"/>
      <c r="E89" s="128"/>
      <c r="F89" s="128"/>
      <c r="G89" s="128"/>
      <c r="H89" s="128"/>
      <c r="I89" s="128"/>
      <c r="J89" s="10" t="s">
        <v>6</v>
      </c>
      <c r="K89" s="128"/>
      <c r="L89" s="128"/>
      <c r="M89" s="10" t="s">
        <v>6</v>
      </c>
      <c r="N89" s="128"/>
      <c r="O89" s="128"/>
      <c r="P89" s="128"/>
      <c r="Q89" s="10" t="s">
        <v>6</v>
      </c>
      <c r="R89" s="10" t="s">
        <v>6</v>
      </c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</row>
    <row r="90" ht="30.0" customHeight="1">
      <c r="B90" s="129" t="s">
        <v>378</v>
      </c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0" t="s">
        <v>6</v>
      </c>
      <c r="U90" s="139"/>
      <c r="V90" s="139"/>
      <c r="W90" s="139"/>
      <c r="X90" s="139"/>
      <c r="Y90" s="10" t="s">
        <v>6</v>
      </c>
      <c r="Z90" s="139"/>
      <c r="AA90" s="10" t="s">
        <v>6</v>
      </c>
      <c r="AB90" s="139"/>
      <c r="AC90" s="139"/>
      <c r="AD90" s="139"/>
      <c r="AE90" s="139"/>
      <c r="AF90" s="139"/>
      <c r="AG90" s="139"/>
    </row>
    <row r="91" ht="30.0" customHeight="1">
      <c r="B91" s="132" t="s">
        <v>376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0" t="s">
        <v>6</v>
      </c>
      <c r="W91" s="128"/>
      <c r="X91" s="128"/>
      <c r="Y91" s="128"/>
      <c r="Z91" s="128"/>
      <c r="AA91" s="128"/>
      <c r="AB91" s="128"/>
      <c r="AC91" s="10" t="s">
        <v>6</v>
      </c>
      <c r="AD91" s="128"/>
      <c r="AE91" s="128"/>
      <c r="AF91" s="128"/>
      <c r="AG91" s="128"/>
    </row>
    <row r="92" ht="30.0" customHeight="1">
      <c r="B92" s="129" t="s">
        <v>379</v>
      </c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0" t="s">
        <v>6</v>
      </c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</row>
    <row r="93" ht="30.0" customHeight="1">
      <c r="B93" s="132" t="s">
        <v>380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0" t="s">
        <v>6</v>
      </c>
      <c r="AA93" s="10" t="s">
        <v>6</v>
      </c>
      <c r="AB93" s="128"/>
      <c r="AC93" s="128"/>
      <c r="AD93" s="128"/>
      <c r="AE93" s="128"/>
      <c r="AF93" s="128"/>
      <c r="AG93" s="128"/>
    </row>
    <row r="94" ht="30.0" customHeight="1">
      <c r="B94" s="140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</row>
    <row r="95" ht="30.0" customHeight="1">
      <c r="B95" s="127" t="str">
        <f>Setiembre!MonthName&amp;" Total"</f>
        <v>Setiembre Total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</row>
    <row r="96" ht="30.0" customHeight="1"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1"/>
    </row>
    <row r="97" ht="30.0" customHeight="1">
      <c r="B97" s="38" t="s">
        <v>363</v>
      </c>
      <c r="C97" s="80" t="s">
        <v>338</v>
      </c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4"/>
    </row>
    <row r="98" ht="30.0" customHeight="1">
      <c r="B98" s="32"/>
      <c r="C98" s="161" t="s">
        <v>364</v>
      </c>
      <c r="D98" s="161" t="s">
        <v>365</v>
      </c>
      <c r="E98" s="130" t="str">
        <f>TEXT(WEEKDAY(DATE(CalendarioAño,8,6),1),"ddd")</f>
        <v>mié</v>
      </c>
      <c r="F98" s="130" t="str">
        <f>TEXT(WEEKDAY(DATE(CalendarioAño,8,7),1),"ddd")</f>
        <v>jue</v>
      </c>
      <c r="G98" s="161" t="s">
        <v>366</v>
      </c>
      <c r="H98" s="130" t="str">
        <f>TEXT(WEEKDAY(DATE(CalendarioAño,8,9),1),"ddd")</f>
        <v>sáb</v>
      </c>
      <c r="I98" s="161" t="s">
        <v>367</v>
      </c>
      <c r="J98" s="161" t="s">
        <v>364</v>
      </c>
      <c r="K98" s="161" t="s">
        <v>365</v>
      </c>
      <c r="L98" s="130" t="str">
        <f>TEXT(WEEKDAY(DATE(CalendarioAño,8,6),1),"ddd")</f>
        <v>mié</v>
      </c>
      <c r="M98" s="130" t="str">
        <f>TEXT(WEEKDAY(DATE(CalendarioAño,8,7),1),"ddd")</f>
        <v>jue</v>
      </c>
      <c r="N98" s="161" t="s">
        <v>366</v>
      </c>
      <c r="O98" s="130" t="str">
        <f>TEXT(WEEKDAY(DATE(CalendarioAño,8,9),1),"ddd")</f>
        <v>sáb</v>
      </c>
      <c r="P98" s="161" t="s">
        <v>367</v>
      </c>
      <c r="Q98" s="161" t="s">
        <v>364</v>
      </c>
      <c r="R98" s="161" t="s">
        <v>365</v>
      </c>
      <c r="S98" s="130" t="str">
        <f>TEXT(WEEKDAY(DATE(CalendarioAño,8,6),1),"ddd")</f>
        <v>mié</v>
      </c>
      <c r="T98" s="130" t="str">
        <f>TEXT(WEEKDAY(DATE(CalendarioAño,8,7),1),"ddd")</f>
        <v>jue</v>
      </c>
      <c r="U98" s="161" t="s">
        <v>366</v>
      </c>
      <c r="V98" s="130" t="str">
        <f>TEXT(WEEKDAY(DATE(CalendarioAño,8,9),1),"ddd")</f>
        <v>sáb</v>
      </c>
      <c r="W98" s="161" t="s">
        <v>367</v>
      </c>
      <c r="X98" s="161" t="s">
        <v>364</v>
      </c>
      <c r="Y98" s="161" t="s">
        <v>365</v>
      </c>
      <c r="Z98" s="130" t="str">
        <f>TEXT(WEEKDAY(DATE(CalendarioAño,8,6),1),"ddd")</f>
        <v>mié</v>
      </c>
      <c r="AA98" s="130" t="str">
        <f>TEXT(WEEKDAY(DATE(CalendarioAño,8,7),1),"ddd")</f>
        <v>jue</v>
      </c>
      <c r="AB98" s="161" t="s">
        <v>366</v>
      </c>
      <c r="AC98" s="130" t="str">
        <f>TEXT(WEEKDAY(DATE(CalendarioAño,8,9),1),"ddd")</f>
        <v>sáb</v>
      </c>
      <c r="AD98" s="161" t="s">
        <v>367</v>
      </c>
      <c r="AE98" s="161" t="s">
        <v>364</v>
      </c>
      <c r="AF98" s="161" t="s">
        <v>365</v>
      </c>
      <c r="AG98" s="131"/>
    </row>
    <row r="99" ht="30.0" customHeight="1">
      <c r="A99" s="115"/>
      <c r="B99" s="116" t="s">
        <v>202</v>
      </c>
      <c r="C99" s="117" t="s">
        <v>15</v>
      </c>
      <c r="D99" s="117" t="s">
        <v>16</v>
      </c>
      <c r="E99" s="117" t="s">
        <v>17</v>
      </c>
      <c r="F99" s="117" t="s">
        <v>18</v>
      </c>
      <c r="G99" s="117" t="s">
        <v>19</v>
      </c>
      <c r="H99" s="117" t="s">
        <v>20</v>
      </c>
      <c r="I99" s="117" t="s">
        <v>21</v>
      </c>
      <c r="J99" s="117" t="s">
        <v>22</v>
      </c>
      <c r="K99" s="117" t="s">
        <v>23</v>
      </c>
      <c r="L99" s="117" t="s">
        <v>24</v>
      </c>
      <c r="M99" s="117" t="s">
        <v>25</v>
      </c>
      <c r="N99" s="117" t="s">
        <v>26</v>
      </c>
      <c r="O99" s="117" t="s">
        <v>27</v>
      </c>
      <c r="P99" s="117" t="s">
        <v>28</v>
      </c>
      <c r="Q99" s="117" t="s">
        <v>29</v>
      </c>
      <c r="R99" s="117" t="s">
        <v>30</v>
      </c>
      <c r="S99" s="117" t="s">
        <v>31</v>
      </c>
      <c r="T99" s="117" t="s">
        <v>32</v>
      </c>
      <c r="U99" s="117" t="s">
        <v>33</v>
      </c>
      <c r="V99" s="117" t="s">
        <v>34</v>
      </c>
      <c r="W99" s="117" t="s">
        <v>35</v>
      </c>
      <c r="X99" s="117" t="s">
        <v>36</v>
      </c>
      <c r="Y99" s="117" t="s">
        <v>37</v>
      </c>
      <c r="Z99" s="117" t="s">
        <v>38</v>
      </c>
      <c r="AA99" s="117" t="s">
        <v>39</v>
      </c>
      <c r="AB99" s="117" t="s">
        <v>40</v>
      </c>
      <c r="AC99" s="117" t="s">
        <v>41</v>
      </c>
      <c r="AD99" s="117" t="s">
        <v>42</v>
      </c>
      <c r="AE99" s="117" t="s">
        <v>43</v>
      </c>
      <c r="AF99" s="117" t="s">
        <v>44</v>
      </c>
      <c r="AG99" s="134"/>
    </row>
    <row r="100" ht="30.0" customHeight="1">
      <c r="B100" s="129" t="s">
        <v>307</v>
      </c>
      <c r="C100" s="139"/>
      <c r="D100" s="139"/>
      <c r="E100" s="10" t="s">
        <v>6</v>
      </c>
      <c r="F100" s="139"/>
      <c r="G100" s="10" t="s">
        <v>6</v>
      </c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0" t="s">
        <v>6</v>
      </c>
      <c r="AA100" s="139"/>
      <c r="AB100" s="10" t="s">
        <v>6</v>
      </c>
      <c r="AC100" s="139"/>
      <c r="AD100" s="139"/>
      <c r="AE100" s="10" t="s">
        <v>6</v>
      </c>
      <c r="AF100" s="139"/>
      <c r="AG100" s="131"/>
    </row>
    <row r="101" ht="30.0" customHeight="1">
      <c r="B101" s="132" t="s">
        <v>340</v>
      </c>
      <c r="C101" s="128"/>
      <c r="D101" s="128"/>
      <c r="E101" s="10" t="s">
        <v>6</v>
      </c>
      <c r="F101" s="128"/>
      <c r="G101" s="10" t="s">
        <v>6</v>
      </c>
      <c r="H101" s="128"/>
      <c r="I101" s="128"/>
      <c r="J101" s="128"/>
      <c r="K101" s="10" t="s">
        <v>6</v>
      </c>
      <c r="L101" s="128"/>
      <c r="M101" s="128"/>
      <c r="N101" s="10" t="s">
        <v>6</v>
      </c>
      <c r="O101" s="128"/>
      <c r="P101" s="128"/>
      <c r="Q101" s="128"/>
      <c r="R101" s="10" t="s">
        <v>6</v>
      </c>
      <c r="S101" s="128"/>
      <c r="T101" s="128"/>
      <c r="U101" s="10" t="s">
        <v>6</v>
      </c>
      <c r="V101" s="128"/>
      <c r="W101" s="128"/>
      <c r="X101" s="128"/>
      <c r="Y101" s="128"/>
      <c r="Z101" s="10" t="s">
        <v>6</v>
      </c>
      <c r="AA101" s="128"/>
      <c r="AB101" s="10" t="s">
        <v>6</v>
      </c>
      <c r="AC101" s="128"/>
      <c r="AD101" s="128"/>
      <c r="AE101" s="128"/>
      <c r="AF101" s="10" t="s">
        <v>6</v>
      </c>
      <c r="AG101" s="134"/>
    </row>
    <row r="102" ht="30.0" customHeight="1">
      <c r="B102" s="129" t="s">
        <v>341</v>
      </c>
      <c r="C102" s="139"/>
      <c r="D102" s="139"/>
      <c r="E102" s="10" t="s">
        <v>6</v>
      </c>
      <c r="F102" s="139"/>
      <c r="G102" s="10" t="s">
        <v>6</v>
      </c>
      <c r="H102" s="139"/>
      <c r="I102" s="139"/>
      <c r="J102" s="139"/>
      <c r="K102" s="10" t="s">
        <v>6</v>
      </c>
      <c r="L102" s="139"/>
      <c r="M102" s="139"/>
      <c r="N102" s="10" t="s">
        <v>6</v>
      </c>
      <c r="O102" s="139"/>
      <c r="P102" s="139"/>
      <c r="Q102" s="139"/>
      <c r="R102" s="139"/>
      <c r="S102" s="10" t="s">
        <v>6</v>
      </c>
      <c r="T102" s="139"/>
      <c r="U102" s="10" t="s">
        <v>6</v>
      </c>
      <c r="V102" s="139"/>
      <c r="W102" s="139"/>
      <c r="X102" s="139"/>
      <c r="Y102" s="10" t="s">
        <v>6</v>
      </c>
      <c r="Z102" s="139"/>
      <c r="AA102" s="139"/>
      <c r="AB102" s="10" t="s">
        <v>6</v>
      </c>
      <c r="AC102" s="139"/>
      <c r="AD102" s="139"/>
      <c r="AE102" s="139"/>
      <c r="AF102" s="10" t="s">
        <v>6</v>
      </c>
      <c r="AG102" s="131"/>
    </row>
    <row r="103" ht="30.0" customHeight="1">
      <c r="B103" s="135" t="s">
        <v>339</v>
      </c>
      <c r="C103" s="10" t="s">
        <v>6</v>
      </c>
      <c r="D103" s="128"/>
      <c r="E103" s="10" t="s">
        <v>6</v>
      </c>
      <c r="F103" s="128"/>
      <c r="G103" s="128"/>
      <c r="H103" s="128"/>
      <c r="I103" s="128"/>
      <c r="J103" s="128"/>
      <c r="K103" s="10" t="s">
        <v>6</v>
      </c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33"/>
      <c r="AG103" s="134"/>
    </row>
    <row r="104" ht="30.0" customHeight="1">
      <c r="B104" s="138" t="s">
        <v>311</v>
      </c>
      <c r="C104" s="139"/>
      <c r="D104" s="139"/>
      <c r="E104" s="139"/>
      <c r="F104" s="10" t="s">
        <v>6</v>
      </c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1"/>
    </row>
    <row r="105" ht="30.0" customHeight="1">
      <c r="B105" s="135" t="s">
        <v>298</v>
      </c>
      <c r="C105" s="128"/>
      <c r="D105" s="128"/>
      <c r="E105" s="128"/>
      <c r="F105" s="128"/>
      <c r="G105" s="10" t="s">
        <v>6</v>
      </c>
      <c r="H105" s="10" t="s">
        <v>6</v>
      </c>
      <c r="I105" s="128"/>
      <c r="J105" s="128"/>
      <c r="K105" s="128"/>
      <c r="L105" s="128"/>
      <c r="M105" s="128"/>
      <c r="N105" s="10" t="s">
        <v>6</v>
      </c>
      <c r="O105" s="128"/>
      <c r="P105" s="128"/>
      <c r="Q105" s="128"/>
      <c r="R105" s="128"/>
      <c r="S105" s="10" t="s">
        <v>6</v>
      </c>
      <c r="T105" s="128"/>
      <c r="U105" s="10" t="s">
        <v>6</v>
      </c>
      <c r="V105" s="128"/>
      <c r="W105" s="128"/>
      <c r="X105" s="128"/>
      <c r="Y105" s="128"/>
      <c r="Z105" s="10" t="s">
        <v>6</v>
      </c>
      <c r="AA105" s="128"/>
      <c r="AB105" s="10" t="s">
        <v>6</v>
      </c>
      <c r="AC105" s="128"/>
      <c r="AD105" s="128"/>
      <c r="AE105" s="128"/>
      <c r="AF105" s="133"/>
      <c r="AG105" s="134"/>
    </row>
    <row r="106" ht="30.0" customHeight="1">
      <c r="B106" s="138" t="s">
        <v>178</v>
      </c>
      <c r="C106" s="139"/>
      <c r="D106" s="139"/>
      <c r="E106" s="139"/>
      <c r="F106" s="139"/>
      <c r="G106" s="139"/>
      <c r="H106" s="10" t="s">
        <v>6</v>
      </c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0" t="s">
        <v>6</v>
      </c>
      <c r="T106" s="139"/>
      <c r="U106" s="139"/>
      <c r="V106" s="10" t="s">
        <v>6</v>
      </c>
      <c r="W106" s="139"/>
      <c r="X106" s="139"/>
      <c r="Y106" s="139"/>
      <c r="Z106" s="10" t="s">
        <v>6</v>
      </c>
      <c r="AA106" s="139"/>
      <c r="AB106" s="139"/>
      <c r="AC106" s="139"/>
      <c r="AD106" s="139"/>
      <c r="AE106" s="139"/>
      <c r="AF106" s="139"/>
      <c r="AG106" s="131"/>
    </row>
    <row r="107" ht="30.0" customHeight="1">
      <c r="B107" s="132" t="s">
        <v>133</v>
      </c>
      <c r="C107" s="128"/>
      <c r="D107" s="128"/>
      <c r="E107" s="128"/>
      <c r="F107" s="128"/>
      <c r="G107" s="128"/>
      <c r="H107" s="128"/>
      <c r="I107" s="128"/>
      <c r="J107" s="10" t="s">
        <v>6</v>
      </c>
      <c r="K107" s="128"/>
      <c r="L107" s="128"/>
      <c r="M107" s="128"/>
      <c r="N107" s="128"/>
      <c r="O107" s="128"/>
      <c r="P107" s="128"/>
      <c r="Q107" s="10" t="s">
        <v>6</v>
      </c>
      <c r="R107" s="128"/>
      <c r="S107" s="10" t="s">
        <v>6</v>
      </c>
      <c r="T107" s="128"/>
      <c r="U107" s="10" t="s">
        <v>6</v>
      </c>
      <c r="V107" s="128"/>
      <c r="W107" s="128"/>
      <c r="X107" s="128"/>
      <c r="Y107" s="128"/>
      <c r="Z107" s="10" t="s">
        <v>6</v>
      </c>
      <c r="AA107" s="128"/>
      <c r="AB107" s="10" t="s">
        <v>6</v>
      </c>
      <c r="AC107" s="128"/>
      <c r="AD107" s="128"/>
      <c r="AE107" s="128"/>
      <c r="AF107" s="133"/>
      <c r="AG107" s="134"/>
    </row>
    <row r="108" ht="30.0" customHeight="1">
      <c r="B108" s="138" t="s">
        <v>358</v>
      </c>
      <c r="C108" s="139"/>
      <c r="D108" s="139"/>
      <c r="E108" s="139"/>
      <c r="F108" s="139"/>
      <c r="G108" s="139"/>
      <c r="H108" s="139"/>
      <c r="I108" s="139"/>
      <c r="J108" s="10" t="s">
        <v>6</v>
      </c>
      <c r="K108" s="139"/>
      <c r="L108" s="139"/>
      <c r="M108" s="139"/>
      <c r="N108" s="10" t="s">
        <v>6</v>
      </c>
      <c r="O108" s="139"/>
      <c r="P108" s="139"/>
      <c r="Q108" s="10" t="s">
        <v>6</v>
      </c>
      <c r="R108" s="139"/>
      <c r="S108" s="10" t="s">
        <v>6</v>
      </c>
      <c r="T108" s="139"/>
      <c r="U108" s="139"/>
      <c r="V108" s="139"/>
      <c r="W108" s="139"/>
      <c r="X108" s="10" t="s">
        <v>6</v>
      </c>
      <c r="Y108" s="139"/>
      <c r="Z108" s="10" t="s">
        <v>6</v>
      </c>
      <c r="AA108" s="139"/>
      <c r="AB108" s="139"/>
      <c r="AC108" s="139"/>
      <c r="AD108" s="139"/>
      <c r="AE108" s="10" t="s">
        <v>6</v>
      </c>
      <c r="AF108" s="139"/>
      <c r="AG108" s="131"/>
    </row>
    <row r="109" ht="30.0" customHeight="1">
      <c r="B109" s="132" t="s">
        <v>111</v>
      </c>
      <c r="C109" s="128"/>
      <c r="D109" s="128"/>
      <c r="E109" s="128"/>
      <c r="F109" s="128"/>
      <c r="G109" s="128"/>
      <c r="H109" s="128"/>
      <c r="I109" s="128"/>
      <c r="J109" s="128"/>
      <c r="K109" s="10" t="s">
        <v>6</v>
      </c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34"/>
    </row>
    <row r="110" ht="30.0" customHeight="1">
      <c r="B110" s="138" t="s">
        <v>284</v>
      </c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0" t="s">
        <v>6</v>
      </c>
      <c r="T110" s="139"/>
      <c r="U110" s="139"/>
      <c r="V110" s="139"/>
      <c r="W110" s="139"/>
      <c r="X110" s="139"/>
      <c r="Y110" s="10" t="s">
        <v>6</v>
      </c>
      <c r="Z110" s="10" t="s">
        <v>6</v>
      </c>
      <c r="AA110" s="139"/>
      <c r="AB110" s="10" t="s">
        <v>6</v>
      </c>
      <c r="AC110" s="139"/>
      <c r="AD110" s="139"/>
      <c r="AE110" s="139"/>
      <c r="AF110" s="139"/>
      <c r="AG110" s="131"/>
    </row>
    <row r="111" ht="30.0" customHeight="1">
      <c r="B111" s="135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34"/>
    </row>
    <row r="112" ht="30.0" customHeight="1">
      <c r="B112" s="140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1"/>
    </row>
    <row r="113" ht="30.0" customHeight="1">
      <c r="B113" s="127" t="str">
        <f>Setiembre!MonthName&amp;" Total"</f>
        <v>Setiembre Total</v>
      </c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34"/>
    </row>
    <row r="114" ht="30.0" customHeight="1"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1"/>
    </row>
    <row r="115" ht="30.0" customHeight="1">
      <c r="B115" s="38" t="s">
        <v>363</v>
      </c>
      <c r="C115" s="101" t="s">
        <v>359</v>
      </c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4"/>
    </row>
    <row r="116" ht="30.0" customHeight="1">
      <c r="B116" s="32"/>
      <c r="C116" s="161" t="s">
        <v>364</v>
      </c>
      <c r="D116" s="161" t="s">
        <v>365</v>
      </c>
      <c r="E116" s="130" t="str">
        <f>TEXT(WEEKDAY(DATE(CalendarioAño,8,6),1),"ddd")</f>
        <v>mié</v>
      </c>
      <c r="F116" s="130" t="str">
        <f>TEXT(WEEKDAY(DATE(CalendarioAño,8,7),1),"ddd")</f>
        <v>jue</v>
      </c>
      <c r="G116" s="161" t="s">
        <v>366</v>
      </c>
      <c r="H116" s="130" t="str">
        <f>TEXT(WEEKDAY(DATE(CalendarioAño,8,9),1),"ddd")</f>
        <v>sáb</v>
      </c>
      <c r="I116" s="161" t="s">
        <v>367</v>
      </c>
      <c r="J116" s="161" t="s">
        <v>364</v>
      </c>
      <c r="K116" s="161" t="s">
        <v>365</v>
      </c>
      <c r="L116" s="130" t="str">
        <f>TEXT(WEEKDAY(DATE(CalendarioAño,8,6),1),"ddd")</f>
        <v>mié</v>
      </c>
      <c r="M116" s="130" t="str">
        <f>TEXT(WEEKDAY(DATE(CalendarioAño,8,7),1),"ddd")</f>
        <v>jue</v>
      </c>
      <c r="N116" s="161" t="s">
        <v>366</v>
      </c>
      <c r="O116" s="130" t="str">
        <f>TEXT(WEEKDAY(DATE(CalendarioAño,8,9),1),"ddd")</f>
        <v>sáb</v>
      </c>
      <c r="P116" s="161" t="s">
        <v>367</v>
      </c>
      <c r="Q116" s="161" t="s">
        <v>364</v>
      </c>
      <c r="R116" s="161" t="s">
        <v>365</v>
      </c>
      <c r="S116" s="130" t="str">
        <f>TEXT(WEEKDAY(DATE(CalendarioAño,8,6),1),"ddd")</f>
        <v>mié</v>
      </c>
      <c r="T116" s="130" t="str">
        <f>TEXT(WEEKDAY(DATE(CalendarioAño,8,7),1),"ddd")</f>
        <v>jue</v>
      </c>
      <c r="U116" s="161" t="s">
        <v>366</v>
      </c>
      <c r="V116" s="130" t="str">
        <f>TEXT(WEEKDAY(DATE(CalendarioAño,8,9),1),"ddd")</f>
        <v>sáb</v>
      </c>
      <c r="W116" s="161" t="s">
        <v>367</v>
      </c>
      <c r="X116" s="161" t="s">
        <v>364</v>
      </c>
      <c r="Y116" s="161" t="s">
        <v>365</v>
      </c>
      <c r="Z116" s="130" t="str">
        <f>TEXT(WEEKDAY(DATE(CalendarioAño,8,6),1),"ddd")</f>
        <v>mié</v>
      </c>
      <c r="AA116" s="130" t="str">
        <f>TEXT(WEEKDAY(DATE(CalendarioAño,8,7),1),"ddd")</f>
        <v>jue</v>
      </c>
      <c r="AB116" s="161" t="s">
        <v>366</v>
      </c>
      <c r="AC116" s="130" t="str">
        <f>TEXT(WEEKDAY(DATE(CalendarioAño,8,9),1),"ddd")</f>
        <v>sáb</v>
      </c>
      <c r="AD116" s="161" t="s">
        <v>367</v>
      </c>
      <c r="AE116" s="161" t="s">
        <v>364</v>
      </c>
      <c r="AF116" s="161" t="s">
        <v>365</v>
      </c>
      <c r="AG116" s="131"/>
    </row>
    <row r="117" ht="30.0" customHeight="1">
      <c r="A117" s="115"/>
      <c r="B117" s="116" t="s">
        <v>202</v>
      </c>
      <c r="C117" s="117" t="s">
        <v>15</v>
      </c>
      <c r="D117" s="117" t="s">
        <v>16</v>
      </c>
      <c r="E117" s="117" t="s">
        <v>17</v>
      </c>
      <c r="F117" s="117" t="s">
        <v>18</v>
      </c>
      <c r="G117" s="117" t="s">
        <v>19</v>
      </c>
      <c r="H117" s="117" t="s">
        <v>20</v>
      </c>
      <c r="I117" s="117" t="s">
        <v>21</v>
      </c>
      <c r="J117" s="117" t="s">
        <v>22</v>
      </c>
      <c r="K117" s="117" t="s">
        <v>23</v>
      </c>
      <c r="L117" s="117" t="s">
        <v>24</v>
      </c>
      <c r="M117" s="117" t="s">
        <v>25</v>
      </c>
      <c r="N117" s="117" t="s">
        <v>26</v>
      </c>
      <c r="O117" s="117" t="s">
        <v>27</v>
      </c>
      <c r="P117" s="117" t="s">
        <v>28</v>
      </c>
      <c r="Q117" s="117" t="s">
        <v>29</v>
      </c>
      <c r="R117" s="117" t="s">
        <v>30</v>
      </c>
      <c r="S117" s="117" t="s">
        <v>31</v>
      </c>
      <c r="T117" s="117" t="s">
        <v>32</v>
      </c>
      <c r="U117" s="117" t="s">
        <v>33</v>
      </c>
      <c r="V117" s="117" t="s">
        <v>34</v>
      </c>
      <c r="W117" s="117" t="s">
        <v>35</v>
      </c>
      <c r="X117" s="117" t="s">
        <v>36</v>
      </c>
      <c r="Y117" s="117" t="s">
        <v>37</v>
      </c>
      <c r="Z117" s="117" t="s">
        <v>38</v>
      </c>
      <c r="AA117" s="117" t="s">
        <v>39</v>
      </c>
      <c r="AB117" s="117" t="s">
        <v>40</v>
      </c>
      <c r="AC117" s="117" t="s">
        <v>41</v>
      </c>
      <c r="AD117" s="117" t="s">
        <v>42</v>
      </c>
      <c r="AE117" s="117" t="s">
        <v>43</v>
      </c>
      <c r="AF117" s="117" t="s">
        <v>44</v>
      </c>
      <c r="AG117" s="134"/>
    </row>
    <row r="118" ht="30.0" customHeight="1">
      <c r="B118" s="129" t="s">
        <v>251</v>
      </c>
      <c r="C118" s="10" t="s">
        <v>6</v>
      </c>
      <c r="D118" s="139"/>
      <c r="E118" s="10" t="s">
        <v>6</v>
      </c>
      <c r="F118" s="139"/>
      <c r="G118" s="139"/>
      <c r="H118" s="139"/>
      <c r="I118" s="139"/>
      <c r="J118" s="10" t="s">
        <v>6</v>
      </c>
      <c r="K118" s="139"/>
      <c r="L118" s="139"/>
      <c r="M118" s="139"/>
      <c r="N118" s="139"/>
      <c r="O118" s="139"/>
      <c r="P118" s="139"/>
      <c r="Q118" s="10" t="s">
        <v>6</v>
      </c>
      <c r="R118" s="139"/>
      <c r="S118" s="139"/>
      <c r="T118" s="139"/>
      <c r="U118" s="139"/>
      <c r="V118" s="139"/>
      <c r="W118" s="139"/>
      <c r="X118" s="139"/>
      <c r="Y118" s="139"/>
      <c r="Z118" s="10" t="s">
        <v>6</v>
      </c>
      <c r="AA118" s="139"/>
      <c r="AB118" s="139"/>
      <c r="AC118" s="139"/>
      <c r="AD118" s="139"/>
      <c r="AE118" s="139"/>
      <c r="AF118" s="139"/>
      <c r="AG118" s="131"/>
    </row>
    <row r="119" ht="30.0" customHeight="1">
      <c r="B119" s="132" t="s">
        <v>318</v>
      </c>
      <c r="C119" s="128"/>
      <c r="D119" s="128"/>
      <c r="E119" s="10" t="s">
        <v>6</v>
      </c>
      <c r="F119" s="10" t="s">
        <v>6</v>
      </c>
      <c r="G119" s="128"/>
      <c r="H119" s="128"/>
      <c r="I119" s="128"/>
      <c r="J119" s="10" t="s">
        <v>6</v>
      </c>
      <c r="K119" s="128"/>
      <c r="L119" s="128"/>
      <c r="M119" s="10" t="s">
        <v>6</v>
      </c>
      <c r="N119" s="128"/>
      <c r="O119" s="128"/>
      <c r="P119" s="128"/>
      <c r="Q119" s="128"/>
      <c r="R119" s="10" t="s">
        <v>6</v>
      </c>
      <c r="S119" s="10" t="s">
        <v>6</v>
      </c>
      <c r="T119" s="128"/>
      <c r="U119" s="10" t="s">
        <v>6</v>
      </c>
      <c r="V119" s="128"/>
      <c r="W119" s="128"/>
      <c r="X119" s="128"/>
      <c r="Y119" s="10" t="s">
        <v>6</v>
      </c>
      <c r="Z119" s="128"/>
      <c r="AA119" s="128"/>
      <c r="AB119" s="128"/>
      <c r="AC119" s="128"/>
      <c r="AD119" s="128"/>
      <c r="AE119" s="128"/>
      <c r="AF119" s="133"/>
      <c r="AG119" s="134"/>
    </row>
    <row r="120" ht="30.0" customHeight="1">
      <c r="B120" s="129" t="s">
        <v>309</v>
      </c>
      <c r="C120" s="10" t="s">
        <v>6</v>
      </c>
      <c r="D120" s="139"/>
      <c r="E120" s="139"/>
      <c r="F120" s="10" t="s">
        <v>6</v>
      </c>
      <c r="G120" s="139"/>
      <c r="H120" s="139"/>
      <c r="I120" s="139"/>
      <c r="J120" s="10" t="s">
        <v>6</v>
      </c>
      <c r="K120" s="139"/>
      <c r="L120" s="139"/>
      <c r="M120" s="10" t="s">
        <v>6</v>
      </c>
      <c r="N120" s="139"/>
      <c r="O120" s="139"/>
      <c r="P120" s="139"/>
      <c r="Q120" s="10" t="s">
        <v>6</v>
      </c>
      <c r="R120" s="139"/>
      <c r="S120" s="139"/>
      <c r="T120" s="10" t="s">
        <v>6</v>
      </c>
      <c r="U120" s="139"/>
      <c r="V120" s="139"/>
      <c r="W120" s="139"/>
      <c r="X120" s="10" t="s">
        <v>6</v>
      </c>
      <c r="Y120" s="139"/>
      <c r="Z120" s="10" t="s">
        <v>6</v>
      </c>
      <c r="AA120" s="139"/>
      <c r="AB120" s="139"/>
      <c r="AC120" s="139"/>
      <c r="AD120" s="139"/>
      <c r="AE120" s="10" t="s">
        <v>6</v>
      </c>
      <c r="AF120" s="139"/>
      <c r="AG120" s="131"/>
    </row>
    <row r="121" ht="30.0" customHeight="1">
      <c r="B121" s="135" t="s">
        <v>360</v>
      </c>
      <c r="C121" s="128"/>
      <c r="D121" s="128"/>
      <c r="E121" s="128"/>
      <c r="F121" s="10" t="s">
        <v>6</v>
      </c>
      <c r="G121" s="128"/>
      <c r="H121" s="128"/>
      <c r="I121" s="128"/>
      <c r="J121" s="128"/>
      <c r="K121" s="10" t="s">
        <v>6</v>
      </c>
      <c r="L121" s="128"/>
      <c r="M121" s="128"/>
      <c r="N121" s="128"/>
      <c r="O121" s="128"/>
      <c r="P121" s="128"/>
      <c r="Q121" s="128"/>
      <c r="R121" s="128"/>
      <c r="S121" s="128"/>
      <c r="T121" s="10" t="s">
        <v>6</v>
      </c>
      <c r="U121" s="10" t="s">
        <v>6</v>
      </c>
      <c r="V121" s="10" t="s">
        <v>6</v>
      </c>
      <c r="W121" s="128"/>
      <c r="X121" s="128"/>
      <c r="Y121" s="10" t="s">
        <v>6</v>
      </c>
      <c r="Z121" s="128"/>
      <c r="AA121" s="128"/>
      <c r="AB121" s="128"/>
      <c r="AC121" s="128"/>
      <c r="AD121" s="128"/>
      <c r="AE121" s="128"/>
      <c r="AF121" s="10" t="s">
        <v>6</v>
      </c>
      <c r="AG121" s="134"/>
    </row>
    <row r="122" ht="30.0" customHeight="1">
      <c r="B122" s="138" t="s">
        <v>215</v>
      </c>
      <c r="C122" s="10" t="s">
        <v>6</v>
      </c>
      <c r="D122" s="139"/>
      <c r="E122" s="139"/>
      <c r="F122" s="139"/>
      <c r="G122" s="10" t="s">
        <v>6</v>
      </c>
      <c r="H122" s="139"/>
      <c r="I122" s="139"/>
      <c r="J122" s="10" t="s">
        <v>6</v>
      </c>
      <c r="K122" s="139"/>
      <c r="L122" s="139"/>
      <c r="M122" s="139"/>
      <c r="N122" s="10" t="s">
        <v>6</v>
      </c>
      <c r="O122" s="139"/>
      <c r="P122" s="139"/>
      <c r="Q122" s="10" t="s">
        <v>6</v>
      </c>
      <c r="R122" s="139"/>
      <c r="S122" s="139"/>
      <c r="T122" s="139"/>
      <c r="U122" s="10" t="s">
        <v>6</v>
      </c>
      <c r="V122" s="139"/>
      <c r="W122" s="139"/>
      <c r="X122" s="139"/>
      <c r="Y122" s="139"/>
      <c r="Z122" s="139"/>
      <c r="AA122" s="139"/>
      <c r="AB122" s="139"/>
      <c r="AC122" s="163" t="s">
        <v>381</v>
      </c>
      <c r="AD122" s="139"/>
      <c r="AE122" s="10" t="s">
        <v>6</v>
      </c>
      <c r="AF122" s="139"/>
      <c r="AG122" s="146"/>
    </row>
    <row r="123" ht="30.0" customHeight="1">
      <c r="B123" s="135" t="s">
        <v>184</v>
      </c>
      <c r="C123" s="128"/>
      <c r="D123" s="128"/>
      <c r="E123" s="128"/>
      <c r="F123" s="128"/>
      <c r="G123" s="10" t="s">
        <v>6</v>
      </c>
      <c r="H123" s="128"/>
      <c r="I123" s="128"/>
      <c r="J123" s="128"/>
      <c r="K123" s="10" t="s">
        <v>6</v>
      </c>
      <c r="L123" s="128"/>
      <c r="M123" s="10" t="s">
        <v>6</v>
      </c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0" t="s">
        <v>6</v>
      </c>
      <c r="Z123" s="128"/>
      <c r="AA123" s="128"/>
      <c r="AB123" s="128"/>
      <c r="AC123" s="128"/>
      <c r="AD123" s="128"/>
      <c r="AE123" s="10" t="s">
        <v>6</v>
      </c>
      <c r="AF123" s="133"/>
      <c r="AG123" s="147"/>
    </row>
    <row r="124" ht="30.0" customHeight="1">
      <c r="B124" s="138" t="s">
        <v>187</v>
      </c>
      <c r="C124" s="139"/>
      <c r="D124" s="139"/>
      <c r="E124" s="139"/>
      <c r="F124" s="139"/>
      <c r="G124" s="139"/>
      <c r="H124" s="10" t="s">
        <v>6</v>
      </c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0" t="s">
        <v>6</v>
      </c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46"/>
    </row>
    <row r="125" ht="30.0" customHeight="1">
      <c r="B125" s="132" t="s">
        <v>382</v>
      </c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0" t="s">
        <v>6</v>
      </c>
      <c r="O125" s="128"/>
      <c r="P125" s="128"/>
      <c r="Q125" s="128"/>
      <c r="R125" s="128"/>
      <c r="S125" s="128"/>
      <c r="T125" s="128"/>
      <c r="U125" s="10" t="s">
        <v>6</v>
      </c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33"/>
      <c r="AG125" s="147"/>
    </row>
    <row r="126" ht="30.0" customHeight="1">
      <c r="B126" s="138" t="s">
        <v>383</v>
      </c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0" t="s">
        <v>6</v>
      </c>
      <c r="AG126" s="131"/>
    </row>
    <row r="127" ht="30.0" customHeight="1">
      <c r="B127" s="132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34"/>
    </row>
    <row r="128" ht="30.0" customHeight="1">
      <c r="B128" s="138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1"/>
    </row>
    <row r="129" ht="30.0" customHeight="1">
      <c r="B129" s="132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34"/>
    </row>
    <row r="130" ht="30.0" customHeight="1">
      <c r="B130" s="140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1"/>
    </row>
    <row r="131" ht="30.0" customHeight="1">
      <c r="B131" s="127" t="str">
        <f>Setiembre!MonthName&amp;" Total"</f>
        <v>Setiembre Total</v>
      </c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4"/>
    </row>
    <row r="132" ht="30.0" customHeight="1">
      <c r="B132" s="14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31"/>
    </row>
    <row r="133" ht="30.0" customHeight="1">
      <c r="B133" s="38" t="s">
        <v>363</v>
      </c>
      <c r="C133" s="101" t="s">
        <v>345</v>
      </c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4"/>
    </row>
    <row r="134" ht="30.0" customHeight="1">
      <c r="B134" s="32"/>
      <c r="C134" s="161" t="s">
        <v>364</v>
      </c>
      <c r="D134" s="161" t="s">
        <v>365</v>
      </c>
      <c r="E134" s="130" t="str">
        <f>TEXT(WEEKDAY(DATE(CalendarioAño,8,6),1),"ddd")</f>
        <v>mié</v>
      </c>
      <c r="F134" s="130" t="str">
        <f>TEXT(WEEKDAY(DATE(CalendarioAño,8,7),1),"ddd")</f>
        <v>jue</v>
      </c>
      <c r="G134" s="161" t="s">
        <v>366</v>
      </c>
      <c r="H134" s="130" t="str">
        <f>TEXT(WEEKDAY(DATE(CalendarioAño,8,9),1),"ddd")</f>
        <v>sáb</v>
      </c>
      <c r="I134" s="161" t="s">
        <v>367</v>
      </c>
      <c r="J134" s="161" t="s">
        <v>364</v>
      </c>
      <c r="K134" s="161" t="s">
        <v>365</v>
      </c>
      <c r="L134" s="130" t="str">
        <f>TEXT(WEEKDAY(DATE(CalendarioAño,8,6),1),"ddd")</f>
        <v>mié</v>
      </c>
      <c r="M134" s="130" t="str">
        <f>TEXT(WEEKDAY(DATE(CalendarioAño,8,7),1),"ddd")</f>
        <v>jue</v>
      </c>
      <c r="N134" s="161" t="s">
        <v>366</v>
      </c>
      <c r="O134" s="130" t="str">
        <f>TEXT(WEEKDAY(DATE(CalendarioAño,8,9),1),"ddd")</f>
        <v>sáb</v>
      </c>
      <c r="P134" s="161" t="s">
        <v>367</v>
      </c>
      <c r="Q134" s="161" t="s">
        <v>364</v>
      </c>
      <c r="R134" s="161" t="s">
        <v>365</v>
      </c>
      <c r="S134" s="130" t="str">
        <f>TEXT(WEEKDAY(DATE(CalendarioAño,8,6),1),"ddd")</f>
        <v>mié</v>
      </c>
      <c r="T134" s="130" t="str">
        <f>TEXT(WEEKDAY(DATE(CalendarioAño,8,7),1),"ddd")</f>
        <v>jue</v>
      </c>
      <c r="U134" s="161" t="s">
        <v>366</v>
      </c>
      <c r="V134" s="130" t="str">
        <f>TEXT(WEEKDAY(DATE(CalendarioAño,8,9),1),"ddd")</f>
        <v>sáb</v>
      </c>
      <c r="W134" s="161" t="s">
        <v>367</v>
      </c>
      <c r="X134" s="161" t="s">
        <v>364</v>
      </c>
      <c r="Y134" s="161" t="s">
        <v>365</v>
      </c>
      <c r="Z134" s="130" t="str">
        <f>TEXT(WEEKDAY(DATE(CalendarioAño,8,6),1),"ddd")</f>
        <v>mié</v>
      </c>
      <c r="AA134" s="130" t="str">
        <f>TEXT(WEEKDAY(DATE(CalendarioAño,8,7),1),"ddd")</f>
        <v>jue</v>
      </c>
      <c r="AB134" s="161" t="s">
        <v>366</v>
      </c>
      <c r="AC134" s="130" t="str">
        <f>TEXT(WEEKDAY(DATE(CalendarioAño,8,9),1),"ddd")</f>
        <v>sáb</v>
      </c>
      <c r="AD134" s="161" t="s">
        <v>367</v>
      </c>
      <c r="AE134" s="161" t="s">
        <v>364</v>
      </c>
      <c r="AF134" s="161" t="s">
        <v>365</v>
      </c>
      <c r="AG134" s="131"/>
    </row>
    <row r="135" ht="30.0" customHeight="1">
      <c r="A135" s="115"/>
      <c r="B135" s="116" t="s">
        <v>202</v>
      </c>
      <c r="C135" s="117" t="s">
        <v>15</v>
      </c>
      <c r="D135" s="117" t="s">
        <v>16</v>
      </c>
      <c r="E135" s="117" t="s">
        <v>17</v>
      </c>
      <c r="F135" s="117" t="s">
        <v>18</v>
      </c>
      <c r="G135" s="117" t="s">
        <v>19</v>
      </c>
      <c r="H135" s="117" t="s">
        <v>20</v>
      </c>
      <c r="I135" s="117" t="s">
        <v>21</v>
      </c>
      <c r="J135" s="117" t="s">
        <v>22</v>
      </c>
      <c r="K135" s="117" t="s">
        <v>23</v>
      </c>
      <c r="L135" s="117" t="s">
        <v>24</v>
      </c>
      <c r="M135" s="117" t="s">
        <v>25</v>
      </c>
      <c r="N135" s="117" t="s">
        <v>26</v>
      </c>
      <c r="O135" s="117" t="s">
        <v>27</v>
      </c>
      <c r="P135" s="117" t="s">
        <v>28</v>
      </c>
      <c r="Q135" s="117" t="s">
        <v>29</v>
      </c>
      <c r="R135" s="117" t="s">
        <v>30</v>
      </c>
      <c r="S135" s="117" t="s">
        <v>31</v>
      </c>
      <c r="T135" s="117" t="s">
        <v>32</v>
      </c>
      <c r="U135" s="117" t="s">
        <v>33</v>
      </c>
      <c r="V135" s="117" t="s">
        <v>34</v>
      </c>
      <c r="W135" s="117" t="s">
        <v>35</v>
      </c>
      <c r="X135" s="117" t="s">
        <v>36</v>
      </c>
      <c r="Y135" s="117" t="s">
        <v>37</v>
      </c>
      <c r="Z135" s="117" t="s">
        <v>38</v>
      </c>
      <c r="AA135" s="117" t="s">
        <v>39</v>
      </c>
      <c r="AB135" s="117" t="s">
        <v>40</v>
      </c>
      <c r="AC135" s="117" t="s">
        <v>41</v>
      </c>
      <c r="AD135" s="117" t="s">
        <v>42</v>
      </c>
      <c r="AE135" s="117" t="s">
        <v>43</v>
      </c>
      <c r="AF135" s="117" t="s">
        <v>44</v>
      </c>
      <c r="AG135" s="128"/>
    </row>
    <row r="136" ht="30.0" customHeight="1">
      <c r="B136" s="129" t="s">
        <v>323</v>
      </c>
      <c r="C136" s="10" t="s">
        <v>6</v>
      </c>
      <c r="D136" s="139"/>
      <c r="E136" s="10" t="s">
        <v>6</v>
      </c>
      <c r="F136" s="139"/>
      <c r="G136" s="139"/>
      <c r="H136" s="10" t="s">
        <v>6</v>
      </c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49"/>
    </row>
    <row r="137" ht="30.0" customHeight="1">
      <c r="B137" s="132" t="s">
        <v>189</v>
      </c>
      <c r="C137" s="10" t="s">
        <v>6</v>
      </c>
      <c r="D137" s="128"/>
      <c r="E137" s="128"/>
      <c r="F137" s="128"/>
      <c r="G137" s="10" t="s">
        <v>6</v>
      </c>
      <c r="H137" s="128"/>
      <c r="I137" s="128"/>
      <c r="J137" s="128"/>
      <c r="K137" s="128"/>
      <c r="L137" s="128"/>
      <c r="M137" s="128"/>
      <c r="N137" s="10" t="s">
        <v>6</v>
      </c>
      <c r="O137" s="128"/>
      <c r="P137" s="128"/>
      <c r="Q137" s="10" t="s">
        <v>6</v>
      </c>
      <c r="R137" s="128"/>
      <c r="S137" s="128"/>
      <c r="T137" s="128"/>
      <c r="U137" s="128"/>
      <c r="V137" s="128"/>
      <c r="W137" s="128"/>
      <c r="X137" s="10" t="s">
        <v>6</v>
      </c>
      <c r="Y137" s="128"/>
      <c r="Z137" s="128"/>
      <c r="AA137" s="128"/>
      <c r="AB137" s="10" t="s">
        <v>6</v>
      </c>
      <c r="AC137" s="128"/>
      <c r="AD137" s="128"/>
      <c r="AE137" s="10" t="s">
        <v>6</v>
      </c>
      <c r="AF137" s="133"/>
      <c r="AG137" s="150"/>
    </row>
    <row r="138" ht="30.0" customHeight="1">
      <c r="B138" s="129" t="s">
        <v>384</v>
      </c>
      <c r="C138" s="10" t="s">
        <v>6</v>
      </c>
      <c r="D138" s="139"/>
      <c r="E138" s="139"/>
      <c r="F138" s="139"/>
      <c r="G138" s="139"/>
      <c r="H138" s="10" t="s">
        <v>6</v>
      </c>
      <c r="I138" s="139"/>
      <c r="J138" s="10" t="s">
        <v>6</v>
      </c>
      <c r="K138" s="139"/>
      <c r="L138" s="139"/>
      <c r="M138" s="139"/>
      <c r="N138" s="139"/>
      <c r="O138" s="10" t="s">
        <v>6</v>
      </c>
      <c r="P138" s="139"/>
      <c r="Q138" s="139"/>
      <c r="R138" s="139"/>
      <c r="S138" s="139"/>
      <c r="T138" s="139"/>
      <c r="U138" s="139"/>
      <c r="V138" s="10" t="s">
        <v>6</v>
      </c>
      <c r="W138" s="139"/>
      <c r="X138" s="139"/>
      <c r="Y138" s="139"/>
      <c r="Z138" s="139"/>
      <c r="AA138" s="139"/>
      <c r="AB138" s="139"/>
      <c r="AC138" s="10" t="s">
        <v>6</v>
      </c>
      <c r="AD138" s="139"/>
      <c r="AE138" s="139"/>
      <c r="AF138" s="139"/>
      <c r="AG138" s="151"/>
    </row>
    <row r="139" ht="30.0" customHeight="1">
      <c r="B139" s="135" t="s">
        <v>344</v>
      </c>
      <c r="C139" s="128"/>
      <c r="D139" s="128"/>
      <c r="E139" s="128"/>
      <c r="F139" s="128"/>
      <c r="G139" s="128"/>
      <c r="H139" s="10" t="s">
        <v>6</v>
      </c>
      <c r="I139" s="128"/>
      <c r="J139" s="128"/>
      <c r="K139" s="128"/>
      <c r="L139" s="128"/>
      <c r="M139" s="128"/>
      <c r="N139" s="128"/>
      <c r="O139" s="10" t="s">
        <v>6</v>
      </c>
      <c r="P139" s="128"/>
      <c r="Q139" s="128"/>
      <c r="R139" s="128"/>
      <c r="S139" s="128"/>
      <c r="T139" s="128"/>
      <c r="U139" s="128"/>
      <c r="V139" s="10" t="s">
        <v>6</v>
      </c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33"/>
      <c r="AG139" s="133"/>
    </row>
    <row r="140" ht="30.0" customHeight="1">
      <c r="B140" s="129" t="s">
        <v>343</v>
      </c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0" t="s">
        <v>6</v>
      </c>
      <c r="O140" s="10" t="s">
        <v>6</v>
      </c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0" t="s">
        <v>6</v>
      </c>
      <c r="AA140" s="139"/>
      <c r="AB140" s="139"/>
      <c r="AC140" s="139"/>
      <c r="AD140" s="139"/>
      <c r="AE140" s="139"/>
      <c r="AF140" s="139"/>
      <c r="AG140" s="131"/>
    </row>
    <row r="141" ht="30.0" customHeight="1">
      <c r="B141" s="135" t="s">
        <v>147</v>
      </c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0" t="s">
        <v>6</v>
      </c>
      <c r="P141" s="128"/>
      <c r="Q141" s="128"/>
      <c r="R141" s="128"/>
      <c r="S141" s="10" t="s">
        <v>6</v>
      </c>
      <c r="T141" s="128"/>
      <c r="U141" s="128"/>
      <c r="V141" s="10" t="s">
        <v>6</v>
      </c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4"/>
    </row>
    <row r="142" ht="30.0" customHeight="1">
      <c r="B142" s="12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1"/>
    </row>
    <row r="143" ht="30.0" customHeight="1">
      <c r="B143" s="135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4"/>
    </row>
    <row r="144" ht="30.0" customHeight="1">
      <c r="B144" s="140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1"/>
    </row>
    <row r="145" ht="30.0" customHeight="1">
      <c r="B145" s="127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4"/>
    </row>
    <row r="146" ht="30.0" customHeight="1">
      <c r="B146" s="140" t="str">
        <f>Setiembre!MonthName&amp;" Total"</f>
        <v>Setiembre Total</v>
      </c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1"/>
    </row>
    <row r="147" ht="30.0" customHeight="1">
      <c r="B147" s="14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34"/>
    </row>
    <row r="148" ht="30.0" customHeight="1">
      <c r="B148" s="38" t="s">
        <v>363</v>
      </c>
      <c r="C148" s="101" t="s">
        <v>346</v>
      </c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31"/>
    </row>
    <row r="149" ht="30.0" customHeight="1">
      <c r="B149" s="32"/>
      <c r="C149" s="162" t="s">
        <v>364</v>
      </c>
      <c r="D149" s="162" t="s">
        <v>365</v>
      </c>
      <c r="E149" s="133" t="str">
        <f>TEXT(WEEKDAY(DATE(CalendarioAño,8,6),1),"ddd")</f>
        <v>mié</v>
      </c>
      <c r="F149" s="133" t="str">
        <f>TEXT(WEEKDAY(DATE(CalendarioAño,8,7),1),"ddd")</f>
        <v>jue</v>
      </c>
      <c r="G149" s="162" t="s">
        <v>366</v>
      </c>
      <c r="H149" s="133" t="str">
        <f>TEXT(WEEKDAY(DATE(CalendarioAño,8,9),1),"ddd")</f>
        <v>sáb</v>
      </c>
      <c r="I149" s="162" t="s">
        <v>367</v>
      </c>
      <c r="J149" s="162" t="s">
        <v>364</v>
      </c>
      <c r="K149" s="162" t="s">
        <v>365</v>
      </c>
      <c r="L149" s="133" t="str">
        <f>TEXT(WEEKDAY(DATE(CalendarioAño,8,6),1),"ddd")</f>
        <v>mié</v>
      </c>
      <c r="M149" s="133" t="str">
        <f>TEXT(WEEKDAY(DATE(CalendarioAño,8,7),1),"ddd")</f>
        <v>jue</v>
      </c>
      <c r="N149" s="162" t="s">
        <v>366</v>
      </c>
      <c r="O149" s="133" t="str">
        <f>TEXT(WEEKDAY(DATE(CalendarioAño,8,9),1),"ddd")</f>
        <v>sáb</v>
      </c>
      <c r="P149" s="162" t="s">
        <v>367</v>
      </c>
      <c r="Q149" s="162" t="s">
        <v>364</v>
      </c>
      <c r="R149" s="162" t="s">
        <v>365</v>
      </c>
      <c r="S149" s="133" t="str">
        <f>TEXT(WEEKDAY(DATE(CalendarioAño,8,6),1),"ddd")</f>
        <v>mié</v>
      </c>
      <c r="T149" s="133" t="str">
        <f>TEXT(WEEKDAY(DATE(CalendarioAño,8,7),1),"ddd")</f>
        <v>jue</v>
      </c>
      <c r="U149" s="162" t="s">
        <v>366</v>
      </c>
      <c r="V149" s="133" t="str">
        <f>TEXT(WEEKDAY(DATE(CalendarioAño,8,9),1),"ddd")</f>
        <v>sáb</v>
      </c>
      <c r="W149" s="162" t="s">
        <v>367</v>
      </c>
      <c r="X149" s="162" t="s">
        <v>364</v>
      </c>
      <c r="Y149" s="162" t="s">
        <v>365</v>
      </c>
      <c r="Z149" s="133" t="str">
        <f>TEXT(WEEKDAY(DATE(CalendarioAño,8,6),1),"ddd")</f>
        <v>mié</v>
      </c>
      <c r="AA149" s="133" t="str">
        <f>TEXT(WEEKDAY(DATE(CalendarioAño,8,7),1),"ddd")</f>
        <v>jue</v>
      </c>
      <c r="AB149" s="162" t="s">
        <v>366</v>
      </c>
      <c r="AC149" s="133" t="str">
        <f>TEXT(WEEKDAY(DATE(CalendarioAño,8,9),1),"ddd")</f>
        <v>sáb</v>
      </c>
      <c r="AD149" s="162" t="s">
        <v>367</v>
      </c>
      <c r="AE149" s="162" t="s">
        <v>364</v>
      </c>
      <c r="AF149" s="162" t="s">
        <v>365</v>
      </c>
      <c r="AG149" s="134"/>
    </row>
    <row r="150" ht="30.0" customHeight="1">
      <c r="A150" s="115"/>
      <c r="B150" s="116" t="s">
        <v>202</v>
      </c>
      <c r="C150" s="117" t="s">
        <v>15</v>
      </c>
      <c r="D150" s="117" t="s">
        <v>16</v>
      </c>
      <c r="E150" s="117" t="s">
        <v>17</v>
      </c>
      <c r="F150" s="117" t="s">
        <v>18</v>
      </c>
      <c r="G150" s="117" t="s">
        <v>19</v>
      </c>
      <c r="H150" s="117" t="s">
        <v>20</v>
      </c>
      <c r="I150" s="117" t="s">
        <v>21</v>
      </c>
      <c r="J150" s="117" t="s">
        <v>22</v>
      </c>
      <c r="K150" s="117" t="s">
        <v>23</v>
      </c>
      <c r="L150" s="117" t="s">
        <v>24</v>
      </c>
      <c r="M150" s="117" t="s">
        <v>25</v>
      </c>
      <c r="N150" s="117" t="s">
        <v>26</v>
      </c>
      <c r="O150" s="117" t="s">
        <v>27</v>
      </c>
      <c r="P150" s="117" t="s">
        <v>28</v>
      </c>
      <c r="Q150" s="117" t="s">
        <v>29</v>
      </c>
      <c r="R150" s="117" t="s">
        <v>30</v>
      </c>
      <c r="S150" s="117" t="s">
        <v>31</v>
      </c>
      <c r="T150" s="117" t="s">
        <v>32</v>
      </c>
      <c r="U150" s="117" t="s">
        <v>33</v>
      </c>
      <c r="V150" s="117" t="s">
        <v>34</v>
      </c>
      <c r="W150" s="117" t="s">
        <v>35</v>
      </c>
      <c r="X150" s="117" t="s">
        <v>36</v>
      </c>
      <c r="Y150" s="117" t="s">
        <v>37</v>
      </c>
      <c r="Z150" s="117" t="s">
        <v>38</v>
      </c>
      <c r="AA150" s="117" t="s">
        <v>39</v>
      </c>
      <c r="AB150" s="117" t="s">
        <v>40</v>
      </c>
      <c r="AC150" s="117" t="s">
        <v>41</v>
      </c>
      <c r="AD150" s="117" t="s">
        <v>42</v>
      </c>
      <c r="AE150" s="117" t="s">
        <v>43</v>
      </c>
      <c r="AF150" s="117" t="s">
        <v>44</v>
      </c>
      <c r="AG150" s="131"/>
    </row>
    <row r="151" ht="30.0" customHeight="1">
      <c r="B151" s="132" t="s">
        <v>327</v>
      </c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0" t="s">
        <v>6</v>
      </c>
      <c r="N151" s="133"/>
      <c r="O151" s="133"/>
      <c r="P151" s="133"/>
      <c r="Q151" s="133"/>
      <c r="R151" s="10" t="s">
        <v>6</v>
      </c>
      <c r="S151" s="133"/>
      <c r="T151" s="133"/>
      <c r="U151" s="133"/>
      <c r="V151" s="133"/>
      <c r="W151" s="133"/>
      <c r="X151" s="133"/>
      <c r="Y151" s="10" t="s">
        <v>6</v>
      </c>
      <c r="Z151" s="133"/>
      <c r="AA151" s="10" t="s">
        <v>6</v>
      </c>
      <c r="AB151" s="133"/>
      <c r="AC151" s="133"/>
      <c r="AD151" s="133"/>
      <c r="AE151" s="133"/>
      <c r="AF151" s="133"/>
      <c r="AG151" s="134"/>
    </row>
    <row r="152" ht="30.0" customHeight="1">
      <c r="B152" s="129" t="s">
        <v>385</v>
      </c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0" t="s">
        <v>6</v>
      </c>
      <c r="AG152" s="131"/>
    </row>
    <row r="153" ht="30.0" customHeight="1">
      <c r="B153" s="152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4"/>
    </row>
    <row r="154" ht="30.0" customHeight="1">
      <c r="B154" s="136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1"/>
    </row>
    <row r="155" ht="30.0" customHeight="1">
      <c r="B155" s="152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4"/>
    </row>
    <row r="156" ht="30.0" customHeight="1">
      <c r="B156" s="140" t="str">
        <f>Setiembre!MonthName&amp;" Total"</f>
        <v>Setiembre Total</v>
      </c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1"/>
    </row>
    <row r="157" ht="30.0" customHeight="1">
      <c r="B157" s="136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4"/>
    </row>
    <row r="158" ht="30.0" customHeight="1">
      <c r="B158" s="136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1"/>
    </row>
    <row r="159" ht="30.0" customHeight="1">
      <c r="B159" s="136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4"/>
    </row>
    <row r="160" ht="30.0" customHeight="1">
      <c r="B160" s="136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1"/>
    </row>
    <row r="161" ht="30.0" customHeight="1">
      <c r="B161" s="136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4"/>
    </row>
    <row r="162" ht="30.0" customHeight="1">
      <c r="B162" s="136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1"/>
    </row>
    <row r="163" ht="30.0" customHeight="1">
      <c r="B163" s="136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4"/>
    </row>
    <row r="164" ht="30.0" customHeight="1">
      <c r="B164" s="136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1"/>
    </row>
    <row r="165" ht="30.0" customHeight="1">
      <c r="B165" s="136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4"/>
    </row>
    <row r="166" ht="30.0" customHeight="1">
      <c r="B166" s="140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53"/>
    </row>
    <row r="167" ht="30.0" customHeight="1"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</row>
    <row r="168" ht="30.0" customHeight="1">
      <c r="B168" s="155"/>
      <c r="C168" s="156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32"/>
    </row>
    <row r="169" ht="30.0" customHeight="1">
      <c r="B169" s="155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32"/>
    </row>
    <row r="170" ht="30.0" customHeight="1">
      <c r="B170" s="157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58"/>
    </row>
    <row r="171" ht="30.0" customHeight="1">
      <c r="B171" s="136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25"/>
    </row>
    <row r="172" ht="30.0" customHeight="1">
      <c r="B172" s="136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25"/>
    </row>
    <row r="173" ht="30.0" customHeight="1">
      <c r="B173" s="136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25"/>
    </row>
    <row r="174" ht="30.0" customHeight="1">
      <c r="B174" s="136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25"/>
    </row>
    <row r="175" ht="30.0" customHeight="1">
      <c r="B175" s="136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25"/>
    </row>
    <row r="176" ht="30.0" customHeight="1">
      <c r="B176" s="136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25"/>
    </row>
    <row r="177" ht="30.0" customHeight="1">
      <c r="B177" s="140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27"/>
    </row>
    <row r="178" ht="30.0" customHeight="1"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</row>
    <row r="179" ht="30.0" customHeight="1">
      <c r="B179" s="155"/>
      <c r="C179" s="156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32"/>
    </row>
    <row r="180" ht="30.0" customHeight="1">
      <c r="B180" s="155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32"/>
    </row>
    <row r="181" ht="30.0" customHeight="1">
      <c r="B181" s="157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58"/>
    </row>
    <row r="182" ht="30.0" customHeight="1">
      <c r="B182" s="136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25"/>
    </row>
    <row r="183" ht="30.0" customHeight="1">
      <c r="B183" s="136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25"/>
    </row>
    <row r="184" ht="30.0" customHeight="1">
      <c r="B184" s="136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25"/>
    </row>
    <row r="185" ht="30.0" customHeight="1">
      <c r="B185" s="136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25"/>
    </row>
    <row r="186" ht="30.0" customHeight="1">
      <c r="B186" s="136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25"/>
    </row>
    <row r="187" ht="30.0" customHeight="1">
      <c r="B187" s="140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27"/>
    </row>
    <row r="188" ht="30.0" customHeight="1"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</row>
    <row r="189" ht="30.0" customHeight="1">
      <c r="B189" s="155"/>
      <c r="C189" s="156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32"/>
    </row>
    <row r="190" ht="30.0" customHeight="1">
      <c r="B190" s="155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32"/>
    </row>
    <row r="191" ht="30.0" customHeight="1">
      <c r="B191" s="157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58"/>
    </row>
    <row r="192" ht="30.0" customHeight="1">
      <c r="B192" s="136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25"/>
    </row>
    <row r="193" ht="30.0" customHeight="1">
      <c r="B193" s="136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25"/>
    </row>
    <row r="194" ht="30.0" customHeight="1">
      <c r="B194" s="136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25"/>
    </row>
    <row r="195" ht="30.0" customHeight="1">
      <c r="B195" s="136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25"/>
    </row>
    <row r="196" ht="30.0" customHeight="1">
      <c r="B196" s="136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25"/>
    </row>
    <row r="197" ht="30.0" customHeight="1">
      <c r="B197" s="140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27"/>
    </row>
    <row r="198" ht="30.0" customHeight="1"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</row>
    <row r="199" ht="30.0" customHeight="1">
      <c r="B199" s="155"/>
      <c r="C199" s="156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32"/>
    </row>
    <row r="200" ht="30.0" customHeight="1">
      <c r="B200" s="155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32"/>
    </row>
    <row r="201" ht="30.0" customHeight="1">
      <c r="B201" s="157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58"/>
    </row>
    <row r="202" ht="30.0" customHeight="1">
      <c r="B202" s="136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25"/>
    </row>
    <row r="203" ht="30.0" customHeight="1">
      <c r="B203" s="136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25"/>
    </row>
    <row r="204" ht="30.0" customHeight="1">
      <c r="B204" s="136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25"/>
    </row>
    <row r="205" ht="30.0" customHeight="1">
      <c r="B205" s="136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25"/>
    </row>
    <row r="206" ht="30.0" customHeight="1">
      <c r="B206" s="136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25"/>
    </row>
    <row r="207" ht="30.0" customHeight="1">
      <c r="B207" s="140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27"/>
    </row>
    <row r="208" ht="30.0" customHeight="1"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</row>
    <row r="209" ht="30.0" customHeight="1"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</row>
    <row r="210" ht="30.0" customHeight="1"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</row>
    <row r="211" ht="30.0" customHeight="1"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</row>
    <row r="212" ht="30.0" customHeight="1"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</row>
    <row r="213" ht="30.0" customHeight="1"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</row>
    <row r="214" ht="30.0" customHeight="1"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</row>
    <row r="215" ht="30.0" customHeight="1"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</row>
    <row r="216" ht="30.0" customHeight="1"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</row>
    <row r="217" ht="30.0" customHeight="1"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</row>
    <row r="218" ht="30.0" customHeight="1"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</row>
    <row r="219" ht="30.0" customHeight="1"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</row>
    <row r="220" ht="30.0" customHeight="1"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</row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  <row r="1023" ht="30.0" customHeight="1"/>
    <row r="1024" ht="30.0" customHeight="1"/>
    <row r="1025" ht="30.0" customHeight="1"/>
    <row r="1026" ht="30.0" customHeight="1"/>
    <row r="1027" ht="30.0" customHeight="1"/>
    <row r="1028" ht="30.0" customHeight="1"/>
    <row r="1029" ht="30.0" customHeight="1"/>
    <row r="1030" ht="30.0" customHeight="1"/>
    <row r="1031" ht="30.0" customHeight="1"/>
    <row r="1032" ht="30.0" customHeight="1"/>
    <row r="1033" ht="30.0" customHeight="1"/>
    <row r="1034" ht="30.0" customHeight="1"/>
    <row r="1035" ht="30.0" customHeight="1"/>
    <row r="1036" ht="30.0" customHeight="1"/>
    <row r="1037" ht="30.0" customHeight="1"/>
    <row r="1038" ht="30.0" customHeight="1"/>
    <row r="1039" ht="30.0" customHeight="1"/>
    <row r="1040" ht="30.0" customHeight="1"/>
    <row r="1041" ht="30.0" customHeight="1"/>
    <row r="1042" ht="30.0" customHeight="1"/>
    <row r="1043" ht="30.0" customHeight="1"/>
    <row r="1044" ht="30.0" customHeight="1"/>
    <row r="1045" ht="30.0" customHeight="1"/>
    <row r="1046" ht="30.0" customHeight="1"/>
    <row r="1047" ht="30.0" customHeight="1"/>
    <row r="1048" ht="30.0" customHeight="1"/>
    <row r="1049" ht="30.0" customHeight="1"/>
    <row r="1050" ht="30.0" customHeight="1"/>
    <row r="1051" ht="30.0" customHeight="1"/>
    <row r="1052" ht="30.0" customHeight="1"/>
    <row r="1053" ht="30.0" customHeight="1"/>
    <row r="1054" ht="30.0" customHeight="1"/>
    <row r="1055" ht="30.0" customHeight="1"/>
    <row r="1056" ht="30.0" customHeight="1"/>
    <row r="1057" ht="30.0" customHeight="1"/>
    <row r="1058" ht="30.0" customHeight="1"/>
    <row r="1059" ht="30.0" customHeight="1"/>
    <row r="1060" ht="30.0" customHeight="1"/>
    <row r="1061" ht="30.0" customHeight="1"/>
    <row r="1062" ht="30.0" customHeight="1"/>
    <row r="1063" ht="30.0" customHeight="1"/>
    <row r="1064" ht="30.0" customHeight="1"/>
    <row r="1065" ht="30.0" customHeight="1"/>
    <row r="1066" ht="30.0" customHeight="1"/>
    <row r="1067" ht="30.0" customHeight="1"/>
    <row r="1068" ht="30.0" customHeight="1"/>
    <row r="1069" ht="30.0" customHeight="1"/>
    <row r="1070" ht="30.0" customHeight="1"/>
    <row r="1071" ht="30.0" customHeight="1"/>
    <row r="1072" ht="30.0" customHeight="1"/>
    <row r="1073" ht="30.0" customHeight="1"/>
    <row r="1074" ht="30.0" customHeight="1"/>
    <row r="1075" ht="30.0" customHeight="1"/>
    <row r="1076" ht="30.0" customHeight="1"/>
    <row r="1077" ht="30.0" customHeight="1"/>
    <row r="1078" ht="30.0" customHeight="1"/>
    <row r="1079" ht="30.0" customHeight="1"/>
    <row r="1080" ht="30.0" customHeight="1"/>
    <row r="1081" ht="30.0" customHeight="1"/>
    <row r="1082" ht="30.0" customHeight="1"/>
    <row r="1083" ht="30.0" customHeight="1"/>
    <row r="1084" ht="30.0" customHeight="1"/>
    <row r="1085" ht="30.0" customHeight="1"/>
    <row r="1086" ht="30.0" customHeight="1"/>
    <row r="1087" ht="30.0" customHeight="1"/>
    <row r="1088" ht="30.0" customHeight="1"/>
    <row r="1089" ht="30.0" customHeight="1"/>
    <row r="1090" ht="30.0" customHeight="1"/>
    <row r="1091" ht="30.0" customHeight="1"/>
    <row r="1092" ht="30.0" customHeight="1"/>
    <row r="1093" ht="30.0" customHeight="1"/>
    <row r="1094" ht="30.0" customHeight="1"/>
    <row r="1095" ht="30.0" customHeight="1"/>
    <row r="1096" ht="30.0" customHeight="1"/>
    <row r="1097" ht="30.0" customHeight="1"/>
    <row r="1098" ht="30.0" customHeight="1"/>
    <row r="1099" ht="30.0" customHeight="1"/>
    <row r="1100" ht="30.0" customHeight="1"/>
    <row r="1101" ht="30.0" customHeight="1"/>
    <row r="1102" ht="30.0" customHeight="1"/>
    <row r="1103" ht="30.0" customHeight="1"/>
    <row r="1104" ht="30.0" customHeight="1"/>
    <row r="1105" ht="30.0" customHeight="1"/>
    <row r="1106" ht="30.0" customHeight="1"/>
    <row r="1107" ht="30.0" customHeight="1"/>
    <row r="1108" ht="30.0" customHeight="1"/>
    <row r="1109" ht="30.0" customHeight="1"/>
    <row r="1110" ht="30.0" customHeight="1"/>
    <row r="1111" ht="30.0" customHeight="1"/>
    <row r="1112" ht="30.0" customHeight="1"/>
    <row r="1113" ht="30.0" customHeight="1"/>
    <row r="1114" ht="30.0" customHeight="1"/>
    <row r="1115" ht="30.0" customHeight="1"/>
    <row r="1116" ht="30.0" customHeight="1"/>
    <row r="1117" ht="30.0" customHeight="1"/>
    <row r="1118" ht="30.0" customHeight="1"/>
    <row r="1119" ht="30.0" customHeight="1"/>
    <row r="1120" ht="30.0" customHeight="1"/>
    <row r="1121" ht="30.0" customHeight="1"/>
    <row r="1122" ht="30.0" customHeight="1"/>
    <row r="1123" ht="30.0" customHeight="1"/>
    <row r="1124" ht="30.0" customHeight="1"/>
    <row r="1125" ht="30.0" customHeight="1"/>
  </sheetData>
  <mergeCells count="19">
    <mergeCell ref="B1:N1"/>
    <mergeCell ref="D2:F2"/>
    <mergeCell ref="H2:J2"/>
    <mergeCell ref="L2:N2"/>
    <mergeCell ref="P2:S2"/>
    <mergeCell ref="U2:X2"/>
    <mergeCell ref="C4:AF4"/>
    <mergeCell ref="C148:AF148"/>
    <mergeCell ref="C168:AF168"/>
    <mergeCell ref="C179:AF179"/>
    <mergeCell ref="C189:AF189"/>
    <mergeCell ref="C199:AF199"/>
    <mergeCell ref="C14:AF14"/>
    <mergeCell ref="C24:AF24"/>
    <mergeCell ref="C47:AF47"/>
    <mergeCell ref="C72:AF72"/>
    <mergeCell ref="C97:AF97"/>
    <mergeCell ref="C115:AF115"/>
    <mergeCell ref="C133:AF133"/>
  </mergeCells>
  <conditionalFormatting sqref="C7:AF12 C17:AF23 B21 C26:AF46 C49:AF71 C74:AF96 C99:AF114 C117:C131 D117:AF132 C135:AF147 C150:AF165 C171:AF176 C182:AF186 C192:AF196 C202:AF206">
    <cfRule type="expression" dxfId="5" priority="1" stopIfTrue="1">
      <formula>C7=""</formula>
    </cfRule>
  </conditionalFormatting>
  <dataValidations>
    <dataValidation type="list" allowBlank="1" showErrorMessage="1" sqref="B7:B11 B17:B21 B27:B42 B50:B67 B75:B93 B100:B111 B118:B129 B136:B143 B151:B155 B157:B165 B171:B176 B182:B184">
      <formula1>'Nombres de los alumnos '!$B$4:$B$1014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4B2A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89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8" t="s">
        <v>386</v>
      </c>
      <c r="C4" s="80" t="s">
        <v>329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80"/>
      <c r="AH4" s="32">
        <f>CalendarioAño</f>
        <v>2025</v>
      </c>
    </row>
    <row r="5" ht="15.0" customHeight="1">
      <c r="B5" s="32"/>
      <c r="C5" s="16" t="str">
        <f>TEXT(WEEKDAY(DATE(CalendarioAño,8,6),1),"ddd")</f>
        <v>mié</v>
      </c>
      <c r="D5" s="16" t="str">
        <f>TEXT(WEEKDAY(DATE(CalendarioAño,8,7),1),"ddd")</f>
        <v>jue</v>
      </c>
      <c r="E5" s="159" t="s">
        <v>366</v>
      </c>
      <c r="F5" s="16" t="str">
        <f>TEXT(WEEKDAY(DATE(CalendarioAño,8,9),1),"ddd")</f>
        <v>sáb</v>
      </c>
      <c r="G5" s="159" t="s">
        <v>367</v>
      </c>
      <c r="H5" s="159" t="s">
        <v>364</v>
      </c>
      <c r="I5" s="159" t="s">
        <v>365</v>
      </c>
      <c r="J5" s="16" t="str">
        <f>TEXT(WEEKDAY(DATE(CalendarioAño,8,6),1),"ddd")</f>
        <v>mié</v>
      </c>
      <c r="K5" s="16" t="str">
        <f>TEXT(WEEKDAY(DATE(CalendarioAño,8,7),1),"ddd")</f>
        <v>jue</v>
      </c>
      <c r="L5" s="159" t="s">
        <v>366</v>
      </c>
      <c r="M5" s="16" t="str">
        <f>TEXT(WEEKDAY(DATE(CalendarioAño,8,9),1),"ddd")</f>
        <v>sáb</v>
      </c>
      <c r="N5" s="159" t="s">
        <v>367</v>
      </c>
      <c r="O5" s="159" t="s">
        <v>364</v>
      </c>
      <c r="P5" s="159" t="s">
        <v>365</v>
      </c>
      <c r="Q5" s="16" t="str">
        <f>TEXT(WEEKDAY(DATE(CalendarioAño,8,6),1),"ddd")</f>
        <v>mié</v>
      </c>
      <c r="R5" s="16" t="str">
        <f>TEXT(WEEKDAY(DATE(CalendarioAño,8,7),1),"ddd")</f>
        <v>jue</v>
      </c>
      <c r="S5" s="159" t="s">
        <v>366</v>
      </c>
      <c r="T5" s="16" t="str">
        <f>TEXT(WEEKDAY(DATE(CalendarioAño,8,9),1),"ddd")</f>
        <v>sáb</v>
      </c>
      <c r="U5" s="159" t="s">
        <v>367</v>
      </c>
      <c r="V5" s="159" t="s">
        <v>364</v>
      </c>
      <c r="W5" s="159" t="s">
        <v>365</v>
      </c>
      <c r="X5" s="16" t="str">
        <f>TEXT(WEEKDAY(DATE(CalendarioAño,8,6),1),"ddd")</f>
        <v>mié</v>
      </c>
      <c r="Y5" s="16" t="str">
        <f>TEXT(WEEKDAY(DATE(CalendarioAño,8,7),1),"ddd")</f>
        <v>jue</v>
      </c>
      <c r="Z5" s="159" t="s">
        <v>366</v>
      </c>
      <c r="AA5" s="16" t="str">
        <f>TEXT(WEEKDAY(DATE(CalendarioAño,8,9),1),"ddd")</f>
        <v>sáb</v>
      </c>
      <c r="AB5" s="159" t="s">
        <v>367</v>
      </c>
      <c r="AC5" s="159" t="s">
        <v>364</v>
      </c>
      <c r="AD5" s="159" t="s">
        <v>365</v>
      </c>
      <c r="AE5" s="16" t="str">
        <f>TEXT(WEEKDAY(DATE(CalendarioAño,8,6),1),"ddd")</f>
        <v>mié</v>
      </c>
      <c r="AF5" s="16" t="str">
        <f>TEXT(WEEKDAY(DATE(CalendarioAño,8,7),1),"ddd")</f>
        <v>jue</v>
      </c>
      <c r="AG5" s="159" t="s">
        <v>366</v>
      </c>
      <c r="AH5" s="32"/>
    </row>
    <row r="6" ht="15.0" customHeight="1">
      <c r="A6" s="115"/>
      <c r="B6" s="116" t="s">
        <v>202</v>
      </c>
      <c r="C6" s="117" t="s">
        <v>15</v>
      </c>
      <c r="D6" s="117" t="s">
        <v>16</v>
      </c>
      <c r="E6" s="117" t="s">
        <v>17</v>
      </c>
      <c r="F6" s="117" t="s">
        <v>18</v>
      </c>
      <c r="G6" s="117" t="s">
        <v>19</v>
      </c>
      <c r="H6" s="117" t="s">
        <v>20</v>
      </c>
      <c r="I6" s="117" t="s">
        <v>21</v>
      </c>
      <c r="J6" s="117" t="s">
        <v>22</v>
      </c>
      <c r="K6" s="117" t="s">
        <v>23</v>
      </c>
      <c r="L6" s="117" t="s">
        <v>24</v>
      </c>
      <c r="M6" s="117" t="s">
        <v>25</v>
      </c>
      <c r="N6" s="117" t="s">
        <v>26</v>
      </c>
      <c r="O6" s="117" t="s">
        <v>27</v>
      </c>
      <c r="P6" s="117" t="s">
        <v>28</v>
      </c>
      <c r="Q6" s="117" t="s">
        <v>29</v>
      </c>
      <c r="R6" s="117" t="s">
        <v>30</v>
      </c>
      <c r="S6" s="117" t="s">
        <v>31</v>
      </c>
      <c r="T6" s="117" t="s">
        <v>32</v>
      </c>
      <c r="U6" s="117" t="s">
        <v>33</v>
      </c>
      <c r="V6" s="117" t="s">
        <v>34</v>
      </c>
      <c r="W6" s="117" t="s">
        <v>35</v>
      </c>
      <c r="X6" s="117" t="s">
        <v>36</v>
      </c>
      <c r="Y6" s="117" t="s">
        <v>37</v>
      </c>
      <c r="Z6" s="117" t="s">
        <v>38</v>
      </c>
      <c r="AA6" s="117" t="s">
        <v>39</v>
      </c>
      <c r="AB6" s="117" t="s">
        <v>40</v>
      </c>
      <c r="AC6" s="117" t="s">
        <v>41</v>
      </c>
      <c r="AD6" s="117" t="s">
        <v>42</v>
      </c>
      <c r="AE6" s="117" t="s">
        <v>43</v>
      </c>
      <c r="AF6" s="117" t="s">
        <v>44</v>
      </c>
      <c r="AG6" s="164">
        <v>31.0</v>
      </c>
      <c r="AH6" s="117" t="s">
        <v>46</v>
      </c>
    </row>
    <row r="7" ht="30.0" customHeight="1">
      <c r="B7" s="11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5"/>
    </row>
    <row r="8" ht="30.0" customHeight="1">
      <c r="B8" s="118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5"/>
    </row>
    <row r="9" ht="30.0" customHeight="1">
      <c r="B9" s="118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5"/>
    </row>
    <row r="10" ht="30.0" customHeight="1">
      <c r="B10" s="8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5"/>
    </row>
    <row r="12" ht="30.0" customHeight="1">
      <c r="B12" s="127" t="str">
        <f>Octubre!MonthName&amp;" Total"</f>
        <v>Octubre Total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27"/>
    </row>
    <row r="13" ht="30.0" customHeight="1"/>
    <row r="14" ht="30.0" customHeight="1">
      <c r="B14" s="38" t="s">
        <v>386</v>
      </c>
      <c r="C14" s="80" t="s">
        <v>330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80"/>
      <c r="AH14" s="32">
        <f>CalendarioAño</f>
        <v>2025</v>
      </c>
    </row>
    <row r="15" ht="30.0" customHeight="1">
      <c r="B15" s="32"/>
      <c r="C15" s="16" t="str">
        <f>TEXT(WEEKDAY(DATE(CalendarioAño,8,6),1),"ddd")</f>
        <v>mié</v>
      </c>
      <c r="D15" s="16" t="str">
        <f>TEXT(WEEKDAY(DATE(CalendarioAño,8,7),1),"ddd")</f>
        <v>jue</v>
      </c>
      <c r="E15" s="159" t="s">
        <v>366</v>
      </c>
      <c r="F15" s="16" t="str">
        <f>TEXT(WEEKDAY(DATE(CalendarioAño,8,9),1),"ddd")</f>
        <v>sáb</v>
      </c>
      <c r="G15" s="159" t="s">
        <v>367</v>
      </c>
      <c r="H15" s="159" t="s">
        <v>364</v>
      </c>
      <c r="I15" s="159" t="s">
        <v>365</v>
      </c>
      <c r="J15" s="16" t="str">
        <f>TEXT(WEEKDAY(DATE(CalendarioAño,8,6),1),"ddd")</f>
        <v>mié</v>
      </c>
      <c r="K15" s="16" t="str">
        <f>TEXT(WEEKDAY(DATE(CalendarioAño,8,7),1),"ddd")</f>
        <v>jue</v>
      </c>
      <c r="L15" s="159" t="s">
        <v>366</v>
      </c>
      <c r="M15" s="16" t="str">
        <f>TEXT(WEEKDAY(DATE(CalendarioAño,8,9),1),"ddd")</f>
        <v>sáb</v>
      </c>
      <c r="N15" s="159" t="s">
        <v>367</v>
      </c>
      <c r="O15" s="159" t="s">
        <v>364</v>
      </c>
      <c r="P15" s="159" t="s">
        <v>365</v>
      </c>
      <c r="Q15" s="16" t="str">
        <f>TEXT(WEEKDAY(DATE(CalendarioAño,8,6),1),"ddd")</f>
        <v>mié</v>
      </c>
      <c r="R15" s="16" t="str">
        <f>TEXT(WEEKDAY(DATE(CalendarioAño,8,7),1),"ddd")</f>
        <v>jue</v>
      </c>
      <c r="S15" s="159" t="s">
        <v>366</v>
      </c>
      <c r="T15" s="16" t="str">
        <f>TEXT(WEEKDAY(DATE(CalendarioAño,8,9),1),"ddd")</f>
        <v>sáb</v>
      </c>
      <c r="U15" s="159" t="s">
        <v>367</v>
      </c>
      <c r="V15" s="159" t="s">
        <v>364</v>
      </c>
      <c r="W15" s="159" t="s">
        <v>365</v>
      </c>
      <c r="X15" s="16" t="str">
        <f>TEXT(WEEKDAY(DATE(CalendarioAño,8,6),1),"ddd")</f>
        <v>mié</v>
      </c>
      <c r="Y15" s="16" t="str">
        <f>TEXT(WEEKDAY(DATE(CalendarioAño,8,7),1),"ddd")</f>
        <v>jue</v>
      </c>
      <c r="Z15" s="159" t="s">
        <v>366</v>
      </c>
      <c r="AA15" s="16" t="str">
        <f>TEXT(WEEKDAY(DATE(CalendarioAño,8,9),1),"ddd")</f>
        <v>sáb</v>
      </c>
      <c r="AB15" s="159" t="s">
        <v>367</v>
      </c>
      <c r="AC15" s="159" t="s">
        <v>364</v>
      </c>
      <c r="AD15" s="159" t="s">
        <v>365</v>
      </c>
      <c r="AE15" s="16" t="str">
        <f>TEXT(WEEKDAY(DATE(CalendarioAño,8,6),1),"ddd")</f>
        <v>mié</v>
      </c>
      <c r="AF15" s="16" t="str">
        <f>TEXT(WEEKDAY(DATE(CalendarioAño,8,7),1),"ddd")</f>
        <v>jue</v>
      </c>
      <c r="AG15" s="159" t="s">
        <v>366</v>
      </c>
      <c r="AH15" s="32"/>
    </row>
    <row r="16" ht="30.0" customHeight="1">
      <c r="A16" s="115"/>
      <c r="B16" s="116" t="s">
        <v>202</v>
      </c>
      <c r="C16" s="117" t="s">
        <v>15</v>
      </c>
      <c r="D16" s="117" t="s">
        <v>16</v>
      </c>
      <c r="E16" s="117" t="s">
        <v>17</v>
      </c>
      <c r="F16" s="117" t="s">
        <v>18</v>
      </c>
      <c r="G16" s="117" t="s">
        <v>19</v>
      </c>
      <c r="H16" s="117" t="s">
        <v>20</v>
      </c>
      <c r="I16" s="117" t="s">
        <v>21</v>
      </c>
      <c r="J16" s="117" t="s">
        <v>22</v>
      </c>
      <c r="K16" s="117" t="s">
        <v>23</v>
      </c>
      <c r="L16" s="117" t="s">
        <v>24</v>
      </c>
      <c r="M16" s="117" t="s">
        <v>25</v>
      </c>
      <c r="N16" s="117" t="s">
        <v>26</v>
      </c>
      <c r="O16" s="117" t="s">
        <v>27</v>
      </c>
      <c r="P16" s="117" t="s">
        <v>28</v>
      </c>
      <c r="Q16" s="117" t="s">
        <v>29</v>
      </c>
      <c r="R16" s="117" t="s">
        <v>30</v>
      </c>
      <c r="S16" s="117" t="s">
        <v>31</v>
      </c>
      <c r="T16" s="117" t="s">
        <v>32</v>
      </c>
      <c r="U16" s="117" t="s">
        <v>33</v>
      </c>
      <c r="V16" s="117" t="s">
        <v>34</v>
      </c>
      <c r="W16" s="117" t="s">
        <v>35</v>
      </c>
      <c r="X16" s="117" t="s">
        <v>36</v>
      </c>
      <c r="Y16" s="117" t="s">
        <v>37</v>
      </c>
      <c r="Z16" s="117" t="s">
        <v>38</v>
      </c>
      <c r="AA16" s="117" t="s">
        <v>39</v>
      </c>
      <c r="AB16" s="117" t="s">
        <v>40</v>
      </c>
      <c r="AC16" s="117" t="s">
        <v>41</v>
      </c>
      <c r="AD16" s="117" t="s">
        <v>42</v>
      </c>
      <c r="AE16" s="117" t="s">
        <v>43</v>
      </c>
      <c r="AF16" s="117" t="s">
        <v>44</v>
      </c>
      <c r="AG16" s="164">
        <v>31.0</v>
      </c>
      <c r="AH16" s="117" t="s">
        <v>46</v>
      </c>
    </row>
    <row r="17" ht="30.0" customHeight="1">
      <c r="B17" s="129" t="s">
        <v>387</v>
      </c>
      <c r="C17" s="139"/>
      <c r="D17" s="130"/>
      <c r="E17" s="130"/>
      <c r="F17" s="89"/>
      <c r="G17" s="130"/>
      <c r="H17" s="89"/>
      <c r="I17" s="10" t="s">
        <v>6</v>
      </c>
      <c r="J17" s="130"/>
      <c r="K17" s="10" t="s">
        <v>6</v>
      </c>
      <c r="L17" s="130"/>
      <c r="M17" s="130"/>
      <c r="N17" s="130"/>
      <c r="O17" s="130"/>
      <c r="P17" s="10" t="s">
        <v>6</v>
      </c>
      <c r="Q17" s="130"/>
      <c r="R17" s="10" t="s">
        <v>6</v>
      </c>
      <c r="S17" s="130"/>
      <c r="T17" s="130"/>
      <c r="U17" s="130"/>
      <c r="V17" s="130"/>
      <c r="W17" s="10" t="s">
        <v>6</v>
      </c>
      <c r="X17" s="130"/>
      <c r="Y17" s="10" t="s">
        <v>6</v>
      </c>
      <c r="Z17" s="130"/>
      <c r="AA17" s="130"/>
      <c r="AB17" s="130"/>
      <c r="AC17" s="139"/>
      <c r="AD17" s="10" t="s">
        <v>6</v>
      </c>
      <c r="AE17" s="139"/>
      <c r="AF17" s="10" t="s">
        <v>6</v>
      </c>
      <c r="AG17" s="139"/>
      <c r="AH17" s="131"/>
    </row>
    <row r="18" ht="30.0" customHeight="1">
      <c r="B18" s="132" t="s">
        <v>388</v>
      </c>
      <c r="C18" s="128"/>
      <c r="D18" s="128"/>
      <c r="E18" s="128"/>
      <c r="F18" s="84"/>
      <c r="G18" s="128"/>
      <c r="H18" s="84"/>
      <c r="I18" s="128"/>
      <c r="J18" s="128"/>
      <c r="K18" s="128"/>
      <c r="L18" s="128"/>
      <c r="M18" s="128"/>
      <c r="N18" s="128"/>
      <c r="O18" s="10" t="s">
        <v>6</v>
      </c>
      <c r="P18" s="128"/>
      <c r="Q18" s="10" t="s">
        <v>6</v>
      </c>
      <c r="R18" s="128"/>
      <c r="S18" s="128"/>
      <c r="T18" s="128"/>
      <c r="U18" s="128"/>
      <c r="V18" s="10" t="s">
        <v>6</v>
      </c>
      <c r="W18" s="128"/>
      <c r="X18" s="10" t="s">
        <v>6</v>
      </c>
      <c r="Y18" s="128"/>
      <c r="Z18" s="128"/>
      <c r="AA18" s="128"/>
      <c r="AB18" s="128"/>
      <c r="AC18" s="10" t="s">
        <v>6</v>
      </c>
      <c r="AD18" s="128"/>
      <c r="AE18" s="128"/>
      <c r="AF18" s="128"/>
      <c r="AG18" s="128"/>
      <c r="AH18" s="134"/>
    </row>
    <row r="19" ht="30.0" customHeight="1">
      <c r="B19" s="138" t="s">
        <v>389</v>
      </c>
      <c r="C19" s="139"/>
      <c r="D19" s="139"/>
      <c r="E19" s="139"/>
      <c r="F19" s="84"/>
      <c r="G19" s="139"/>
      <c r="H19" s="84"/>
      <c r="I19" s="139"/>
      <c r="J19" s="139"/>
      <c r="K19" s="139"/>
      <c r="L19" s="139"/>
      <c r="M19" s="139"/>
      <c r="N19" s="139"/>
      <c r="O19" s="10" t="s">
        <v>6</v>
      </c>
      <c r="P19" s="139"/>
      <c r="Q19" s="10" t="s">
        <v>6</v>
      </c>
      <c r="R19" s="139"/>
      <c r="S19" s="139"/>
      <c r="T19" s="139"/>
      <c r="U19" s="139"/>
      <c r="V19" s="10" t="s">
        <v>6</v>
      </c>
      <c r="W19" s="139"/>
      <c r="X19" s="10" t="s">
        <v>6</v>
      </c>
      <c r="Y19" s="139"/>
      <c r="Z19" s="139"/>
      <c r="AA19" s="139"/>
      <c r="AB19" s="139"/>
      <c r="AC19" s="10" t="s">
        <v>6</v>
      </c>
      <c r="AD19" s="139"/>
      <c r="AE19" s="139"/>
      <c r="AF19" s="139"/>
      <c r="AG19" s="139"/>
      <c r="AH19" s="131"/>
    </row>
    <row r="20" ht="30.0" customHeight="1">
      <c r="B20" s="135" t="s">
        <v>390</v>
      </c>
      <c r="C20" s="133"/>
      <c r="D20" s="133"/>
      <c r="E20" s="133"/>
      <c r="F20" s="89"/>
      <c r="G20" s="133"/>
      <c r="H20" s="89"/>
      <c r="I20" s="133"/>
      <c r="J20" s="133"/>
      <c r="K20" s="133"/>
      <c r="L20" s="133"/>
      <c r="M20" s="133"/>
      <c r="N20" s="133"/>
      <c r="O20" s="133"/>
      <c r="P20" s="133"/>
      <c r="Q20" s="133"/>
      <c r="R20" s="10" t="s">
        <v>6</v>
      </c>
      <c r="S20" s="133"/>
      <c r="T20" s="133"/>
      <c r="U20" s="133"/>
      <c r="V20" s="133"/>
      <c r="W20" s="10" t="s">
        <v>6</v>
      </c>
      <c r="X20" s="133"/>
      <c r="Y20" s="10" t="s">
        <v>6</v>
      </c>
      <c r="Z20" s="133"/>
      <c r="AA20" s="133"/>
      <c r="AB20" s="133"/>
      <c r="AC20" s="133"/>
      <c r="AD20" s="10" t="s">
        <v>6</v>
      </c>
      <c r="AE20" s="133"/>
      <c r="AF20" s="133"/>
      <c r="AG20" s="10" t="s">
        <v>6</v>
      </c>
      <c r="AH20" s="134"/>
    </row>
    <row r="21" ht="30.0" customHeight="1">
      <c r="B21" s="138" t="s">
        <v>370</v>
      </c>
      <c r="C21" s="139"/>
      <c r="D21" s="139"/>
      <c r="E21" s="139"/>
      <c r="F21" s="84"/>
      <c r="G21" s="139"/>
      <c r="H21" s="84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0" t="s">
        <v>6</v>
      </c>
      <c r="AB21" s="139"/>
      <c r="AC21" s="139"/>
      <c r="AD21" s="139"/>
      <c r="AE21" s="139"/>
      <c r="AF21" s="139"/>
      <c r="AG21" s="139"/>
      <c r="AH21" s="139"/>
    </row>
    <row r="22" ht="30.0" customHeight="1">
      <c r="B22" s="135" t="s">
        <v>391</v>
      </c>
      <c r="C22" s="128"/>
      <c r="D22" s="128"/>
      <c r="E22" s="128"/>
      <c r="F22" s="84"/>
      <c r="G22" s="128"/>
      <c r="H22" s="84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0" t="s">
        <v>6</v>
      </c>
      <c r="AG22" s="128"/>
      <c r="AH22" s="128"/>
    </row>
    <row r="23" ht="30.0" customHeight="1">
      <c r="B23" s="140"/>
      <c r="C23" s="139"/>
      <c r="D23" s="139"/>
      <c r="E23" s="139"/>
      <c r="F23" s="84"/>
      <c r="G23" s="139"/>
      <c r="H23" s="84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</row>
    <row r="24" ht="30.0" customHeight="1">
      <c r="B24" s="127"/>
      <c r="C24" s="128"/>
      <c r="D24" s="128"/>
      <c r="E24" s="128"/>
      <c r="F24" s="84"/>
      <c r="G24" s="128"/>
      <c r="H24" s="84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</row>
    <row r="25" ht="30.0" customHeight="1">
      <c r="B25" s="140" t="str">
        <f>Octubre!MonthName&amp;" Total"</f>
        <v>Octubre Total</v>
      </c>
      <c r="C25" s="139"/>
      <c r="D25" s="139"/>
      <c r="E25" s="139"/>
      <c r="F25" s="84"/>
      <c r="G25" s="139"/>
      <c r="H25" s="84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</row>
    <row r="26" ht="30.0" customHeight="1"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4"/>
    </row>
    <row r="27" ht="30.0" customHeight="1">
      <c r="B27" s="38" t="s">
        <v>386</v>
      </c>
      <c r="C27" s="80" t="s">
        <v>331</v>
      </c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80"/>
      <c r="AH27" s="32">
        <f>CalendarioAño</f>
        <v>2025</v>
      </c>
    </row>
    <row r="28" ht="30.0" customHeight="1">
      <c r="B28" s="32"/>
      <c r="C28" s="133" t="str">
        <f>TEXT(WEEKDAY(DATE(CalendarioAño,8,6),1),"ddd")</f>
        <v>mié</v>
      </c>
      <c r="D28" s="133" t="str">
        <f>TEXT(WEEKDAY(DATE(CalendarioAño,8,7),1),"ddd")</f>
        <v>jue</v>
      </c>
      <c r="E28" s="162" t="s">
        <v>366</v>
      </c>
      <c r="F28" s="133" t="str">
        <f>TEXT(WEEKDAY(DATE(CalendarioAño,8,9),1),"ddd")</f>
        <v>sáb</v>
      </c>
      <c r="G28" s="162" t="s">
        <v>367</v>
      </c>
      <c r="H28" s="162" t="s">
        <v>364</v>
      </c>
      <c r="I28" s="162" t="s">
        <v>365</v>
      </c>
      <c r="J28" s="133" t="str">
        <f>TEXT(WEEKDAY(DATE(CalendarioAño,8,6),1),"ddd")</f>
        <v>mié</v>
      </c>
      <c r="K28" s="133" t="str">
        <f>TEXT(WEEKDAY(DATE(CalendarioAño,8,7),1),"ddd")</f>
        <v>jue</v>
      </c>
      <c r="L28" s="162" t="s">
        <v>366</v>
      </c>
      <c r="M28" s="133" t="str">
        <f>TEXT(WEEKDAY(DATE(CalendarioAño,8,9),1),"ddd")</f>
        <v>sáb</v>
      </c>
      <c r="N28" s="162" t="s">
        <v>367</v>
      </c>
      <c r="O28" s="162" t="s">
        <v>364</v>
      </c>
      <c r="P28" s="162" t="s">
        <v>365</v>
      </c>
      <c r="Q28" s="133" t="str">
        <f>TEXT(WEEKDAY(DATE(CalendarioAño,8,6),1),"ddd")</f>
        <v>mié</v>
      </c>
      <c r="R28" s="133" t="str">
        <f>TEXT(WEEKDAY(DATE(CalendarioAño,8,7),1),"ddd")</f>
        <v>jue</v>
      </c>
      <c r="S28" s="162" t="s">
        <v>366</v>
      </c>
      <c r="T28" s="133" t="str">
        <f>TEXT(WEEKDAY(DATE(CalendarioAño,8,9),1),"ddd")</f>
        <v>sáb</v>
      </c>
      <c r="U28" s="162" t="s">
        <v>367</v>
      </c>
      <c r="V28" s="162" t="s">
        <v>364</v>
      </c>
      <c r="W28" s="162" t="s">
        <v>365</v>
      </c>
      <c r="X28" s="133" t="str">
        <f>TEXT(WEEKDAY(DATE(CalendarioAño,8,6),1),"ddd")</f>
        <v>mié</v>
      </c>
      <c r="Y28" s="133" t="str">
        <f>TEXT(WEEKDAY(DATE(CalendarioAño,8,7),1),"ddd")</f>
        <v>jue</v>
      </c>
      <c r="Z28" s="162" t="s">
        <v>366</v>
      </c>
      <c r="AA28" s="133" t="str">
        <f>TEXT(WEEKDAY(DATE(CalendarioAño,8,9),1),"ddd")</f>
        <v>sáb</v>
      </c>
      <c r="AB28" s="162" t="s">
        <v>367</v>
      </c>
      <c r="AC28" s="162" t="s">
        <v>364</v>
      </c>
      <c r="AD28" s="162" t="s">
        <v>365</v>
      </c>
      <c r="AE28" s="133" t="str">
        <f>TEXT(WEEKDAY(DATE(CalendarioAño,8,6),1),"ddd")</f>
        <v>mié</v>
      </c>
      <c r="AF28" s="133" t="str">
        <f>TEXT(WEEKDAY(DATE(CalendarioAño,8,7),1),"ddd")</f>
        <v>jue</v>
      </c>
      <c r="AG28" s="162" t="s">
        <v>366</v>
      </c>
      <c r="AH28" s="32"/>
    </row>
    <row r="29" ht="30.0" customHeight="1">
      <c r="A29" s="115"/>
      <c r="B29" s="116" t="s">
        <v>202</v>
      </c>
      <c r="C29" s="117" t="s">
        <v>15</v>
      </c>
      <c r="D29" s="117" t="s">
        <v>16</v>
      </c>
      <c r="E29" s="117" t="s">
        <v>17</v>
      </c>
      <c r="F29" s="117" t="s">
        <v>18</v>
      </c>
      <c r="G29" s="117" t="s">
        <v>19</v>
      </c>
      <c r="H29" s="117" t="s">
        <v>20</v>
      </c>
      <c r="I29" s="117" t="s">
        <v>21</v>
      </c>
      <c r="J29" s="117" t="s">
        <v>22</v>
      </c>
      <c r="K29" s="117" t="s">
        <v>23</v>
      </c>
      <c r="L29" s="117" t="s">
        <v>24</v>
      </c>
      <c r="M29" s="117" t="s">
        <v>25</v>
      </c>
      <c r="N29" s="117" t="s">
        <v>26</v>
      </c>
      <c r="O29" s="117" t="s">
        <v>27</v>
      </c>
      <c r="P29" s="117" t="s">
        <v>28</v>
      </c>
      <c r="Q29" s="117" t="s">
        <v>29</v>
      </c>
      <c r="R29" s="117" t="s">
        <v>30</v>
      </c>
      <c r="S29" s="117" t="s">
        <v>31</v>
      </c>
      <c r="T29" s="117" t="s">
        <v>32</v>
      </c>
      <c r="U29" s="117" t="s">
        <v>33</v>
      </c>
      <c r="V29" s="117" t="s">
        <v>34</v>
      </c>
      <c r="W29" s="117" t="s">
        <v>35</v>
      </c>
      <c r="X29" s="117" t="s">
        <v>36</v>
      </c>
      <c r="Y29" s="117" t="s">
        <v>37</v>
      </c>
      <c r="Z29" s="117" t="s">
        <v>38</v>
      </c>
      <c r="AA29" s="117" t="s">
        <v>39</v>
      </c>
      <c r="AB29" s="117" t="s">
        <v>40</v>
      </c>
      <c r="AC29" s="117" t="s">
        <v>41</v>
      </c>
      <c r="AD29" s="117" t="s">
        <v>42</v>
      </c>
      <c r="AE29" s="117" t="s">
        <v>43</v>
      </c>
      <c r="AF29" s="117" t="s">
        <v>44</v>
      </c>
      <c r="AG29" s="164">
        <v>31.0</v>
      </c>
      <c r="AH29" s="117" t="s">
        <v>46</v>
      </c>
    </row>
    <row r="30" ht="30.0" customHeight="1">
      <c r="B30" s="132" t="s">
        <v>349</v>
      </c>
      <c r="C30" s="10" t="s">
        <v>6</v>
      </c>
      <c r="D30" s="133"/>
      <c r="E30" s="133"/>
      <c r="F30" s="89"/>
      <c r="G30" s="133"/>
      <c r="H30" s="89"/>
      <c r="I30" s="133"/>
      <c r="J30" s="133"/>
      <c r="K30" s="10" t="s">
        <v>6</v>
      </c>
      <c r="L30" s="133"/>
      <c r="M30" s="10" t="s">
        <v>6</v>
      </c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28"/>
      <c r="AD30" s="128"/>
      <c r="AE30" s="128"/>
      <c r="AF30" s="128"/>
      <c r="AG30" s="128"/>
      <c r="AH30" s="134"/>
    </row>
    <row r="31" ht="30.0" customHeight="1">
      <c r="B31" s="129" t="s">
        <v>372</v>
      </c>
      <c r="C31" s="10" t="s">
        <v>6</v>
      </c>
      <c r="D31" s="130"/>
      <c r="E31" s="130"/>
      <c r="F31" s="89"/>
      <c r="G31" s="130"/>
      <c r="H31" s="89"/>
      <c r="I31" s="10" t="s">
        <v>6</v>
      </c>
      <c r="J31" s="130"/>
      <c r="K31" s="130"/>
      <c r="L31" s="130"/>
      <c r="M31" s="130"/>
      <c r="N31" s="130"/>
      <c r="O31" s="130"/>
      <c r="P31" s="130"/>
      <c r="Q31" s="10" t="s">
        <v>6</v>
      </c>
      <c r="R31" s="130"/>
      <c r="S31" s="130"/>
      <c r="T31" s="130"/>
      <c r="U31" s="130"/>
      <c r="V31" s="130"/>
      <c r="W31" s="130"/>
      <c r="X31" s="10" t="s">
        <v>6</v>
      </c>
      <c r="Y31" s="130"/>
      <c r="Z31" s="130"/>
      <c r="AA31" s="130"/>
      <c r="AB31" s="130"/>
      <c r="AC31" s="130"/>
      <c r="AD31" s="130"/>
      <c r="AE31" s="10" t="s">
        <v>6</v>
      </c>
      <c r="AF31" s="139"/>
      <c r="AG31" s="10" t="s">
        <v>6</v>
      </c>
      <c r="AH31" s="131"/>
    </row>
    <row r="32" ht="30.0" customHeight="1">
      <c r="B32" s="132" t="s">
        <v>371</v>
      </c>
      <c r="C32" s="10" t="s">
        <v>6</v>
      </c>
      <c r="D32" s="133"/>
      <c r="E32" s="133"/>
      <c r="F32" s="89"/>
      <c r="G32" s="133"/>
      <c r="H32" s="89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28"/>
      <c r="AD32" s="128"/>
      <c r="AE32" s="128"/>
      <c r="AF32" s="128"/>
      <c r="AG32" s="128"/>
      <c r="AH32" s="134"/>
    </row>
    <row r="33" ht="30.0" customHeight="1">
      <c r="B33" s="138" t="s">
        <v>369</v>
      </c>
      <c r="C33" s="10" t="s">
        <v>6</v>
      </c>
      <c r="D33" s="130"/>
      <c r="E33" s="130"/>
      <c r="F33" s="89"/>
      <c r="G33" s="130"/>
      <c r="H33" s="89"/>
      <c r="I33" s="130"/>
      <c r="J33" s="130"/>
      <c r="K33" s="130"/>
      <c r="L33" s="10" t="s">
        <v>6</v>
      </c>
      <c r="M33" s="130"/>
      <c r="N33" s="130"/>
      <c r="O33" s="130"/>
      <c r="P33" s="130"/>
      <c r="Q33" s="130"/>
      <c r="R33" s="130"/>
      <c r="S33" s="10" t="s">
        <v>6</v>
      </c>
      <c r="T33" s="10" t="s">
        <v>6</v>
      </c>
      <c r="U33" s="130"/>
      <c r="V33" s="130"/>
      <c r="W33" s="130"/>
      <c r="X33" s="10" t="s">
        <v>6</v>
      </c>
      <c r="Y33" s="130"/>
      <c r="Z33" s="130"/>
      <c r="AA33" s="10" t="s">
        <v>6</v>
      </c>
      <c r="AB33" s="130"/>
      <c r="AC33" s="130"/>
      <c r="AD33" s="130"/>
      <c r="AE33" s="10" t="s">
        <v>6</v>
      </c>
      <c r="AF33" s="139"/>
      <c r="AG33" s="139"/>
      <c r="AH33" s="131"/>
    </row>
    <row r="34" ht="30.0" customHeight="1">
      <c r="B34" s="135" t="s">
        <v>351</v>
      </c>
      <c r="C34" s="128"/>
      <c r="D34" s="10" t="s">
        <v>6</v>
      </c>
      <c r="E34" s="133"/>
      <c r="F34" s="89"/>
      <c r="G34" s="133"/>
      <c r="H34" s="89"/>
      <c r="I34" s="133"/>
      <c r="J34" s="133"/>
      <c r="K34" s="10" t="s">
        <v>6</v>
      </c>
      <c r="L34" s="10" t="s">
        <v>6</v>
      </c>
      <c r="M34" s="133"/>
      <c r="N34" s="133"/>
      <c r="O34" s="133"/>
      <c r="P34" s="133"/>
      <c r="Q34" s="133"/>
      <c r="R34" s="10" t="s">
        <v>6</v>
      </c>
      <c r="S34" s="133"/>
      <c r="T34" s="133"/>
      <c r="U34" s="133"/>
      <c r="V34" s="133"/>
      <c r="W34" s="133"/>
      <c r="X34" s="133"/>
      <c r="Y34" s="10" t="s">
        <v>6</v>
      </c>
      <c r="Z34" s="10" t="s">
        <v>6</v>
      </c>
      <c r="AA34" s="133"/>
      <c r="AB34" s="133"/>
      <c r="AC34" s="128"/>
      <c r="AD34" s="128"/>
      <c r="AE34" s="128"/>
      <c r="AF34" s="128"/>
      <c r="AG34" s="128"/>
      <c r="AH34" s="134"/>
    </row>
    <row r="35" ht="30.0" customHeight="1">
      <c r="B35" s="138" t="s">
        <v>274</v>
      </c>
      <c r="C35" s="130"/>
      <c r="D35" s="10" t="s">
        <v>6</v>
      </c>
      <c r="E35" s="130"/>
      <c r="F35" s="89"/>
      <c r="G35" s="130"/>
      <c r="H35" s="89"/>
      <c r="I35" s="10" t="s">
        <v>6</v>
      </c>
      <c r="J35" s="130"/>
      <c r="K35" s="10" t="s">
        <v>6</v>
      </c>
      <c r="L35" s="130"/>
      <c r="M35" s="130"/>
      <c r="N35" s="130"/>
      <c r="O35" s="130"/>
      <c r="P35" s="10" t="s">
        <v>6</v>
      </c>
      <c r="Q35" s="130"/>
      <c r="R35" s="10" t="s">
        <v>6</v>
      </c>
      <c r="S35" s="130"/>
      <c r="T35" s="130"/>
      <c r="U35" s="130"/>
      <c r="V35" s="130"/>
      <c r="W35" s="10" t="s">
        <v>6</v>
      </c>
      <c r="X35" s="130"/>
      <c r="Y35" s="10" t="s">
        <v>6</v>
      </c>
      <c r="Z35" s="130"/>
      <c r="AA35" s="130"/>
      <c r="AB35" s="130"/>
      <c r="AC35" s="130"/>
      <c r="AD35" s="10" t="s">
        <v>6</v>
      </c>
      <c r="AE35" s="130"/>
      <c r="AF35" s="10" t="s">
        <v>6</v>
      </c>
      <c r="AG35" s="139"/>
      <c r="AH35" s="131"/>
    </row>
    <row r="36" ht="30.0" customHeight="1">
      <c r="B36" s="135" t="s">
        <v>392</v>
      </c>
      <c r="C36" s="128"/>
      <c r="D36" s="133"/>
      <c r="E36" s="133"/>
      <c r="F36" s="89"/>
      <c r="G36" s="133"/>
      <c r="H36" s="89"/>
      <c r="I36" s="10" t="s">
        <v>6</v>
      </c>
      <c r="J36" s="133"/>
      <c r="K36" s="133"/>
      <c r="L36" s="133"/>
      <c r="M36" s="10" t="s">
        <v>6</v>
      </c>
      <c r="N36" s="133"/>
      <c r="O36" s="133"/>
      <c r="P36" s="10" t="s">
        <v>6</v>
      </c>
      <c r="Q36" s="133"/>
      <c r="R36" s="10" t="s">
        <v>6</v>
      </c>
      <c r="S36" s="133"/>
      <c r="T36" s="10" t="s">
        <v>6</v>
      </c>
      <c r="U36" s="133"/>
      <c r="V36" s="133"/>
      <c r="W36" s="133"/>
      <c r="X36" s="133"/>
      <c r="Y36" s="133"/>
      <c r="Z36" s="133"/>
      <c r="AA36" s="10" t="s">
        <v>6</v>
      </c>
      <c r="AB36" s="133"/>
      <c r="AC36" s="128"/>
      <c r="AD36" s="10" t="s">
        <v>6</v>
      </c>
      <c r="AE36" s="128"/>
      <c r="AF36" s="10" t="s">
        <v>6</v>
      </c>
      <c r="AG36" s="128"/>
      <c r="AH36" s="134"/>
    </row>
    <row r="37" ht="30.0" customHeight="1">
      <c r="B37" s="138" t="s">
        <v>368</v>
      </c>
      <c r="C37" s="130"/>
      <c r="D37" s="10" t="s">
        <v>6</v>
      </c>
      <c r="E37" s="10" t="s">
        <v>6</v>
      </c>
      <c r="F37" s="89"/>
      <c r="G37" s="130"/>
      <c r="H37" s="89"/>
      <c r="I37" s="10" t="s">
        <v>6</v>
      </c>
      <c r="J37" s="130"/>
      <c r="K37" s="10" t="s">
        <v>6</v>
      </c>
      <c r="L37" s="130"/>
      <c r="M37" s="130"/>
      <c r="N37" s="130"/>
      <c r="O37" s="130"/>
      <c r="P37" s="10" t="s">
        <v>6</v>
      </c>
      <c r="Q37" s="130"/>
      <c r="R37" s="10" t="s">
        <v>6</v>
      </c>
      <c r="S37" s="130"/>
      <c r="T37" s="130"/>
      <c r="U37" s="130"/>
      <c r="V37" s="130"/>
      <c r="W37" s="130"/>
      <c r="X37" s="10" t="s">
        <v>6</v>
      </c>
      <c r="Y37" s="130"/>
      <c r="Z37" s="130"/>
      <c r="AA37" s="130"/>
      <c r="AB37" s="130"/>
      <c r="AC37" s="130"/>
      <c r="AD37" s="130"/>
      <c r="AE37" s="10" t="s">
        <v>6</v>
      </c>
      <c r="AF37" s="139"/>
      <c r="AG37" s="139"/>
      <c r="AH37" s="139"/>
    </row>
    <row r="38" ht="30.0" customHeight="1">
      <c r="B38" s="135" t="s">
        <v>350</v>
      </c>
      <c r="C38" s="128"/>
      <c r="D38" s="10" t="s">
        <v>6</v>
      </c>
      <c r="E38" s="133"/>
      <c r="F38" s="89"/>
      <c r="G38" s="133"/>
      <c r="H38" s="89"/>
      <c r="I38" s="133"/>
      <c r="J38" s="133"/>
      <c r="K38" s="10" t="s">
        <v>6</v>
      </c>
      <c r="L38" s="133"/>
      <c r="M38" s="133"/>
      <c r="N38" s="133"/>
      <c r="O38" s="133"/>
      <c r="P38" s="133"/>
      <c r="Q38" s="10" t="s">
        <v>6</v>
      </c>
      <c r="R38" s="10" t="s">
        <v>6</v>
      </c>
      <c r="S38" s="133"/>
      <c r="T38" s="133"/>
      <c r="U38" s="133"/>
      <c r="V38" s="133"/>
      <c r="W38" s="10" t="s">
        <v>6</v>
      </c>
      <c r="X38" s="133"/>
      <c r="Y38" s="10" t="s">
        <v>6</v>
      </c>
      <c r="Z38" s="133"/>
      <c r="AA38" s="133"/>
      <c r="AB38" s="133"/>
      <c r="AC38" s="128"/>
      <c r="AD38" s="128"/>
      <c r="AE38" s="128"/>
      <c r="AF38" s="10" t="s">
        <v>6</v>
      </c>
      <c r="AG38" s="10" t="s">
        <v>6</v>
      </c>
      <c r="AH38" s="128"/>
    </row>
    <row r="39" ht="30.0" customHeight="1">
      <c r="B39" s="138" t="s">
        <v>265</v>
      </c>
      <c r="C39" s="130"/>
      <c r="D39" s="130"/>
      <c r="E39" s="130"/>
      <c r="F39" s="89"/>
      <c r="G39" s="130"/>
      <c r="H39" s="89"/>
      <c r="I39" s="130"/>
      <c r="J39" s="130"/>
      <c r="K39" s="130"/>
      <c r="L39" s="10" t="s">
        <v>6</v>
      </c>
      <c r="M39" s="10" t="s">
        <v>6</v>
      </c>
      <c r="N39" s="130"/>
      <c r="O39" s="130"/>
      <c r="P39" s="130"/>
      <c r="Q39" s="130"/>
      <c r="R39" s="130"/>
      <c r="S39" s="130"/>
      <c r="T39" s="10" t="s">
        <v>6</v>
      </c>
      <c r="U39" s="130"/>
      <c r="V39" s="130"/>
      <c r="W39" s="130"/>
      <c r="X39" s="130"/>
      <c r="Y39" s="10" t="s">
        <v>6</v>
      </c>
      <c r="Z39" s="10" t="s">
        <v>6</v>
      </c>
      <c r="AA39" s="130"/>
      <c r="AB39" s="130"/>
      <c r="AC39" s="130"/>
      <c r="AD39" s="130"/>
      <c r="AE39" s="130"/>
      <c r="AF39" s="139"/>
      <c r="AG39" s="10" t="s">
        <v>6</v>
      </c>
      <c r="AH39" s="139"/>
    </row>
    <row r="40" ht="30.0" customHeight="1">
      <c r="B40" s="135" t="s">
        <v>393</v>
      </c>
      <c r="C40" s="128"/>
      <c r="D40" s="133"/>
      <c r="E40" s="133"/>
      <c r="F40" s="89"/>
      <c r="G40" s="133"/>
      <c r="H40" s="89"/>
      <c r="I40" s="133"/>
      <c r="J40" s="133"/>
      <c r="K40" s="133"/>
      <c r="L40" s="133"/>
      <c r="M40" s="133"/>
      <c r="N40" s="133"/>
      <c r="O40" s="10" t="s">
        <v>6</v>
      </c>
      <c r="P40" s="133"/>
      <c r="Q40" s="133"/>
      <c r="R40" s="133"/>
      <c r="S40" s="133"/>
      <c r="T40" s="133"/>
      <c r="U40" s="133"/>
      <c r="V40" s="133"/>
      <c r="W40" s="10" t="s">
        <v>6</v>
      </c>
      <c r="X40" s="10" t="s">
        <v>6</v>
      </c>
      <c r="Y40" s="133"/>
      <c r="Z40" s="133"/>
      <c r="AA40" s="133"/>
      <c r="AB40" s="133"/>
      <c r="AC40" s="128"/>
      <c r="AD40" s="128"/>
      <c r="AE40" s="10" t="s">
        <v>6</v>
      </c>
      <c r="AF40" s="128"/>
      <c r="AG40" s="128"/>
      <c r="AH40" s="128"/>
    </row>
    <row r="41" ht="30.0" customHeight="1">
      <c r="B41" s="138" t="s">
        <v>268</v>
      </c>
      <c r="C41" s="130"/>
      <c r="D41" s="130"/>
      <c r="E41" s="130"/>
      <c r="F41" s="89"/>
      <c r="G41" s="130"/>
      <c r="H41" s="89"/>
      <c r="I41" s="130"/>
      <c r="J41" s="130"/>
      <c r="K41" s="130"/>
      <c r="L41" s="130"/>
      <c r="M41" s="10" t="s">
        <v>6</v>
      </c>
      <c r="N41" s="130"/>
      <c r="O41" s="130"/>
      <c r="P41" s="130"/>
      <c r="Q41" s="130"/>
      <c r="R41" s="130"/>
      <c r="S41" s="130"/>
      <c r="T41" s="10" t="s">
        <v>6</v>
      </c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9"/>
      <c r="AG41" s="139"/>
      <c r="AH41" s="139"/>
    </row>
    <row r="42" ht="30.0" customHeight="1">
      <c r="B42" s="135" t="s">
        <v>355</v>
      </c>
      <c r="C42" s="128"/>
      <c r="D42" s="133"/>
      <c r="E42" s="133"/>
      <c r="F42" s="89"/>
      <c r="G42" s="133"/>
      <c r="H42" s="89"/>
      <c r="I42" s="133"/>
      <c r="J42" s="133"/>
      <c r="K42" s="133"/>
      <c r="L42" s="133"/>
      <c r="M42" s="10" t="s">
        <v>6</v>
      </c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28"/>
      <c r="AD42" s="128"/>
      <c r="AE42" s="128"/>
      <c r="AF42" s="128"/>
      <c r="AG42" s="128"/>
      <c r="AH42" s="128"/>
    </row>
    <row r="43" ht="30.0" customHeight="1">
      <c r="B43" s="138" t="s">
        <v>394</v>
      </c>
      <c r="C43" s="130"/>
      <c r="D43" s="130"/>
      <c r="E43" s="130"/>
      <c r="F43" s="89"/>
      <c r="G43" s="130"/>
      <c r="H43" s="89"/>
      <c r="I43" s="130"/>
      <c r="J43" s="130"/>
      <c r="K43" s="130"/>
      <c r="L43" s="130"/>
      <c r="M43" s="130"/>
      <c r="N43" s="130"/>
      <c r="O43" s="130"/>
      <c r="P43" s="88" t="s">
        <v>6</v>
      </c>
      <c r="Q43" s="130"/>
      <c r="R43" s="130"/>
      <c r="S43" s="10" t="s">
        <v>6</v>
      </c>
      <c r="T43" s="130"/>
      <c r="U43" s="130"/>
      <c r="V43" s="130"/>
      <c r="W43" s="130"/>
      <c r="X43" s="10" t="s">
        <v>6</v>
      </c>
      <c r="Y43" s="10" t="s">
        <v>6</v>
      </c>
      <c r="Z43" s="10" t="s">
        <v>6</v>
      </c>
      <c r="AA43" s="130"/>
      <c r="AB43" s="130"/>
      <c r="AC43" s="10" t="s">
        <v>6</v>
      </c>
      <c r="AD43" s="130"/>
      <c r="AE43" s="130"/>
      <c r="AF43" s="139"/>
      <c r="AG43" s="10" t="s">
        <v>6</v>
      </c>
      <c r="AH43" s="139"/>
    </row>
    <row r="44" ht="30.0" customHeight="1">
      <c r="B44" s="135" t="s">
        <v>266</v>
      </c>
      <c r="C44" s="128"/>
      <c r="D44" s="10" t="s">
        <v>6</v>
      </c>
      <c r="E44" s="128"/>
      <c r="F44" s="84"/>
      <c r="G44" s="128"/>
      <c r="H44" s="84"/>
      <c r="I44" s="128"/>
      <c r="J44" s="128"/>
      <c r="K44" s="128"/>
      <c r="L44" s="128"/>
      <c r="M44" s="128"/>
      <c r="N44" s="128"/>
      <c r="O44" s="128"/>
      <c r="P44" s="128"/>
      <c r="Q44" s="128"/>
      <c r="R44" s="10" t="s">
        <v>6</v>
      </c>
      <c r="S44" s="10" t="s">
        <v>6</v>
      </c>
      <c r="T44" s="128"/>
      <c r="U44" s="128"/>
      <c r="V44" s="128"/>
      <c r="W44" s="128"/>
      <c r="X44" s="128"/>
      <c r="Y44" s="128"/>
      <c r="Z44" s="10" t="s">
        <v>6</v>
      </c>
      <c r="AA44" s="128"/>
      <c r="AB44" s="128"/>
      <c r="AC44" s="10" t="s">
        <v>6</v>
      </c>
      <c r="AD44" s="128"/>
      <c r="AE44" s="128"/>
      <c r="AF44" s="128"/>
      <c r="AG44" s="10" t="s">
        <v>6</v>
      </c>
      <c r="AH44" s="128"/>
    </row>
    <row r="45" ht="30.0" customHeight="1">
      <c r="B45" s="138" t="s">
        <v>47</v>
      </c>
      <c r="C45" s="139"/>
      <c r="D45" s="139"/>
      <c r="E45" s="139"/>
      <c r="F45" s="84"/>
      <c r="G45" s="139"/>
      <c r="H45" s="84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0" t="s">
        <v>6</v>
      </c>
      <c r="AB45" s="139"/>
      <c r="AC45" s="139"/>
      <c r="AD45" s="139"/>
      <c r="AE45" s="139"/>
      <c r="AF45" s="139"/>
      <c r="AG45" s="139"/>
      <c r="AH45" s="139"/>
    </row>
    <row r="46" ht="30.0" customHeight="1">
      <c r="B46" s="135"/>
      <c r="C46" s="128"/>
      <c r="D46" s="128"/>
      <c r="E46" s="128"/>
      <c r="F46" s="84"/>
      <c r="G46" s="128"/>
      <c r="H46" s="84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</row>
    <row r="47" ht="30.0" customHeight="1">
      <c r="B47" s="140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</row>
    <row r="48" ht="30.0" customHeight="1">
      <c r="B48" s="127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</row>
    <row r="49" ht="30.0" customHeight="1">
      <c r="B49" s="140" t="str">
        <f>Octubre!MonthName&amp;" Total"</f>
        <v>Octubre Total</v>
      </c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</row>
    <row r="50" ht="30.0" customHeight="1"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4"/>
    </row>
    <row r="51" ht="30.0" customHeight="1">
      <c r="B51" s="38" t="s">
        <v>386</v>
      </c>
      <c r="C51" s="80" t="s">
        <v>332</v>
      </c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80"/>
      <c r="AH51" s="32">
        <f>CalendarioAño</f>
        <v>2025</v>
      </c>
    </row>
    <row r="52" ht="30.0" customHeight="1">
      <c r="B52" s="32"/>
      <c r="C52" s="133" t="str">
        <f>TEXT(WEEKDAY(DATE(CalendarioAño,8,6),1),"ddd")</f>
        <v>mié</v>
      </c>
      <c r="D52" s="133" t="str">
        <f>TEXT(WEEKDAY(DATE(CalendarioAño,8,7),1),"ddd")</f>
        <v>jue</v>
      </c>
      <c r="E52" s="162" t="s">
        <v>366</v>
      </c>
      <c r="F52" s="133" t="str">
        <f>TEXT(WEEKDAY(DATE(CalendarioAño,8,9),1),"ddd")</f>
        <v>sáb</v>
      </c>
      <c r="G52" s="162" t="s">
        <v>367</v>
      </c>
      <c r="H52" s="162" t="s">
        <v>364</v>
      </c>
      <c r="I52" s="162" t="s">
        <v>365</v>
      </c>
      <c r="J52" s="133" t="str">
        <f>TEXT(WEEKDAY(DATE(CalendarioAño,8,6),1),"ddd")</f>
        <v>mié</v>
      </c>
      <c r="K52" s="133" t="str">
        <f>TEXT(WEEKDAY(DATE(CalendarioAño,8,7),1),"ddd")</f>
        <v>jue</v>
      </c>
      <c r="L52" s="162" t="s">
        <v>366</v>
      </c>
      <c r="M52" s="133" t="str">
        <f>TEXT(WEEKDAY(DATE(CalendarioAño,8,9),1),"ddd")</f>
        <v>sáb</v>
      </c>
      <c r="N52" s="162" t="s">
        <v>367</v>
      </c>
      <c r="O52" s="162" t="s">
        <v>364</v>
      </c>
      <c r="P52" s="162" t="s">
        <v>365</v>
      </c>
      <c r="Q52" s="133" t="str">
        <f>TEXT(WEEKDAY(DATE(CalendarioAño,8,6),1),"ddd")</f>
        <v>mié</v>
      </c>
      <c r="R52" s="133" t="str">
        <f>TEXT(WEEKDAY(DATE(CalendarioAño,8,7),1),"ddd")</f>
        <v>jue</v>
      </c>
      <c r="S52" s="162" t="s">
        <v>366</v>
      </c>
      <c r="T52" s="133" t="str">
        <f>TEXT(WEEKDAY(DATE(CalendarioAño,8,9),1),"ddd")</f>
        <v>sáb</v>
      </c>
      <c r="U52" s="162" t="s">
        <v>367</v>
      </c>
      <c r="V52" s="162" t="s">
        <v>364</v>
      </c>
      <c r="W52" s="162" t="s">
        <v>365</v>
      </c>
      <c r="X52" s="133" t="str">
        <f>TEXT(WEEKDAY(DATE(CalendarioAño,8,6),1),"ddd")</f>
        <v>mié</v>
      </c>
      <c r="Y52" s="133" t="str">
        <f>TEXT(WEEKDAY(DATE(CalendarioAño,8,7),1),"ddd")</f>
        <v>jue</v>
      </c>
      <c r="Z52" s="162" t="s">
        <v>366</v>
      </c>
      <c r="AA52" s="133" t="str">
        <f>TEXT(WEEKDAY(DATE(CalendarioAño,8,9),1),"ddd")</f>
        <v>sáb</v>
      </c>
      <c r="AB52" s="162" t="s">
        <v>367</v>
      </c>
      <c r="AC52" s="162" t="s">
        <v>364</v>
      </c>
      <c r="AD52" s="162" t="s">
        <v>365</v>
      </c>
      <c r="AE52" s="133" t="str">
        <f>TEXT(WEEKDAY(DATE(CalendarioAño,8,6),1),"ddd")</f>
        <v>mié</v>
      </c>
      <c r="AF52" s="133" t="str">
        <f>TEXT(WEEKDAY(DATE(CalendarioAño,8,7),1),"ddd")</f>
        <v>jue</v>
      </c>
      <c r="AG52" s="162" t="s">
        <v>366</v>
      </c>
      <c r="AH52" s="32"/>
    </row>
    <row r="53" ht="30.0" customHeight="1">
      <c r="A53" s="115"/>
      <c r="B53" s="116" t="s">
        <v>202</v>
      </c>
      <c r="C53" s="117" t="s">
        <v>15</v>
      </c>
      <c r="D53" s="117" t="s">
        <v>16</v>
      </c>
      <c r="E53" s="117" t="s">
        <v>17</v>
      </c>
      <c r="F53" s="117" t="s">
        <v>18</v>
      </c>
      <c r="G53" s="117" t="s">
        <v>19</v>
      </c>
      <c r="H53" s="117" t="s">
        <v>20</v>
      </c>
      <c r="I53" s="117" t="s">
        <v>21</v>
      </c>
      <c r="J53" s="117" t="s">
        <v>22</v>
      </c>
      <c r="K53" s="117" t="s">
        <v>23</v>
      </c>
      <c r="L53" s="117" t="s">
        <v>24</v>
      </c>
      <c r="M53" s="117" t="s">
        <v>25</v>
      </c>
      <c r="N53" s="117" t="s">
        <v>26</v>
      </c>
      <c r="O53" s="117" t="s">
        <v>27</v>
      </c>
      <c r="P53" s="117" t="s">
        <v>28</v>
      </c>
      <c r="Q53" s="117" t="s">
        <v>29</v>
      </c>
      <c r="R53" s="117" t="s">
        <v>30</v>
      </c>
      <c r="S53" s="117" t="s">
        <v>31</v>
      </c>
      <c r="T53" s="117" t="s">
        <v>32</v>
      </c>
      <c r="U53" s="117" t="s">
        <v>33</v>
      </c>
      <c r="V53" s="117" t="s">
        <v>34</v>
      </c>
      <c r="W53" s="117" t="s">
        <v>35</v>
      </c>
      <c r="X53" s="117" t="s">
        <v>36</v>
      </c>
      <c r="Y53" s="117" t="s">
        <v>37</v>
      </c>
      <c r="Z53" s="117" t="s">
        <v>38</v>
      </c>
      <c r="AA53" s="117" t="s">
        <v>39</v>
      </c>
      <c r="AB53" s="117" t="s">
        <v>40</v>
      </c>
      <c r="AC53" s="117" t="s">
        <v>41</v>
      </c>
      <c r="AD53" s="117" t="s">
        <v>42</v>
      </c>
      <c r="AE53" s="117" t="s">
        <v>43</v>
      </c>
      <c r="AF53" s="117" t="s">
        <v>44</v>
      </c>
      <c r="AG53" s="164">
        <v>31.0</v>
      </c>
      <c r="AH53" s="117" t="s">
        <v>46</v>
      </c>
    </row>
    <row r="54" ht="30.0" customHeight="1">
      <c r="B54" s="129" t="s">
        <v>374</v>
      </c>
      <c r="C54" s="10" t="s">
        <v>6</v>
      </c>
      <c r="D54" s="130"/>
      <c r="E54" s="130"/>
      <c r="F54" s="89"/>
      <c r="G54" s="130"/>
      <c r="H54" s="89"/>
      <c r="I54" s="10" t="s">
        <v>6</v>
      </c>
      <c r="J54" s="130"/>
      <c r="K54" s="130"/>
      <c r="L54" s="130"/>
      <c r="M54" s="130"/>
      <c r="N54" s="130"/>
      <c r="O54" s="130"/>
      <c r="P54" s="130"/>
      <c r="Q54" s="10" t="s">
        <v>6</v>
      </c>
      <c r="R54" s="130"/>
      <c r="S54" s="130"/>
      <c r="T54" s="130"/>
      <c r="U54" s="130"/>
      <c r="V54" s="130"/>
      <c r="W54" s="130"/>
      <c r="X54" s="10" t="s">
        <v>6</v>
      </c>
      <c r="Y54" s="130"/>
      <c r="Z54" s="130"/>
      <c r="AA54" s="130"/>
      <c r="AB54" s="130"/>
      <c r="AC54" s="139"/>
      <c r="AD54" s="139"/>
      <c r="AE54" s="10" t="s">
        <v>6</v>
      </c>
      <c r="AF54" s="139"/>
      <c r="AG54" s="10" t="s">
        <v>6</v>
      </c>
      <c r="AH54" s="134"/>
    </row>
    <row r="55" ht="30.0" customHeight="1">
      <c r="B55" s="132" t="s">
        <v>373</v>
      </c>
      <c r="C55" s="10" t="s">
        <v>6</v>
      </c>
      <c r="D55" s="10" t="s">
        <v>6</v>
      </c>
      <c r="E55" s="165"/>
      <c r="F55" s="89"/>
      <c r="G55" s="165"/>
      <c r="H55" s="89"/>
      <c r="I55" s="165"/>
      <c r="J55" s="165"/>
      <c r="K55" s="165"/>
      <c r="L55" s="165"/>
      <c r="M55" s="165"/>
      <c r="N55" s="165"/>
      <c r="O55" s="10" t="s">
        <v>6</v>
      </c>
      <c r="P55" s="10" t="s">
        <v>6</v>
      </c>
      <c r="Q55" s="10" t="s">
        <v>6</v>
      </c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33"/>
      <c r="AF55" s="128"/>
      <c r="AG55" s="128"/>
      <c r="AH55" s="134"/>
    </row>
    <row r="56" ht="30.0" customHeight="1">
      <c r="B56" s="119" t="s">
        <v>334</v>
      </c>
      <c r="C56" s="10" t="s">
        <v>6</v>
      </c>
      <c r="D56" s="21"/>
      <c r="E56" s="10" t="s">
        <v>6</v>
      </c>
      <c r="F56" s="89"/>
      <c r="G56" s="21"/>
      <c r="H56" s="89"/>
      <c r="I56" s="21"/>
      <c r="J56" s="21"/>
      <c r="K56" s="10" t="s">
        <v>6</v>
      </c>
      <c r="L56" s="21"/>
      <c r="M56" s="10" t="s">
        <v>6</v>
      </c>
      <c r="N56" s="21"/>
      <c r="O56" s="21"/>
      <c r="P56" s="21"/>
      <c r="Q56" s="21"/>
      <c r="R56" s="21"/>
      <c r="S56" s="10" t="s">
        <v>6</v>
      </c>
      <c r="T56" s="10" t="s">
        <v>6</v>
      </c>
      <c r="U56" s="21"/>
      <c r="V56" s="21"/>
      <c r="W56" s="21"/>
      <c r="X56" s="21"/>
      <c r="Y56" s="21"/>
      <c r="Z56" s="21"/>
      <c r="AA56" s="21"/>
      <c r="AB56" s="21"/>
      <c r="AC56" s="139"/>
      <c r="AD56" s="139"/>
      <c r="AE56" s="139"/>
      <c r="AF56" s="139"/>
      <c r="AG56" s="139"/>
      <c r="AH56" s="131"/>
    </row>
    <row r="57" ht="30.0" customHeight="1">
      <c r="B57" s="135" t="s">
        <v>59</v>
      </c>
      <c r="C57" s="10" t="s">
        <v>6</v>
      </c>
      <c r="D57" s="10" t="s">
        <v>6</v>
      </c>
      <c r="E57" s="21"/>
      <c r="F57" s="89"/>
      <c r="G57" s="21"/>
      <c r="H57" s="89"/>
      <c r="I57" s="10" t="s">
        <v>6</v>
      </c>
      <c r="J57" s="21"/>
      <c r="K57" s="10" t="s">
        <v>6</v>
      </c>
      <c r="L57" s="21"/>
      <c r="M57" s="21"/>
      <c r="N57" s="21"/>
      <c r="O57" s="21"/>
      <c r="P57" s="10" t="s">
        <v>6</v>
      </c>
      <c r="Q57" s="10" t="s">
        <v>6</v>
      </c>
      <c r="R57" s="21"/>
      <c r="S57" s="21"/>
      <c r="T57" s="21"/>
      <c r="U57" s="21"/>
      <c r="V57" s="21"/>
      <c r="W57" s="10" t="s">
        <v>6</v>
      </c>
      <c r="X57" s="10" t="s">
        <v>6</v>
      </c>
      <c r="Y57" s="10" t="s">
        <v>6</v>
      </c>
      <c r="Z57" s="21"/>
      <c r="AA57" s="21"/>
      <c r="AB57" s="21"/>
      <c r="AC57" s="21"/>
      <c r="AD57" s="10" t="s">
        <v>6</v>
      </c>
      <c r="AE57" s="21"/>
      <c r="AF57" s="10" t="s">
        <v>6</v>
      </c>
      <c r="AG57" s="128"/>
      <c r="AH57" s="134"/>
    </row>
    <row r="58" ht="30.0" customHeight="1">
      <c r="B58" s="143" t="s">
        <v>67</v>
      </c>
      <c r="C58" s="10" t="s">
        <v>6</v>
      </c>
      <c r="D58" s="10" t="s">
        <v>6</v>
      </c>
      <c r="E58" s="10" t="s">
        <v>6</v>
      </c>
      <c r="F58" s="89"/>
      <c r="G58" s="21"/>
      <c r="H58" s="89"/>
      <c r="I58" s="10" t="s">
        <v>6</v>
      </c>
      <c r="J58" s="21"/>
      <c r="K58" s="21"/>
      <c r="L58" s="21"/>
      <c r="M58" s="21"/>
      <c r="N58" s="21"/>
      <c r="O58" s="21"/>
      <c r="P58" s="21"/>
      <c r="Q58" s="21"/>
      <c r="R58" s="10" t="s">
        <v>6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139"/>
      <c r="AD58" s="10" t="s">
        <v>6</v>
      </c>
      <c r="AE58" s="139"/>
      <c r="AF58" s="10" t="s">
        <v>6</v>
      </c>
      <c r="AG58" s="139"/>
      <c r="AH58" s="131"/>
    </row>
    <row r="59" ht="30.0" customHeight="1">
      <c r="B59" s="143" t="s">
        <v>333</v>
      </c>
      <c r="C59" s="10" t="s">
        <v>6</v>
      </c>
      <c r="D59" s="21"/>
      <c r="E59" s="10" t="s">
        <v>6</v>
      </c>
      <c r="F59" s="89"/>
      <c r="G59" s="21"/>
      <c r="H59" s="89"/>
      <c r="I59" s="21"/>
      <c r="J59" s="21"/>
      <c r="K59" s="21"/>
      <c r="L59" s="10" t="s">
        <v>6</v>
      </c>
      <c r="M59" s="21"/>
      <c r="N59" s="21"/>
      <c r="O59" s="21"/>
      <c r="P59" s="21"/>
      <c r="Q59" s="10" t="s">
        <v>6</v>
      </c>
      <c r="R59" s="21"/>
      <c r="S59" s="10" t="s">
        <v>6</v>
      </c>
      <c r="T59" s="21"/>
      <c r="U59" s="21"/>
      <c r="V59" s="21"/>
      <c r="W59" s="21"/>
      <c r="X59" s="10" t="s">
        <v>6</v>
      </c>
      <c r="Y59" s="21"/>
      <c r="Z59" s="21"/>
      <c r="AA59" s="21"/>
      <c r="AB59" s="21"/>
      <c r="AC59" s="21"/>
      <c r="AD59" s="21"/>
      <c r="AE59" s="10" t="s">
        <v>6</v>
      </c>
      <c r="AF59" s="27"/>
      <c r="AG59" s="128"/>
      <c r="AH59" s="134"/>
    </row>
    <row r="60" ht="30.0" customHeight="1">
      <c r="B60" s="143" t="s">
        <v>354</v>
      </c>
      <c r="C60" s="10" t="s">
        <v>6</v>
      </c>
      <c r="D60" s="21"/>
      <c r="E60" s="21"/>
      <c r="F60" s="89"/>
      <c r="G60" s="21"/>
      <c r="H60" s="8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139"/>
      <c r="AD60" s="139"/>
      <c r="AE60" s="139"/>
      <c r="AF60" s="139"/>
      <c r="AG60" s="139"/>
      <c r="AH60" s="131"/>
    </row>
    <row r="61" ht="30.0" customHeight="1">
      <c r="B61" s="143" t="s">
        <v>375</v>
      </c>
      <c r="C61" s="21"/>
      <c r="D61" s="10" t="s">
        <v>6</v>
      </c>
      <c r="E61" s="21"/>
      <c r="F61" s="89"/>
      <c r="G61" s="21"/>
      <c r="H61" s="89"/>
      <c r="I61" s="21"/>
      <c r="J61" s="21"/>
      <c r="K61" s="10" t="s">
        <v>6</v>
      </c>
      <c r="L61" s="21"/>
      <c r="M61" s="21"/>
      <c r="N61" s="21"/>
      <c r="O61" s="21"/>
      <c r="P61" s="21"/>
      <c r="Q61" s="21"/>
      <c r="R61" s="10" t="s">
        <v>6</v>
      </c>
      <c r="S61" s="21"/>
      <c r="T61" s="21"/>
      <c r="U61" s="21"/>
      <c r="V61" s="21"/>
      <c r="W61" s="10" t="s">
        <v>6</v>
      </c>
      <c r="X61" s="21"/>
      <c r="Y61" s="10" t="s">
        <v>6</v>
      </c>
      <c r="Z61" s="21"/>
      <c r="AA61" s="21"/>
      <c r="AB61" s="21"/>
      <c r="AC61" s="21"/>
      <c r="AD61" s="10" t="s">
        <v>6</v>
      </c>
      <c r="AE61" s="21"/>
      <c r="AF61" s="10" t="s">
        <v>6</v>
      </c>
      <c r="AG61" s="128"/>
      <c r="AH61" s="134"/>
    </row>
    <row r="62" ht="30.0" customHeight="1">
      <c r="B62" s="143" t="s">
        <v>279</v>
      </c>
      <c r="C62" s="130"/>
      <c r="D62" s="10" t="s">
        <v>6</v>
      </c>
      <c r="E62" s="10" t="s">
        <v>6</v>
      </c>
      <c r="F62" s="89"/>
      <c r="G62" s="130"/>
      <c r="H62" s="89"/>
      <c r="I62" s="130"/>
      <c r="J62" s="130"/>
      <c r="K62" s="10" t="s">
        <v>6</v>
      </c>
      <c r="L62" s="130"/>
      <c r="M62" s="130"/>
      <c r="N62" s="130"/>
      <c r="O62" s="130"/>
      <c r="P62" s="130"/>
      <c r="Q62" s="130"/>
      <c r="R62" s="10" t="s">
        <v>6</v>
      </c>
      <c r="S62" s="130"/>
      <c r="T62" s="130"/>
      <c r="U62" s="130"/>
      <c r="V62" s="10" t="s">
        <v>6</v>
      </c>
      <c r="W62" s="130"/>
      <c r="X62" s="130"/>
      <c r="Y62" s="130"/>
      <c r="Z62" s="130"/>
      <c r="AA62" s="130"/>
      <c r="AB62" s="139"/>
      <c r="AC62" s="139"/>
      <c r="AD62" s="139"/>
      <c r="AE62" s="10" t="s">
        <v>6</v>
      </c>
      <c r="AF62" s="139"/>
      <c r="AG62" s="139"/>
      <c r="AH62" s="131"/>
    </row>
    <row r="63" ht="30.0" customHeight="1">
      <c r="A63" s="166"/>
      <c r="B63" s="167" t="s">
        <v>289</v>
      </c>
      <c r="C63" s="165"/>
      <c r="D63" s="10" t="s">
        <v>6</v>
      </c>
      <c r="E63" s="165"/>
      <c r="F63" s="89"/>
      <c r="G63" s="165"/>
      <c r="H63" s="89"/>
      <c r="I63" s="165"/>
      <c r="J63" s="165"/>
      <c r="K63" s="165"/>
      <c r="L63" s="165"/>
      <c r="M63" s="165"/>
      <c r="N63" s="165"/>
      <c r="O63" s="10" t="s">
        <v>6</v>
      </c>
      <c r="P63" s="165"/>
      <c r="Q63" s="165"/>
      <c r="R63" s="10" t="s">
        <v>6</v>
      </c>
      <c r="S63" s="165"/>
      <c r="T63" s="165"/>
      <c r="U63" s="165"/>
      <c r="V63" s="10" t="s">
        <v>6</v>
      </c>
      <c r="W63" s="165"/>
      <c r="X63" s="165"/>
      <c r="Y63" s="165"/>
      <c r="Z63" s="165"/>
      <c r="AA63" s="165"/>
      <c r="AB63" s="165"/>
      <c r="AC63" s="165"/>
      <c r="AD63" s="165"/>
      <c r="AE63" s="165"/>
      <c r="AF63" s="168"/>
      <c r="AG63" s="168"/>
      <c r="AH63" s="169"/>
    </row>
    <row r="64" ht="30.0" customHeight="1">
      <c r="B64" s="138" t="s">
        <v>395</v>
      </c>
      <c r="C64" s="130"/>
      <c r="D64" s="10" t="s">
        <v>6</v>
      </c>
      <c r="E64" s="130"/>
      <c r="F64" s="89"/>
      <c r="G64" s="130"/>
      <c r="H64" s="89"/>
      <c r="I64" s="10" t="s">
        <v>6</v>
      </c>
      <c r="J64" s="130"/>
      <c r="K64" s="130"/>
      <c r="L64" s="130"/>
      <c r="M64" s="10" t="s">
        <v>6</v>
      </c>
      <c r="N64" s="130"/>
      <c r="O64" s="130"/>
      <c r="P64" s="130"/>
      <c r="Q64" s="130"/>
      <c r="R64" s="10" t="s">
        <v>6</v>
      </c>
      <c r="S64" s="130"/>
      <c r="T64" s="10" t="s">
        <v>6</v>
      </c>
      <c r="U64" s="130"/>
      <c r="V64" s="130"/>
      <c r="W64" s="10" t="s">
        <v>6</v>
      </c>
      <c r="X64" s="130"/>
      <c r="Y64" s="10" t="s">
        <v>6</v>
      </c>
      <c r="Z64" s="130"/>
      <c r="AA64" s="130"/>
      <c r="AB64" s="139"/>
      <c r="AC64" s="139"/>
      <c r="AD64" s="10" t="s">
        <v>6</v>
      </c>
      <c r="AE64" s="139"/>
      <c r="AF64" s="10" t="s">
        <v>6</v>
      </c>
      <c r="AG64" s="139"/>
      <c r="AH64" s="139"/>
    </row>
    <row r="65" ht="30.0" customHeight="1">
      <c r="B65" s="135" t="s">
        <v>301</v>
      </c>
      <c r="C65" s="133"/>
      <c r="D65" s="133"/>
      <c r="E65" s="10" t="s">
        <v>6</v>
      </c>
      <c r="F65" s="89"/>
      <c r="G65" s="133"/>
      <c r="H65" s="89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0" t="s">
        <v>6</v>
      </c>
      <c r="U65" s="133"/>
      <c r="V65" s="133"/>
      <c r="W65" s="133"/>
      <c r="X65" s="133"/>
      <c r="Y65" s="133"/>
      <c r="Z65" s="133"/>
      <c r="AA65" s="10" t="s">
        <v>6</v>
      </c>
      <c r="AB65" s="133"/>
      <c r="AC65" s="133"/>
      <c r="AD65" s="133"/>
      <c r="AE65" s="133"/>
      <c r="AF65" s="128"/>
      <c r="AG65" s="128"/>
      <c r="AH65" s="128"/>
    </row>
    <row r="66" ht="30.0" customHeight="1">
      <c r="B66" s="138" t="s">
        <v>396</v>
      </c>
      <c r="C66" s="130"/>
      <c r="D66" s="130"/>
      <c r="E66" s="10" t="s">
        <v>6</v>
      </c>
      <c r="F66" s="89"/>
      <c r="G66" s="130"/>
      <c r="H66" s="89"/>
      <c r="I66" s="130"/>
      <c r="J66" s="130"/>
      <c r="K66" s="130"/>
      <c r="L66" s="10" t="s">
        <v>6</v>
      </c>
      <c r="M66" s="10" t="s">
        <v>6</v>
      </c>
      <c r="N66" s="130"/>
      <c r="O66" s="130"/>
      <c r="P66" s="130"/>
      <c r="Q66" s="130"/>
      <c r="R66" s="130"/>
      <c r="S66" s="10" t="s">
        <v>6</v>
      </c>
      <c r="T66" s="10" t="s">
        <v>6</v>
      </c>
      <c r="U66" s="130"/>
      <c r="V66" s="130"/>
      <c r="W66" s="130"/>
      <c r="X66" s="130"/>
      <c r="Y66" s="130"/>
      <c r="Z66" s="10" t="s">
        <v>6</v>
      </c>
      <c r="AA66" s="130"/>
      <c r="AB66" s="139"/>
      <c r="AC66" s="139"/>
      <c r="AD66" s="139"/>
      <c r="AE66" s="139"/>
      <c r="AF66" s="139"/>
      <c r="AG66" s="10" t="s">
        <v>6</v>
      </c>
      <c r="AH66" s="139"/>
    </row>
    <row r="67" ht="30.0" customHeight="1">
      <c r="B67" s="135" t="s">
        <v>208</v>
      </c>
      <c r="C67" s="133"/>
      <c r="D67" s="133"/>
      <c r="E67" s="133"/>
      <c r="F67" s="89"/>
      <c r="G67" s="133"/>
      <c r="H67" s="89"/>
      <c r="I67" s="133"/>
      <c r="J67" s="133"/>
      <c r="K67" s="133"/>
      <c r="L67" s="10" t="s">
        <v>6</v>
      </c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0" t="s">
        <v>6</v>
      </c>
      <c r="AE67" s="133"/>
      <c r="AF67" s="128"/>
      <c r="AG67" s="128"/>
      <c r="AH67" s="128"/>
    </row>
    <row r="68" ht="30.0" customHeight="1">
      <c r="B68" s="138" t="s">
        <v>397</v>
      </c>
      <c r="C68" s="130"/>
      <c r="D68" s="130"/>
      <c r="E68" s="130"/>
      <c r="F68" s="89"/>
      <c r="G68" s="130"/>
      <c r="H68" s="89"/>
      <c r="I68" s="130"/>
      <c r="J68" s="130"/>
      <c r="K68" s="130"/>
      <c r="L68" s="10" t="s">
        <v>6</v>
      </c>
      <c r="M68" s="130"/>
      <c r="N68" s="130"/>
      <c r="O68" s="10" t="s">
        <v>6</v>
      </c>
      <c r="P68" s="130"/>
      <c r="Q68" s="130"/>
      <c r="R68" s="130"/>
      <c r="S68" s="10" t="s">
        <v>6</v>
      </c>
      <c r="T68" s="130"/>
      <c r="U68" s="130"/>
      <c r="V68" s="130"/>
      <c r="W68" s="130"/>
      <c r="X68" s="130"/>
      <c r="Y68" s="130"/>
      <c r="Z68" s="130"/>
      <c r="AA68" s="130"/>
      <c r="AB68" s="139"/>
      <c r="AC68" s="10" t="s">
        <v>6</v>
      </c>
      <c r="AD68" s="139"/>
      <c r="AE68" s="139"/>
      <c r="AF68" s="139"/>
      <c r="AG68" s="10" t="s">
        <v>6</v>
      </c>
      <c r="AH68" s="139"/>
    </row>
    <row r="69" ht="30.0" customHeight="1">
      <c r="B69" s="135" t="s">
        <v>211</v>
      </c>
      <c r="C69" s="133"/>
      <c r="D69" s="133"/>
      <c r="E69" s="133"/>
      <c r="F69" s="89"/>
      <c r="G69" s="133"/>
      <c r="H69" s="89"/>
      <c r="I69" s="133"/>
      <c r="J69" s="133"/>
      <c r="K69" s="133"/>
      <c r="L69" s="133"/>
      <c r="M69" s="133"/>
      <c r="N69" s="133"/>
      <c r="O69" s="10" t="s">
        <v>6</v>
      </c>
      <c r="P69" s="133"/>
      <c r="Q69" s="133"/>
      <c r="R69" s="133"/>
      <c r="S69" s="133"/>
      <c r="T69" s="133"/>
      <c r="U69" s="133"/>
      <c r="V69" s="10" t="s">
        <v>6</v>
      </c>
      <c r="W69" s="133"/>
      <c r="X69" s="133"/>
      <c r="Y69" s="10" t="s">
        <v>6</v>
      </c>
      <c r="Z69" s="133"/>
      <c r="AA69" s="133"/>
      <c r="AB69" s="133"/>
      <c r="AC69" s="10" t="s">
        <v>6</v>
      </c>
      <c r="AD69" s="133"/>
      <c r="AE69" s="133"/>
      <c r="AF69" s="128"/>
      <c r="AG69" s="128"/>
      <c r="AH69" s="128"/>
    </row>
    <row r="70" ht="30.0" customHeight="1">
      <c r="B70" s="138" t="s">
        <v>398</v>
      </c>
      <c r="C70" s="139"/>
      <c r="D70" s="139"/>
      <c r="E70" s="139"/>
      <c r="F70" s="84"/>
      <c r="G70" s="139"/>
      <c r="H70" s="84"/>
      <c r="I70" s="139"/>
      <c r="J70" s="139"/>
      <c r="K70" s="139"/>
      <c r="L70" s="139"/>
      <c r="M70" s="10" t="s">
        <v>6</v>
      </c>
      <c r="N70" s="139"/>
      <c r="O70" s="139"/>
      <c r="P70" s="139"/>
      <c r="Q70" s="10" t="s">
        <v>6</v>
      </c>
      <c r="R70" s="139"/>
      <c r="S70" s="139"/>
      <c r="T70" s="10" t="s">
        <v>6</v>
      </c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0" t="s">
        <v>6</v>
      </c>
      <c r="AF70" s="139"/>
      <c r="AG70" s="139"/>
      <c r="AH70" s="139"/>
    </row>
    <row r="71" ht="30.0" customHeight="1">
      <c r="B71" s="135" t="s">
        <v>285</v>
      </c>
      <c r="C71" s="128"/>
      <c r="D71" s="128"/>
      <c r="E71" s="128"/>
      <c r="F71" s="84"/>
      <c r="G71" s="128"/>
      <c r="H71" s="84"/>
      <c r="I71" s="128"/>
      <c r="J71" s="128"/>
      <c r="K71" s="128"/>
      <c r="L71" s="128"/>
      <c r="M71" s="128"/>
      <c r="N71" s="128"/>
      <c r="O71" s="128"/>
      <c r="P71" s="10" t="s">
        <v>6</v>
      </c>
      <c r="Q71" s="128"/>
      <c r="R71" s="128"/>
      <c r="S71" s="10" t="s">
        <v>6</v>
      </c>
      <c r="T71" s="128"/>
      <c r="U71" s="128"/>
      <c r="V71" s="128"/>
      <c r="W71" s="10" t="s">
        <v>6</v>
      </c>
      <c r="X71" s="128"/>
      <c r="Y71" s="128"/>
      <c r="Z71" s="128"/>
      <c r="AA71" s="128"/>
      <c r="AB71" s="128"/>
      <c r="AC71" s="128"/>
      <c r="AD71" s="10" t="s">
        <v>6</v>
      </c>
      <c r="AE71" s="128"/>
      <c r="AF71" s="128"/>
      <c r="AG71" s="128"/>
      <c r="AH71" s="128"/>
    </row>
    <row r="72" ht="30.0" customHeight="1">
      <c r="B72" s="138" t="s">
        <v>399</v>
      </c>
      <c r="C72" s="139"/>
      <c r="D72" s="139"/>
      <c r="E72" s="139"/>
      <c r="F72" s="84"/>
      <c r="G72" s="139"/>
      <c r="H72" s="170"/>
      <c r="I72" s="139"/>
      <c r="J72" s="139"/>
      <c r="K72" s="139"/>
      <c r="L72" s="139"/>
      <c r="M72" s="139"/>
      <c r="N72" s="139"/>
      <c r="O72" s="139"/>
      <c r="P72" s="10" t="s">
        <v>6</v>
      </c>
      <c r="Q72" s="139"/>
      <c r="R72" s="139"/>
      <c r="S72" s="139"/>
      <c r="T72" s="139"/>
      <c r="U72" s="139"/>
      <c r="V72" s="139"/>
      <c r="W72" s="10" t="s">
        <v>6</v>
      </c>
      <c r="X72" s="139"/>
      <c r="Y72" s="139"/>
      <c r="Z72" s="139"/>
      <c r="AA72" s="139"/>
      <c r="AB72" s="139"/>
      <c r="AC72" s="139"/>
      <c r="AD72" s="10" t="s">
        <v>6</v>
      </c>
      <c r="AE72" s="139"/>
      <c r="AF72" s="139"/>
      <c r="AG72" s="10" t="s">
        <v>6</v>
      </c>
      <c r="AH72" s="139"/>
    </row>
    <row r="73" ht="30.0" customHeight="1">
      <c r="B73" s="135" t="s">
        <v>400</v>
      </c>
      <c r="C73" s="128"/>
      <c r="D73" s="128"/>
      <c r="E73" s="128"/>
      <c r="F73" s="84"/>
      <c r="G73" s="128"/>
      <c r="H73" s="170"/>
      <c r="I73" s="128"/>
      <c r="J73" s="128"/>
      <c r="K73" s="128"/>
      <c r="L73" s="128"/>
      <c r="M73" s="128"/>
      <c r="N73" s="128"/>
      <c r="O73" s="128"/>
      <c r="P73" s="128"/>
      <c r="Q73" s="128"/>
      <c r="R73" s="10" t="s">
        <v>6</v>
      </c>
      <c r="S73" s="128"/>
      <c r="T73" s="10" t="s">
        <v>6</v>
      </c>
      <c r="U73" s="128"/>
      <c r="V73" s="128"/>
      <c r="W73" s="128"/>
      <c r="X73" s="10" t="s">
        <v>6</v>
      </c>
      <c r="Y73" s="128"/>
      <c r="Z73" s="128"/>
      <c r="AA73" s="10" t="s">
        <v>6</v>
      </c>
      <c r="AB73" s="128"/>
      <c r="AC73" s="128"/>
      <c r="AD73" s="128"/>
      <c r="AE73" s="128"/>
      <c r="AF73" s="10" t="s">
        <v>6</v>
      </c>
      <c r="AG73" s="128"/>
      <c r="AH73" s="128"/>
    </row>
    <row r="74" ht="30.0" customHeight="1">
      <c r="B74" s="138" t="s">
        <v>401</v>
      </c>
      <c r="C74" s="139"/>
      <c r="D74" s="139"/>
      <c r="E74" s="139"/>
      <c r="F74" s="84"/>
      <c r="G74" s="139"/>
      <c r="H74" s="170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0" t="s">
        <v>6</v>
      </c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</row>
    <row r="75" ht="30.0" customHeight="1">
      <c r="B75" s="135" t="s">
        <v>227</v>
      </c>
      <c r="C75" s="128"/>
      <c r="D75" s="128"/>
      <c r="E75" s="128"/>
      <c r="F75" s="84"/>
      <c r="G75" s="128"/>
      <c r="H75" s="170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0" t="s">
        <v>6</v>
      </c>
      <c r="U75" s="128"/>
      <c r="V75" s="128"/>
      <c r="W75" s="128"/>
      <c r="X75" s="128"/>
      <c r="Y75" s="128"/>
      <c r="Z75" s="128"/>
      <c r="AA75" s="10" t="s">
        <v>6</v>
      </c>
      <c r="AB75" s="128"/>
      <c r="AC75" s="128"/>
      <c r="AD75" s="128"/>
      <c r="AE75" s="128"/>
      <c r="AF75" s="128"/>
      <c r="AG75" s="128"/>
      <c r="AH75" s="128"/>
    </row>
    <row r="76" ht="30.0" customHeight="1">
      <c r="B76" s="140"/>
      <c r="C76" s="139"/>
      <c r="D76" s="139"/>
      <c r="E76" s="139"/>
      <c r="F76" s="84"/>
      <c r="G76" s="139"/>
      <c r="H76" s="84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</row>
    <row r="77" ht="30.0" customHeight="1">
      <c r="B77" s="127"/>
      <c r="C77" s="128"/>
      <c r="D77" s="128"/>
      <c r="E77" s="128"/>
      <c r="F77" s="84"/>
      <c r="G77" s="128"/>
      <c r="H77" s="84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</row>
    <row r="78" ht="30.0" customHeight="1">
      <c r="B78" s="140" t="str">
        <f>Octubre!MonthName&amp;" Total"</f>
        <v>Octubre Total</v>
      </c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</row>
    <row r="79" ht="30.0" customHeight="1"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4"/>
    </row>
    <row r="80" ht="30.0" customHeight="1">
      <c r="B80" s="38" t="s">
        <v>386</v>
      </c>
      <c r="C80" s="80" t="s">
        <v>356</v>
      </c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80"/>
      <c r="AH80" s="32">
        <f>CalendarioAño</f>
        <v>2025</v>
      </c>
    </row>
    <row r="81" ht="30.0" customHeight="1">
      <c r="B81" s="32"/>
      <c r="C81" s="133" t="str">
        <f>TEXT(WEEKDAY(DATE(CalendarioAño,8,6),1),"ddd")</f>
        <v>mié</v>
      </c>
      <c r="D81" s="133" t="str">
        <f>TEXT(WEEKDAY(DATE(CalendarioAño,8,7),1),"ddd")</f>
        <v>jue</v>
      </c>
      <c r="E81" s="162" t="s">
        <v>366</v>
      </c>
      <c r="F81" s="133" t="str">
        <f>TEXT(WEEKDAY(DATE(CalendarioAño,8,9),1),"ddd")</f>
        <v>sáb</v>
      </c>
      <c r="G81" s="162" t="s">
        <v>367</v>
      </c>
      <c r="H81" s="162" t="s">
        <v>364</v>
      </c>
      <c r="I81" s="162" t="s">
        <v>365</v>
      </c>
      <c r="J81" s="133" t="str">
        <f>TEXT(WEEKDAY(DATE(CalendarioAño,8,6),1),"ddd")</f>
        <v>mié</v>
      </c>
      <c r="K81" s="133" t="str">
        <f>TEXT(WEEKDAY(DATE(CalendarioAño,8,7),1),"ddd")</f>
        <v>jue</v>
      </c>
      <c r="L81" s="162" t="s">
        <v>366</v>
      </c>
      <c r="M81" s="133" t="str">
        <f>TEXT(WEEKDAY(DATE(CalendarioAño,8,9),1),"ddd")</f>
        <v>sáb</v>
      </c>
      <c r="N81" s="162" t="s">
        <v>367</v>
      </c>
      <c r="O81" s="162" t="s">
        <v>364</v>
      </c>
      <c r="P81" s="162" t="s">
        <v>365</v>
      </c>
      <c r="Q81" s="133" t="str">
        <f>TEXT(WEEKDAY(DATE(CalendarioAño,8,6),1),"ddd")</f>
        <v>mié</v>
      </c>
      <c r="R81" s="133" t="str">
        <f>TEXT(WEEKDAY(DATE(CalendarioAño,8,7),1),"ddd")</f>
        <v>jue</v>
      </c>
      <c r="S81" s="162" t="s">
        <v>366</v>
      </c>
      <c r="T81" s="133" t="str">
        <f>TEXT(WEEKDAY(DATE(CalendarioAño,8,9),1),"ddd")</f>
        <v>sáb</v>
      </c>
      <c r="U81" s="162" t="s">
        <v>367</v>
      </c>
      <c r="V81" s="162" t="s">
        <v>364</v>
      </c>
      <c r="W81" s="162" t="s">
        <v>365</v>
      </c>
      <c r="X81" s="133" t="str">
        <f>TEXT(WEEKDAY(DATE(CalendarioAño,8,6),1),"ddd")</f>
        <v>mié</v>
      </c>
      <c r="Y81" s="133" t="str">
        <f>TEXT(WEEKDAY(DATE(CalendarioAño,8,7),1),"ddd")</f>
        <v>jue</v>
      </c>
      <c r="Z81" s="162" t="s">
        <v>366</v>
      </c>
      <c r="AA81" s="133" t="str">
        <f>TEXT(WEEKDAY(DATE(CalendarioAño,8,9),1),"ddd")</f>
        <v>sáb</v>
      </c>
      <c r="AB81" s="162" t="s">
        <v>367</v>
      </c>
      <c r="AC81" s="162" t="s">
        <v>364</v>
      </c>
      <c r="AD81" s="162" t="s">
        <v>365</v>
      </c>
      <c r="AE81" s="133" t="str">
        <f>TEXT(WEEKDAY(DATE(CalendarioAño,8,6),1),"ddd")</f>
        <v>mié</v>
      </c>
      <c r="AF81" s="133" t="str">
        <f>TEXT(WEEKDAY(DATE(CalendarioAño,8,7),1),"ddd")</f>
        <v>jue</v>
      </c>
      <c r="AG81" s="162" t="s">
        <v>366</v>
      </c>
      <c r="AH81" s="32"/>
    </row>
    <row r="82" ht="30.0" customHeight="1">
      <c r="A82" s="115"/>
      <c r="B82" s="116" t="s">
        <v>202</v>
      </c>
      <c r="C82" s="117" t="s">
        <v>15</v>
      </c>
      <c r="D82" s="117" t="s">
        <v>16</v>
      </c>
      <c r="E82" s="117" t="s">
        <v>17</v>
      </c>
      <c r="F82" s="117" t="s">
        <v>18</v>
      </c>
      <c r="G82" s="117" t="s">
        <v>19</v>
      </c>
      <c r="H82" s="117" t="s">
        <v>20</v>
      </c>
      <c r="I82" s="117" t="s">
        <v>21</v>
      </c>
      <c r="J82" s="117" t="s">
        <v>22</v>
      </c>
      <c r="K82" s="117" t="s">
        <v>23</v>
      </c>
      <c r="L82" s="117" t="s">
        <v>24</v>
      </c>
      <c r="M82" s="117" t="s">
        <v>25</v>
      </c>
      <c r="N82" s="117" t="s">
        <v>26</v>
      </c>
      <c r="O82" s="117" t="s">
        <v>27</v>
      </c>
      <c r="P82" s="117" t="s">
        <v>28</v>
      </c>
      <c r="Q82" s="117" t="s">
        <v>29</v>
      </c>
      <c r="R82" s="117" t="s">
        <v>30</v>
      </c>
      <c r="S82" s="117" t="s">
        <v>31</v>
      </c>
      <c r="T82" s="117" t="s">
        <v>32</v>
      </c>
      <c r="U82" s="117" t="s">
        <v>33</v>
      </c>
      <c r="V82" s="117" t="s">
        <v>34</v>
      </c>
      <c r="W82" s="117" t="s">
        <v>35</v>
      </c>
      <c r="X82" s="117" t="s">
        <v>36</v>
      </c>
      <c r="Y82" s="117" t="s">
        <v>37</v>
      </c>
      <c r="Z82" s="117" t="s">
        <v>38</v>
      </c>
      <c r="AA82" s="117" t="s">
        <v>39</v>
      </c>
      <c r="AB82" s="117" t="s">
        <v>40</v>
      </c>
      <c r="AC82" s="117" t="s">
        <v>41</v>
      </c>
      <c r="AD82" s="117" t="s">
        <v>42</v>
      </c>
      <c r="AE82" s="117" t="s">
        <v>43</v>
      </c>
      <c r="AF82" s="117" t="s">
        <v>44</v>
      </c>
      <c r="AG82" s="164">
        <v>31.0</v>
      </c>
      <c r="AH82" s="117" t="s">
        <v>46</v>
      </c>
    </row>
    <row r="83" ht="30.0" customHeight="1">
      <c r="B83" s="132" t="s">
        <v>105</v>
      </c>
      <c r="C83" s="10" t="s">
        <v>6</v>
      </c>
      <c r="D83" s="133"/>
      <c r="E83" s="10" t="s">
        <v>6</v>
      </c>
      <c r="F83" s="89"/>
      <c r="G83" s="133"/>
      <c r="H83" s="89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0" t="s">
        <v>6</v>
      </c>
      <c r="T83" s="133"/>
      <c r="U83" s="133"/>
      <c r="V83" s="10" t="s">
        <v>6</v>
      </c>
      <c r="W83" s="133"/>
      <c r="X83" s="10" t="s">
        <v>6</v>
      </c>
      <c r="Y83" s="133"/>
      <c r="Z83" s="10" t="s">
        <v>6</v>
      </c>
      <c r="AA83" s="133"/>
      <c r="AB83" s="133"/>
      <c r="AC83" s="10" t="s">
        <v>6</v>
      </c>
      <c r="AD83" s="133"/>
      <c r="AE83" s="133"/>
      <c r="AF83" s="10" t="s">
        <v>6</v>
      </c>
      <c r="AG83" s="128"/>
      <c r="AH83" s="134"/>
    </row>
    <row r="84" ht="30.0" customHeight="1">
      <c r="B84" s="129" t="s">
        <v>297</v>
      </c>
      <c r="C84" s="10" t="s">
        <v>6</v>
      </c>
      <c r="D84" s="130"/>
      <c r="E84" s="130"/>
      <c r="F84" s="89"/>
      <c r="G84" s="130"/>
      <c r="H84" s="89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0" t="s">
        <v>6</v>
      </c>
      <c r="W84" s="130"/>
      <c r="X84" s="10" t="s">
        <v>6</v>
      </c>
      <c r="Y84" s="130"/>
      <c r="Z84" s="130"/>
      <c r="AA84" s="130"/>
      <c r="AB84" s="139"/>
      <c r="AC84" s="139"/>
      <c r="AD84" s="139"/>
      <c r="AE84" s="10" t="s">
        <v>6</v>
      </c>
      <c r="AF84" s="10" t="s">
        <v>6</v>
      </c>
      <c r="AG84" s="139"/>
      <c r="AH84" s="131"/>
    </row>
    <row r="85" ht="30.0" customHeight="1">
      <c r="B85" s="132" t="s">
        <v>294</v>
      </c>
      <c r="C85" s="133"/>
      <c r="D85" s="133"/>
      <c r="E85" s="133"/>
      <c r="F85" s="89"/>
      <c r="G85" s="133"/>
      <c r="H85" s="89"/>
      <c r="I85" s="10" t="s">
        <v>6</v>
      </c>
      <c r="J85" s="133"/>
      <c r="K85" s="133"/>
      <c r="L85" s="10" t="s">
        <v>6</v>
      </c>
      <c r="M85" s="133"/>
      <c r="N85" s="133"/>
      <c r="O85" s="10" t="s">
        <v>6</v>
      </c>
      <c r="P85" s="133"/>
      <c r="Q85" s="133"/>
      <c r="R85" s="133"/>
      <c r="S85" s="10" t="s">
        <v>6</v>
      </c>
      <c r="T85" s="133"/>
      <c r="U85" s="133"/>
      <c r="V85" s="10" t="s">
        <v>6</v>
      </c>
      <c r="W85" s="133"/>
      <c r="X85" s="133"/>
      <c r="Y85" s="133"/>
      <c r="Z85" s="133"/>
      <c r="AA85" s="133"/>
      <c r="AB85" s="133"/>
      <c r="AC85" s="133"/>
      <c r="AD85" s="133"/>
      <c r="AE85" s="10" t="s">
        <v>6</v>
      </c>
      <c r="AF85" s="128"/>
      <c r="AG85" s="10" t="s">
        <v>6</v>
      </c>
      <c r="AH85" s="134"/>
    </row>
    <row r="86" ht="30.0" customHeight="1">
      <c r="B86" s="138" t="s">
        <v>380</v>
      </c>
      <c r="C86" s="130"/>
      <c r="D86" s="10" t="s">
        <v>6</v>
      </c>
      <c r="E86" s="10" t="s">
        <v>6</v>
      </c>
      <c r="F86" s="89"/>
      <c r="G86" s="130"/>
      <c r="H86" s="89"/>
      <c r="I86" s="130"/>
      <c r="J86" s="130"/>
      <c r="K86" s="10" t="s">
        <v>6</v>
      </c>
      <c r="L86" s="10" t="s">
        <v>6</v>
      </c>
      <c r="M86" s="130"/>
      <c r="N86" s="130"/>
      <c r="O86" s="130"/>
      <c r="P86" s="130"/>
      <c r="Q86" s="130"/>
      <c r="R86" s="10" t="s">
        <v>6</v>
      </c>
      <c r="S86" s="10" t="s">
        <v>6</v>
      </c>
      <c r="T86" s="130"/>
      <c r="U86" s="130"/>
      <c r="V86" s="130"/>
      <c r="W86" s="130"/>
      <c r="X86" s="130"/>
      <c r="Y86" s="10" t="s">
        <v>6</v>
      </c>
      <c r="Z86" s="130"/>
      <c r="AA86" s="10" t="s">
        <v>6</v>
      </c>
      <c r="AB86" s="139"/>
      <c r="AC86" s="139"/>
      <c r="AD86" s="139"/>
      <c r="AE86" s="139"/>
      <c r="AF86" s="10" t="s">
        <v>6</v>
      </c>
      <c r="AG86" s="139"/>
      <c r="AH86" s="131"/>
    </row>
    <row r="87" ht="30.0" customHeight="1">
      <c r="B87" s="135" t="s">
        <v>282</v>
      </c>
      <c r="C87" s="133"/>
      <c r="D87" s="133"/>
      <c r="E87" s="133"/>
      <c r="F87" s="89"/>
      <c r="G87" s="133"/>
      <c r="H87" s="89"/>
      <c r="I87" s="133"/>
      <c r="J87" s="133"/>
      <c r="K87" s="10" t="s">
        <v>6</v>
      </c>
      <c r="L87" s="133"/>
      <c r="M87" s="133"/>
      <c r="N87" s="133"/>
      <c r="O87" s="133"/>
      <c r="P87" s="133"/>
      <c r="Q87" s="10" t="s">
        <v>6</v>
      </c>
      <c r="R87" s="133"/>
      <c r="S87" s="10" t="s">
        <v>6</v>
      </c>
      <c r="T87" s="133"/>
      <c r="U87" s="133"/>
      <c r="V87" s="133"/>
      <c r="W87" s="133"/>
      <c r="X87" s="133"/>
      <c r="Y87" s="133"/>
      <c r="Z87" s="133"/>
      <c r="AA87" s="133"/>
      <c r="AB87" s="133"/>
      <c r="AC87" s="10" t="s">
        <v>6</v>
      </c>
      <c r="AD87" s="133"/>
      <c r="AE87" s="133"/>
      <c r="AF87" s="128"/>
      <c r="AG87" s="128"/>
      <c r="AH87" s="134"/>
    </row>
    <row r="88" ht="30.0" customHeight="1">
      <c r="B88" s="138" t="s">
        <v>82</v>
      </c>
      <c r="C88" s="130"/>
      <c r="D88" s="10" t="s">
        <v>6</v>
      </c>
      <c r="E88" s="130"/>
      <c r="F88" s="89"/>
      <c r="G88" s="130"/>
      <c r="H88" s="89"/>
      <c r="I88" s="130"/>
      <c r="J88" s="130"/>
      <c r="K88" s="10" t="s">
        <v>6</v>
      </c>
      <c r="L88" s="130"/>
      <c r="M88" s="130"/>
      <c r="N88" s="130"/>
      <c r="O88" s="10" t="s">
        <v>6</v>
      </c>
      <c r="P88" s="10" t="s">
        <v>6</v>
      </c>
      <c r="Q88" s="130"/>
      <c r="R88" s="10" t="s">
        <v>6</v>
      </c>
      <c r="S88" s="130"/>
      <c r="T88" s="130"/>
      <c r="U88" s="130"/>
      <c r="V88" s="130"/>
      <c r="W88" s="10" t="s">
        <v>6</v>
      </c>
      <c r="X88" s="10" t="s">
        <v>6</v>
      </c>
      <c r="Y88" s="130"/>
      <c r="Z88" s="130"/>
      <c r="AA88" s="130"/>
      <c r="AB88" s="139"/>
      <c r="AC88" s="139"/>
      <c r="AD88" s="10" t="s">
        <v>6</v>
      </c>
      <c r="AE88" s="139"/>
      <c r="AF88" s="10" t="s">
        <v>6</v>
      </c>
      <c r="AG88" s="139"/>
      <c r="AH88" s="131"/>
    </row>
    <row r="89" ht="30.0" customHeight="1">
      <c r="B89" s="135" t="s">
        <v>115</v>
      </c>
      <c r="C89" s="133"/>
      <c r="D89" s="133"/>
      <c r="E89" s="133"/>
      <c r="F89" s="89"/>
      <c r="G89" s="133"/>
      <c r="H89" s="89"/>
      <c r="I89" s="133"/>
      <c r="J89" s="133"/>
      <c r="K89" s="133"/>
      <c r="L89" s="10" t="s">
        <v>6</v>
      </c>
      <c r="M89" s="10" t="s">
        <v>6</v>
      </c>
      <c r="N89" s="133"/>
      <c r="O89" s="133"/>
      <c r="P89" s="133"/>
      <c r="Q89" s="133"/>
      <c r="R89" s="133"/>
      <c r="S89" s="10" t="s">
        <v>6</v>
      </c>
      <c r="T89" s="10" t="s">
        <v>6</v>
      </c>
      <c r="U89" s="133"/>
      <c r="V89" s="133"/>
      <c r="W89" s="133"/>
      <c r="X89" s="133"/>
      <c r="Y89" s="133"/>
      <c r="Z89" s="10" t="s">
        <v>6</v>
      </c>
      <c r="AA89" s="10" t="s">
        <v>6</v>
      </c>
      <c r="AB89" s="133"/>
      <c r="AC89" s="133"/>
      <c r="AD89" s="133"/>
      <c r="AE89" s="133"/>
      <c r="AF89" s="128"/>
      <c r="AG89" s="10" t="s">
        <v>6</v>
      </c>
      <c r="AH89" s="134"/>
    </row>
    <row r="90" ht="30.0" customHeight="1">
      <c r="B90" s="138" t="s">
        <v>357</v>
      </c>
      <c r="C90" s="130"/>
      <c r="D90" s="130"/>
      <c r="E90" s="130"/>
      <c r="F90" s="89"/>
      <c r="G90" s="130"/>
      <c r="H90" s="89"/>
      <c r="I90" s="130"/>
      <c r="J90" s="130"/>
      <c r="K90" s="130"/>
      <c r="L90" s="130"/>
      <c r="M90" s="130"/>
      <c r="N90" s="130"/>
      <c r="O90" s="10" t="s">
        <v>6</v>
      </c>
      <c r="P90" s="130"/>
      <c r="Q90" s="10" t="s">
        <v>6</v>
      </c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9"/>
      <c r="AC90" s="139"/>
      <c r="AD90" s="139"/>
      <c r="AE90" s="139"/>
      <c r="AF90" s="139"/>
      <c r="AG90" s="139"/>
      <c r="AH90" s="131"/>
    </row>
    <row r="91" ht="30.0" customHeight="1">
      <c r="B91" s="132" t="s">
        <v>302</v>
      </c>
      <c r="C91" s="133"/>
      <c r="D91" s="133"/>
      <c r="E91" s="133"/>
      <c r="F91" s="89"/>
      <c r="G91" s="133"/>
      <c r="H91" s="89"/>
      <c r="I91" s="133"/>
      <c r="J91" s="133"/>
      <c r="K91" s="133"/>
      <c r="L91" s="133"/>
      <c r="M91" s="10" t="s">
        <v>6</v>
      </c>
      <c r="N91" s="133"/>
      <c r="O91" s="133"/>
      <c r="P91" s="133"/>
      <c r="Q91" s="133"/>
      <c r="R91" s="133"/>
      <c r="S91" s="133"/>
      <c r="T91" s="10" t="s">
        <v>6</v>
      </c>
      <c r="U91" s="133"/>
      <c r="V91" s="133"/>
      <c r="W91" s="133"/>
      <c r="X91" s="133"/>
      <c r="Y91" s="133"/>
      <c r="Z91" s="133"/>
      <c r="AA91" s="10" t="s">
        <v>6</v>
      </c>
      <c r="AB91" s="133"/>
      <c r="AC91" s="133"/>
      <c r="AD91" s="133"/>
      <c r="AE91" s="133"/>
      <c r="AF91" s="128"/>
      <c r="AG91" s="128"/>
      <c r="AH91" s="134"/>
    </row>
    <row r="92" ht="30.0" customHeight="1">
      <c r="B92" s="138" t="s">
        <v>308</v>
      </c>
      <c r="C92" s="130"/>
      <c r="D92" s="130"/>
      <c r="E92" s="130"/>
      <c r="F92" s="89"/>
      <c r="G92" s="130"/>
      <c r="H92" s="89"/>
      <c r="I92" s="130"/>
      <c r="J92" s="130"/>
      <c r="K92" s="130"/>
      <c r="L92" s="130"/>
      <c r="M92" s="10" t="s">
        <v>6</v>
      </c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0" t="s">
        <v>6</v>
      </c>
      <c r="Y92" s="130"/>
      <c r="Z92" s="130"/>
      <c r="AA92" s="130"/>
      <c r="AB92" s="139"/>
      <c r="AC92" s="139"/>
      <c r="AD92" s="139"/>
      <c r="AE92" s="10" t="s">
        <v>6</v>
      </c>
      <c r="AF92" s="139"/>
      <c r="AG92" s="139"/>
      <c r="AH92" s="139"/>
    </row>
    <row r="93" ht="30.0" customHeight="1">
      <c r="B93" s="132" t="s">
        <v>121</v>
      </c>
      <c r="C93" s="133"/>
      <c r="D93" s="133"/>
      <c r="E93" s="133"/>
      <c r="F93" s="89"/>
      <c r="G93" s="133"/>
      <c r="H93" s="89"/>
      <c r="I93" s="133"/>
      <c r="J93" s="133"/>
      <c r="K93" s="133"/>
      <c r="L93" s="133"/>
      <c r="M93" s="10" t="s">
        <v>6</v>
      </c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0" t="s">
        <v>6</v>
      </c>
      <c r="Y93" s="133"/>
      <c r="Z93" s="133"/>
      <c r="AA93" s="133"/>
      <c r="AB93" s="133"/>
      <c r="AC93" s="133"/>
      <c r="AD93" s="133"/>
      <c r="AE93" s="10" t="s">
        <v>6</v>
      </c>
      <c r="AF93" s="128"/>
      <c r="AG93" s="128"/>
      <c r="AH93" s="128"/>
    </row>
    <row r="94" ht="30.0" customHeight="1">
      <c r="B94" s="129" t="s">
        <v>376</v>
      </c>
      <c r="C94" s="130"/>
      <c r="D94" s="130"/>
      <c r="E94" s="130"/>
      <c r="F94" s="89"/>
      <c r="G94" s="130"/>
      <c r="H94" s="89"/>
      <c r="I94" s="130"/>
      <c r="J94" s="130"/>
      <c r="K94" s="130"/>
      <c r="L94" s="130"/>
      <c r="M94" s="10" t="s">
        <v>6</v>
      </c>
      <c r="N94" s="130"/>
      <c r="O94" s="130"/>
      <c r="P94" s="130"/>
      <c r="Q94" s="130"/>
      <c r="R94" s="130"/>
      <c r="S94" s="130"/>
      <c r="T94" s="10" t="s">
        <v>6</v>
      </c>
      <c r="U94" s="130"/>
      <c r="V94" s="130"/>
      <c r="W94" s="130"/>
      <c r="X94" s="130"/>
      <c r="Y94" s="130"/>
      <c r="Z94" s="130"/>
      <c r="AA94" s="130"/>
      <c r="AB94" s="139"/>
      <c r="AC94" s="139"/>
      <c r="AD94" s="139"/>
      <c r="AE94" s="139"/>
      <c r="AF94" s="10" t="s">
        <v>6</v>
      </c>
      <c r="AG94" s="139"/>
      <c r="AH94" s="139"/>
    </row>
    <row r="95" ht="30.0" customHeight="1">
      <c r="B95" s="132" t="s">
        <v>379</v>
      </c>
      <c r="C95" s="133"/>
      <c r="D95" s="133"/>
      <c r="E95" s="133"/>
      <c r="F95" s="89"/>
      <c r="G95" s="133"/>
      <c r="H95" s="89"/>
      <c r="I95" s="133"/>
      <c r="J95" s="133"/>
      <c r="K95" s="133"/>
      <c r="L95" s="133"/>
      <c r="M95" s="88" t="s">
        <v>6</v>
      </c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0" t="s">
        <v>6</v>
      </c>
      <c r="AF95" s="133"/>
      <c r="AG95" s="133"/>
      <c r="AH95" s="128"/>
    </row>
    <row r="96" ht="30.0" customHeight="1">
      <c r="B96" s="129" t="s">
        <v>402</v>
      </c>
      <c r="C96" s="130"/>
      <c r="D96" s="130"/>
      <c r="E96" s="130"/>
      <c r="F96" s="89"/>
      <c r="G96" s="130"/>
      <c r="H96" s="89"/>
      <c r="I96" s="130"/>
      <c r="J96" s="130"/>
      <c r="K96" s="130"/>
      <c r="L96" s="130"/>
      <c r="M96" s="130"/>
      <c r="N96" s="130"/>
      <c r="O96" s="130"/>
      <c r="P96" s="10" t="s">
        <v>6</v>
      </c>
      <c r="Q96" s="130"/>
      <c r="R96" s="10" t="s">
        <v>6</v>
      </c>
      <c r="S96" s="130"/>
      <c r="T96" s="130"/>
      <c r="U96" s="130"/>
      <c r="V96" s="130"/>
      <c r="W96" s="10" t="s">
        <v>6</v>
      </c>
      <c r="X96" s="130"/>
      <c r="Y96" s="10" t="s">
        <v>6</v>
      </c>
      <c r="Z96" s="130"/>
      <c r="AA96" s="130"/>
      <c r="AB96" s="130"/>
      <c r="AC96" s="130"/>
      <c r="AD96" s="130"/>
      <c r="AE96" s="130"/>
      <c r="AF96" s="10" t="s">
        <v>6</v>
      </c>
      <c r="AG96" s="130"/>
      <c r="AH96" s="139"/>
    </row>
    <row r="97" ht="30.0" customHeight="1">
      <c r="B97" s="132" t="s">
        <v>378</v>
      </c>
      <c r="C97" s="133"/>
      <c r="D97" s="133"/>
      <c r="E97" s="133"/>
      <c r="F97" s="89"/>
      <c r="G97" s="133"/>
      <c r="H97" s="89"/>
      <c r="I97" s="133"/>
      <c r="J97" s="133"/>
      <c r="K97" s="133"/>
      <c r="L97" s="133"/>
      <c r="M97" s="133"/>
      <c r="N97" s="133"/>
      <c r="O97" s="133"/>
      <c r="P97" s="133"/>
      <c r="Q97" s="133"/>
      <c r="R97" s="10" t="s">
        <v>6</v>
      </c>
      <c r="S97" s="133"/>
      <c r="T97" s="10" t="s">
        <v>6</v>
      </c>
      <c r="U97" s="133"/>
      <c r="V97" s="133"/>
      <c r="W97" s="133"/>
      <c r="X97" s="133"/>
      <c r="Y97" s="10" t="s">
        <v>6</v>
      </c>
      <c r="Z97" s="133"/>
      <c r="AA97" s="133"/>
      <c r="AB97" s="133"/>
      <c r="AC97" s="133"/>
      <c r="AD97" s="133"/>
      <c r="AE97" s="133"/>
      <c r="AF97" s="133"/>
      <c r="AG97" s="133"/>
      <c r="AH97" s="128"/>
    </row>
    <row r="98" ht="30.0" customHeight="1">
      <c r="B98" s="129" t="s">
        <v>377</v>
      </c>
      <c r="C98" s="130"/>
      <c r="D98" s="130"/>
      <c r="E98" s="130"/>
      <c r="F98" s="89"/>
      <c r="G98" s="130"/>
      <c r="H98" s="89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0" t="s">
        <v>6</v>
      </c>
      <c r="U98" s="130"/>
      <c r="V98" s="130"/>
      <c r="W98" s="130"/>
      <c r="X98" s="130"/>
      <c r="Y98" s="130"/>
      <c r="Z98" s="130"/>
      <c r="AA98" s="10" t="s">
        <v>6</v>
      </c>
      <c r="AB98" s="130"/>
      <c r="AC98" s="130"/>
      <c r="AD98" s="130"/>
      <c r="AE98" s="130"/>
      <c r="AF98" s="130"/>
      <c r="AG98" s="130"/>
      <c r="AH98" s="139"/>
    </row>
    <row r="99" ht="30.0" customHeight="1">
      <c r="B99" s="132" t="s">
        <v>403</v>
      </c>
      <c r="C99" s="133"/>
      <c r="D99" s="133"/>
      <c r="E99" s="133"/>
      <c r="F99" s="89"/>
      <c r="G99" s="133"/>
      <c r="H99" s="89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0" t="s">
        <v>6</v>
      </c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28"/>
    </row>
    <row r="100" ht="30.0" customHeight="1">
      <c r="B100" s="129"/>
      <c r="C100" s="130"/>
      <c r="D100" s="130"/>
      <c r="E100" s="130"/>
      <c r="F100" s="89"/>
      <c r="G100" s="130"/>
      <c r="H100" s="89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9"/>
    </row>
    <row r="101" ht="30.0" customHeight="1">
      <c r="B101" s="132"/>
      <c r="C101" s="133"/>
      <c r="D101" s="133"/>
      <c r="E101" s="133"/>
      <c r="F101" s="89"/>
      <c r="G101" s="133"/>
      <c r="H101" s="89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28"/>
    </row>
    <row r="102" ht="30.0" customHeight="1">
      <c r="B102" s="140"/>
      <c r="C102" s="139"/>
      <c r="D102" s="139"/>
      <c r="E102" s="139"/>
      <c r="F102" s="84"/>
      <c r="G102" s="139"/>
      <c r="H102" s="84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</row>
    <row r="103" ht="30.0" customHeight="1">
      <c r="B103" s="127" t="str">
        <f>Octubre!MonthName&amp;" Total"</f>
        <v>Octubre Total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</row>
    <row r="104" ht="30.0" customHeight="1"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31"/>
    </row>
    <row r="105" ht="30.0" customHeight="1">
      <c r="B105" s="38" t="s">
        <v>386</v>
      </c>
      <c r="C105" s="80" t="s">
        <v>338</v>
      </c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5"/>
      <c r="AH105" s="134"/>
    </row>
    <row r="106" ht="30.0" customHeight="1">
      <c r="B106" s="32"/>
      <c r="C106" s="130" t="str">
        <f>TEXT(WEEKDAY(DATE(CalendarioAño,8,6),1),"ddd")</f>
        <v>mié</v>
      </c>
      <c r="D106" s="130" t="str">
        <f>TEXT(WEEKDAY(DATE(CalendarioAño,8,7),1),"ddd")</f>
        <v>jue</v>
      </c>
      <c r="E106" s="161" t="s">
        <v>366</v>
      </c>
      <c r="F106" s="130" t="str">
        <f>TEXT(WEEKDAY(DATE(CalendarioAño,8,9),1),"ddd")</f>
        <v>sáb</v>
      </c>
      <c r="G106" s="161" t="s">
        <v>367</v>
      </c>
      <c r="H106" s="161" t="s">
        <v>364</v>
      </c>
      <c r="I106" s="161" t="s">
        <v>365</v>
      </c>
      <c r="J106" s="130" t="str">
        <f>TEXT(WEEKDAY(DATE(CalendarioAño,8,6),1),"ddd")</f>
        <v>mié</v>
      </c>
      <c r="K106" s="130" t="str">
        <f>TEXT(WEEKDAY(DATE(CalendarioAño,8,7),1),"ddd")</f>
        <v>jue</v>
      </c>
      <c r="L106" s="161" t="s">
        <v>366</v>
      </c>
      <c r="M106" s="130" t="str">
        <f>TEXT(WEEKDAY(DATE(CalendarioAño,8,9),1),"ddd")</f>
        <v>sáb</v>
      </c>
      <c r="N106" s="161" t="s">
        <v>367</v>
      </c>
      <c r="O106" s="161" t="s">
        <v>364</v>
      </c>
      <c r="P106" s="161" t="s">
        <v>365</v>
      </c>
      <c r="Q106" s="130" t="str">
        <f>TEXT(WEEKDAY(DATE(CalendarioAño,8,6),1),"ddd")</f>
        <v>mié</v>
      </c>
      <c r="R106" s="130" t="str">
        <f>TEXT(WEEKDAY(DATE(CalendarioAño,8,7),1),"ddd")</f>
        <v>jue</v>
      </c>
      <c r="S106" s="161" t="s">
        <v>366</v>
      </c>
      <c r="T106" s="130" t="str">
        <f>TEXT(WEEKDAY(DATE(CalendarioAño,8,9),1),"ddd")</f>
        <v>sáb</v>
      </c>
      <c r="U106" s="161" t="s">
        <v>367</v>
      </c>
      <c r="V106" s="161" t="s">
        <v>364</v>
      </c>
      <c r="W106" s="161" t="s">
        <v>365</v>
      </c>
      <c r="X106" s="130" t="str">
        <f>TEXT(WEEKDAY(DATE(CalendarioAño,8,6),1),"ddd")</f>
        <v>mié</v>
      </c>
      <c r="Y106" s="130" t="str">
        <f>TEXT(WEEKDAY(DATE(CalendarioAño,8,7),1),"ddd")</f>
        <v>jue</v>
      </c>
      <c r="Z106" s="161" t="s">
        <v>366</v>
      </c>
      <c r="AA106" s="130" t="str">
        <f>TEXT(WEEKDAY(DATE(CalendarioAño,8,9),1),"ddd")</f>
        <v>sáb</v>
      </c>
      <c r="AB106" s="161" t="s">
        <v>367</v>
      </c>
      <c r="AC106" s="161" t="s">
        <v>364</v>
      </c>
      <c r="AD106" s="161" t="s">
        <v>365</v>
      </c>
      <c r="AE106" s="130" t="str">
        <f>TEXT(WEEKDAY(DATE(CalendarioAño,8,6),1),"ddd")</f>
        <v>mié</v>
      </c>
      <c r="AF106" s="130" t="str">
        <f>TEXT(WEEKDAY(DATE(CalendarioAño,8,7),1),"ddd")</f>
        <v>jue</v>
      </c>
      <c r="AG106" s="161" t="s">
        <v>366</v>
      </c>
      <c r="AH106" s="131"/>
    </row>
    <row r="107" ht="30.0" customHeight="1">
      <c r="A107" s="115"/>
      <c r="B107" s="116" t="s">
        <v>202</v>
      </c>
      <c r="C107" s="117" t="s">
        <v>15</v>
      </c>
      <c r="D107" s="117" t="s">
        <v>16</v>
      </c>
      <c r="E107" s="117" t="s">
        <v>17</v>
      </c>
      <c r="F107" s="117" t="s">
        <v>18</v>
      </c>
      <c r="G107" s="117" t="s">
        <v>19</v>
      </c>
      <c r="H107" s="117" t="s">
        <v>20</v>
      </c>
      <c r="I107" s="117" t="s">
        <v>21</v>
      </c>
      <c r="J107" s="117" t="s">
        <v>22</v>
      </c>
      <c r="K107" s="117" t="s">
        <v>23</v>
      </c>
      <c r="L107" s="117" t="s">
        <v>24</v>
      </c>
      <c r="M107" s="117" t="s">
        <v>25</v>
      </c>
      <c r="N107" s="117" t="s">
        <v>26</v>
      </c>
      <c r="O107" s="117" t="s">
        <v>27</v>
      </c>
      <c r="P107" s="117" t="s">
        <v>28</v>
      </c>
      <c r="Q107" s="117" t="s">
        <v>29</v>
      </c>
      <c r="R107" s="117" t="s">
        <v>30</v>
      </c>
      <c r="S107" s="117" t="s">
        <v>31</v>
      </c>
      <c r="T107" s="117" t="s">
        <v>32</v>
      </c>
      <c r="U107" s="117" t="s">
        <v>33</v>
      </c>
      <c r="V107" s="117" t="s">
        <v>34</v>
      </c>
      <c r="W107" s="117" t="s">
        <v>35</v>
      </c>
      <c r="X107" s="117" t="s">
        <v>36</v>
      </c>
      <c r="Y107" s="117" t="s">
        <v>37</v>
      </c>
      <c r="Z107" s="117" t="s">
        <v>38</v>
      </c>
      <c r="AA107" s="117" t="s">
        <v>39</v>
      </c>
      <c r="AB107" s="117" t="s">
        <v>40</v>
      </c>
      <c r="AC107" s="117" t="s">
        <v>41</v>
      </c>
      <c r="AD107" s="117" t="s">
        <v>42</v>
      </c>
      <c r="AE107" s="117" t="s">
        <v>43</v>
      </c>
      <c r="AF107" s="117" t="s">
        <v>44</v>
      </c>
      <c r="AG107" s="164">
        <v>31.0</v>
      </c>
      <c r="AH107" s="134"/>
    </row>
    <row r="108" ht="30.0" customHeight="1">
      <c r="B108" s="129" t="s">
        <v>298</v>
      </c>
      <c r="C108" s="10" t="s">
        <v>6</v>
      </c>
      <c r="D108" s="10" t="s">
        <v>6</v>
      </c>
      <c r="E108" s="130"/>
      <c r="F108" s="89"/>
      <c r="G108" s="130"/>
      <c r="H108" s="89"/>
      <c r="I108" s="10" t="s">
        <v>6</v>
      </c>
      <c r="J108" s="130"/>
      <c r="K108" s="130"/>
      <c r="L108" s="130"/>
      <c r="M108" s="130"/>
      <c r="N108" s="130"/>
      <c r="O108" s="130"/>
      <c r="P108" s="10" t="s">
        <v>6</v>
      </c>
      <c r="Q108" s="10" t="s">
        <v>6</v>
      </c>
      <c r="R108" s="130"/>
      <c r="S108" s="10" t="s">
        <v>6</v>
      </c>
      <c r="T108" s="130"/>
      <c r="U108" s="130"/>
      <c r="V108" s="130"/>
      <c r="W108" s="130"/>
      <c r="X108" s="10" t="s">
        <v>6</v>
      </c>
      <c r="Y108" s="130"/>
      <c r="Z108" s="130"/>
      <c r="AA108" s="10" t="s">
        <v>6</v>
      </c>
      <c r="AB108" s="139"/>
      <c r="AC108" s="139"/>
      <c r="AD108" s="139"/>
      <c r="AE108" s="10" t="s">
        <v>6</v>
      </c>
      <c r="AF108" s="10" t="s">
        <v>6</v>
      </c>
      <c r="AG108" s="139"/>
      <c r="AH108" s="131"/>
    </row>
    <row r="109" ht="30.0" customHeight="1">
      <c r="B109" s="132" t="s">
        <v>178</v>
      </c>
      <c r="C109" s="10" t="s">
        <v>6</v>
      </c>
      <c r="D109" s="133"/>
      <c r="E109" s="133"/>
      <c r="F109" s="89"/>
      <c r="G109" s="133"/>
      <c r="H109" s="89"/>
      <c r="I109" s="133"/>
      <c r="J109" s="133"/>
      <c r="K109" s="133"/>
      <c r="L109" s="133"/>
      <c r="M109" s="10" t="s">
        <v>6</v>
      </c>
      <c r="N109" s="133"/>
      <c r="O109" s="133"/>
      <c r="P109" s="133"/>
      <c r="Q109" s="133"/>
      <c r="R109" s="133"/>
      <c r="S109" s="133"/>
      <c r="T109" s="10" t="s">
        <v>6</v>
      </c>
      <c r="U109" s="133"/>
      <c r="V109" s="10" t="s">
        <v>6</v>
      </c>
      <c r="W109" s="133"/>
      <c r="X109" s="10" t="s">
        <v>6</v>
      </c>
      <c r="Y109" s="133"/>
      <c r="Z109" s="133"/>
      <c r="AA109" s="10" t="s">
        <v>6</v>
      </c>
      <c r="AB109" s="133"/>
      <c r="AC109" s="133"/>
      <c r="AD109" s="133"/>
      <c r="AE109" s="10" t="s">
        <v>6</v>
      </c>
      <c r="AF109" s="133"/>
      <c r="AG109" s="133"/>
      <c r="AH109" s="128"/>
    </row>
    <row r="110" ht="30.0" customHeight="1">
      <c r="B110" s="129" t="s">
        <v>358</v>
      </c>
      <c r="C110" s="10" t="s">
        <v>6</v>
      </c>
      <c r="D110" s="130"/>
      <c r="E110" s="130"/>
      <c r="F110" s="89"/>
      <c r="G110" s="130"/>
      <c r="H110" s="89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9"/>
      <c r="AC110" s="10" t="s">
        <v>6</v>
      </c>
      <c r="AD110" s="139"/>
      <c r="AE110" s="139"/>
      <c r="AF110" s="139"/>
      <c r="AG110" s="139"/>
      <c r="AH110" s="131"/>
    </row>
    <row r="111" ht="30.0" customHeight="1">
      <c r="B111" s="135" t="s">
        <v>133</v>
      </c>
      <c r="C111" s="10" t="s">
        <v>6</v>
      </c>
      <c r="D111" s="133"/>
      <c r="E111" s="10" t="s">
        <v>6</v>
      </c>
      <c r="F111" s="89"/>
      <c r="G111" s="133"/>
      <c r="H111" s="89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28"/>
    </row>
    <row r="112" ht="30.0" customHeight="1">
      <c r="B112" s="138" t="s">
        <v>340</v>
      </c>
      <c r="C112" s="130"/>
      <c r="D112" s="10" t="s">
        <v>6</v>
      </c>
      <c r="E112" s="130"/>
      <c r="F112" s="89"/>
      <c r="G112" s="130"/>
      <c r="H112" s="89"/>
      <c r="I112" s="10" t="s">
        <v>6</v>
      </c>
      <c r="J112" s="130"/>
      <c r="K112" s="10" t="s">
        <v>6</v>
      </c>
      <c r="L112" s="130"/>
      <c r="M112" s="130"/>
      <c r="N112" s="130"/>
      <c r="O112" s="130"/>
      <c r="P112" s="10" t="s">
        <v>6</v>
      </c>
      <c r="Q112" s="130"/>
      <c r="R112" s="130"/>
      <c r="S112" s="10" t="s">
        <v>6</v>
      </c>
      <c r="T112" s="130"/>
      <c r="U112" s="130"/>
      <c r="V112" s="130"/>
      <c r="W112" s="130"/>
      <c r="X112" s="10" t="s">
        <v>6</v>
      </c>
      <c r="Y112" s="130"/>
      <c r="Z112" s="10" t="s">
        <v>6</v>
      </c>
      <c r="AA112" s="130"/>
      <c r="AB112" s="139"/>
      <c r="AC112" s="139"/>
      <c r="AD112" s="10" t="s">
        <v>6</v>
      </c>
      <c r="AE112" s="139"/>
      <c r="AF112" s="10" t="s">
        <v>6</v>
      </c>
      <c r="AG112" s="139"/>
      <c r="AH112" s="131"/>
    </row>
    <row r="113" ht="30.0" customHeight="1">
      <c r="B113" s="135" t="s">
        <v>341</v>
      </c>
      <c r="C113" s="133"/>
      <c r="D113" s="10" t="s">
        <v>6</v>
      </c>
      <c r="E113" s="133"/>
      <c r="F113" s="89"/>
      <c r="G113" s="133"/>
      <c r="H113" s="89"/>
      <c r="I113" s="133"/>
      <c r="J113" s="133"/>
      <c r="K113" s="133"/>
      <c r="L113" s="133"/>
      <c r="M113" s="133"/>
      <c r="N113" s="133"/>
      <c r="O113" s="133"/>
      <c r="P113" s="10" t="s">
        <v>6</v>
      </c>
      <c r="Q113" s="133"/>
      <c r="R113" s="10" t="s">
        <v>6</v>
      </c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0" t="s">
        <v>6</v>
      </c>
      <c r="AE113" s="133"/>
      <c r="AF113" s="10" t="s">
        <v>6</v>
      </c>
      <c r="AG113" s="133"/>
      <c r="AH113" s="128"/>
    </row>
    <row r="114" ht="30.0" customHeight="1">
      <c r="B114" s="138" t="s">
        <v>184</v>
      </c>
      <c r="C114" s="130"/>
      <c r="D114" s="130"/>
      <c r="E114" s="10" t="s">
        <v>6</v>
      </c>
      <c r="F114" s="89"/>
      <c r="G114" s="130"/>
      <c r="H114" s="89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0" t="s">
        <v>6</v>
      </c>
      <c r="W114" s="130"/>
      <c r="X114" s="130"/>
      <c r="Y114" s="130"/>
      <c r="Z114" s="10" t="s">
        <v>6</v>
      </c>
      <c r="AA114" s="130"/>
      <c r="AB114" s="139"/>
      <c r="AC114" s="10" t="s">
        <v>6</v>
      </c>
      <c r="AD114" s="139"/>
      <c r="AE114" s="139"/>
      <c r="AF114" s="10" t="s">
        <v>6</v>
      </c>
      <c r="AG114" s="139"/>
      <c r="AH114" s="131"/>
    </row>
    <row r="115" ht="30.0" customHeight="1">
      <c r="B115" s="132" t="s">
        <v>404</v>
      </c>
      <c r="C115" s="133"/>
      <c r="D115" s="133"/>
      <c r="E115" s="133"/>
      <c r="F115" s="89"/>
      <c r="G115" s="133"/>
      <c r="H115" s="89"/>
      <c r="I115" s="133"/>
      <c r="J115" s="133"/>
      <c r="K115" s="133"/>
      <c r="L115" s="133"/>
      <c r="M115" s="10" t="s">
        <v>6</v>
      </c>
      <c r="N115" s="133"/>
      <c r="O115" s="133"/>
      <c r="P115" s="133"/>
      <c r="Q115" s="10" t="s">
        <v>6</v>
      </c>
      <c r="R115" s="133"/>
      <c r="S115" s="133"/>
      <c r="T115" s="10" t="s">
        <v>6</v>
      </c>
      <c r="U115" s="133"/>
      <c r="V115" s="133"/>
      <c r="W115" s="133"/>
      <c r="X115" s="133"/>
      <c r="Y115" s="133"/>
      <c r="Z115" s="10" t="s">
        <v>6</v>
      </c>
      <c r="AA115" s="10" t="s">
        <v>6</v>
      </c>
      <c r="AB115" s="133"/>
      <c r="AC115" s="133"/>
      <c r="AD115" s="133"/>
      <c r="AE115" s="10" t="s">
        <v>6</v>
      </c>
      <c r="AF115" s="133"/>
      <c r="AG115" s="133"/>
      <c r="AH115" s="128"/>
    </row>
    <row r="116" ht="30.0" customHeight="1">
      <c r="B116" s="138"/>
      <c r="C116" s="130"/>
      <c r="D116" s="130"/>
      <c r="E116" s="130"/>
      <c r="F116" s="89"/>
      <c r="G116" s="130"/>
      <c r="H116" s="89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9"/>
      <c r="AC116" s="139"/>
      <c r="AD116" s="139"/>
      <c r="AE116" s="139"/>
      <c r="AF116" s="139"/>
      <c r="AG116" s="139"/>
      <c r="AH116" s="131"/>
    </row>
    <row r="117" ht="30.0" customHeight="1">
      <c r="B117" s="132"/>
      <c r="C117" s="133"/>
      <c r="D117" s="133"/>
      <c r="E117" s="133"/>
      <c r="F117" s="89"/>
      <c r="G117" s="133"/>
      <c r="H117" s="89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28"/>
    </row>
    <row r="118" ht="30.0" customHeight="1">
      <c r="B118" s="138"/>
      <c r="C118" s="130"/>
      <c r="D118" s="130"/>
      <c r="E118" s="130"/>
      <c r="F118" s="89"/>
      <c r="G118" s="130"/>
      <c r="H118" s="89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9"/>
      <c r="AC118" s="139"/>
      <c r="AD118" s="139"/>
      <c r="AE118" s="139"/>
      <c r="AF118" s="139"/>
      <c r="AG118" s="139"/>
      <c r="AH118" s="131"/>
    </row>
    <row r="119" ht="30.0" customHeight="1">
      <c r="B119" s="135"/>
      <c r="C119" s="128"/>
      <c r="D119" s="128"/>
      <c r="E119" s="128"/>
      <c r="F119" s="84"/>
      <c r="G119" s="128"/>
      <c r="H119" s="84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34"/>
    </row>
    <row r="120" ht="30.0" customHeight="1">
      <c r="B120" s="140"/>
      <c r="C120" s="139"/>
      <c r="D120" s="139"/>
      <c r="E120" s="139"/>
      <c r="F120" s="84"/>
      <c r="G120" s="139"/>
      <c r="H120" s="84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1"/>
    </row>
    <row r="121" ht="30.0" customHeight="1">
      <c r="B121" s="127" t="str">
        <f>Octubre!MonthName&amp;" Total"</f>
        <v>Octubre Total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34"/>
    </row>
    <row r="122" ht="30.0" customHeight="1"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31"/>
    </row>
    <row r="123" ht="30.0" customHeight="1">
      <c r="B123" s="38" t="s">
        <v>386</v>
      </c>
      <c r="C123" s="101" t="s">
        <v>359</v>
      </c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48"/>
      <c r="AH123" s="134"/>
    </row>
    <row r="124" ht="30.0" customHeight="1">
      <c r="B124" s="32"/>
      <c r="C124" s="130" t="str">
        <f>TEXT(WEEKDAY(DATE(CalendarioAño,8,6),1),"ddd")</f>
        <v>mié</v>
      </c>
      <c r="D124" s="130" t="str">
        <f>TEXT(WEEKDAY(DATE(CalendarioAño,8,7),1),"ddd")</f>
        <v>jue</v>
      </c>
      <c r="E124" s="161" t="s">
        <v>366</v>
      </c>
      <c r="F124" s="130" t="str">
        <f>TEXT(WEEKDAY(DATE(CalendarioAño,8,9),1),"ddd")</f>
        <v>sáb</v>
      </c>
      <c r="G124" s="161" t="s">
        <v>367</v>
      </c>
      <c r="H124" s="161" t="s">
        <v>364</v>
      </c>
      <c r="I124" s="161" t="s">
        <v>365</v>
      </c>
      <c r="J124" s="130" t="str">
        <f>TEXT(WEEKDAY(DATE(CalendarioAño,8,6),1),"ddd")</f>
        <v>mié</v>
      </c>
      <c r="K124" s="130" t="str">
        <f>TEXT(WEEKDAY(DATE(CalendarioAño,8,7),1),"ddd")</f>
        <v>jue</v>
      </c>
      <c r="L124" s="161" t="s">
        <v>366</v>
      </c>
      <c r="M124" s="130" t="str">
        <f>TEXT(WEEKDAY(DATE(CalendarioAño,8,9),1),"ddd")</f>
        <v>sáb</v>
      </c>
      <c r="N124" s="161" t="s">
        <v>367</v>
      </c>
      <c r="O124" s="161" t="s">
        <v>364</v>
      </c>
      <c r="P124" s="161" t="s">
        <v>365</v>
      </c>
      <c r="Q124" s="130" t="str">
        <f>TEXT(WEEKDAY(DATE(CalendarioAño,8,6),1),"ddd")</f>
        <v>mié</v>
      </c>
      <c r="R124" s="130" t="str">
        <f>TEXT(WEEKDAY(DATE(CalendarioAño,8,7),1),"ddd")</f>
        <v>jue</v>
      </c>
      <c r="S124" s="161" t="s">
        <v>366</v>
      </c>
      <c r="T124" s="130" t="str">
        <f>TEXT(WEEKDAY(DATE(CalendarioAño,8,9),1),"ddd")</f>
        <v>sáb</v>
      </c>
      <c r="U124" s="161" t="s">
        <v>367</v>
      </c>
      <c r="V124" s="161" t="s">
        <v>364</v>
      </c>
      <c r="W124" s="161" t="s">
        <v>365</v>
      </c>
      <c r="X124" s="130" t="str">
        <f>TEXT(WEEKDAY(DATE(CalendarioAño,8,6),1),"ddd")</f>
        <v>mié</v>
      </c>
      <c r="Y124" s="130" t="str">
        <f>TEXT(WEEKDAY(DATE(CalendarioAño,8,7),1),"ddd")</f>
        <v>jue</v>
      </c>
      <c r="Z124" s="161" t="s">
        <v>366</v>
      </c>
      <c r="AA124" s="130" t="str">
        <f>TEXT(WEEKDAY(DATE(CalendarioAño,8,9),1),"ddd")</f>
        <v>sáb</v>
      </c>
      <c r="AB124" s="161" t="s">
        <v>367</v>
      </c>
      <c r="AC124" s="161" t="s">
        <v>364</v>
      </c>
      <c r="AD124" s="161" t="s">
        <v>365</v>
      </c>
      <c r="AE124" s="130" t="str">
        <f>TEXT(WEEKDAY(DATE(CalendarioAño,8,6),1),"ddd")</f>
        <v>mié</v>
      </c>
      <c r="AF124" s="130" t="str">
        <f>TEXT(WEEKDAY(DATE(CalendarioAño,8,7),1),"ddd")</f>
        <v>jue</v>
      </c>
      <c r="AG124" s="161" t="s">
        <v>366</v>
      </c>
      <c r="AH124" s="131"/>
    </row>
    <row r="125" ht="30.0" customHeight="1">
      <c r="A125" s="115"/>
      <c r="B125" s="116" t="s">
        <v>202</v>
      </c>
      <c r="C125" s="117" t="s">
        <v>15</v>
      </c>
      <c r="D125" s="117" t="s">
        <v>16</v>
      </c>
      <c r="E125" s="117" t="s">
        <v>17</v>
      </c>
      <c r="F125" s="117" t="s">
        <v>18</v>
      </c>
      <c r="G125" s="117" t="s">
        <v>19</v>
      </c>
      <c r="H125" s="117" t="s">
        <v>20</v>
      </c>
      <c r="I125" s="117" t="s">
        <v>21</v>
      </c>
      <c r="J125" s="117" t="s">
        <v>22</v>
      </c>
      <c r="K125" s="117" t="s">
        <v>23</v>
      </c>
      <c r="L125" s="117" t="s">
        <v>24</v>
      </c>
      <c r="M125" s="117" t="s">
        <v>25</v>
      </c>
      <c r="N125" s="117" t="s">
        <v>26</v>
      </c>
      <c r="O125" s="117" t="s">
        <v>27</v>
      </c>
      <c r="P125" s="117" t="s">
        <v>28</v>
      </c>
      <c r="Q125" s="117" t="s">
        <v>29</v>
      </c>
      <c r="R125" s="117" t="s">
        <v>30</v>
      </c>
      <c r="S125" s="117" t="s">
        <v>31</v>
      </c>
      <c r="T125" s="117" t="s">
        <v>32</v>
      </c>
      <c r="U125" s="117" t="s">
        <v>33</v>
      </c>
      <c r="V125" s="117" t="s">
        <v>34</v>
      </c>
      <c r="W125" s="117" t="s">
        <v>35</v>
      </c>
      <c r="X125" s="117" t="s">
        <v>36</v>
      </c>
      <c r="Y125" s="117" t="s">
        <v>37</v>
      </c>
      <c r="Z125" s="117" t="s">
        <v>38</v>
      </c>
      <c r="AA125" s="117" t="s">
        <v>39</v>
      </c>
      <c r="AB125" s="117" t="s">
        <v>40</v>
      </c>
      <c r="AC125" s="117" t="s">
        <v>41</v>
      </c>
      <c r="AD125" s="117" t="s">
        <v>42</v>
      </c>
      <c r="AE125" s="117" t="s">
        <v>43</v>
      </c>
      <c r="AF125" s="117" t="s">
        <v>44</v>
      </c>
      <c r="AG125" s="164">
        <v>31.0</v>
      </c>
      <c r="AH125" s="134"/>
    </row>
    <row r="126" ht="30.0" customHeight="1">
      <c r="B126" s="129" t="s">
        <v>215</v>
      </c>
      <c r="C126" s="130"/>
      <c r="D126" s="130"/>
      <c r="E126" s="130"/>
      <c r="F126" s="89"/>
      <c r="G126" s="130"/>
      <c r="H126" s="89"/>
      <c r="I126" s="10" t="s">
        <v>6</v>
      </c>
      <c r="J126" s="130"/>
      <c r="K126" s="130"/>
      <c r="L126" s="130"/>
      <c r="M126" s="130"/>
      <c r="N126" s="130"/>
      <c r="O126" s="130"/>
      <c r="P126" s="130"/>
      <c r="Q126" s="130"/>
      <c r="R126" s="10" t="s">
        <v>6</v>
      </c>
      <c r="S126" s="10" t="s">
        <v>6</v>
      </c>
      <c r="T126" s="130"/>
      <c r="U126" s="130"/>
      <c r="V126" s="10" t="s">
        <v>6</v>
      </c>
      <c r="W126" s="130"/>
      <c r="X126" s="130"/>
      <c r="Y126" s="130"/>
      <c r="Z126" s="130"/>
      <c r="AA126" s="130"/>
      <c r="AB126" s="139"/>
      <c r="AC126" s="139"/>
      <c r="AD126" s="139"/>
      <c r="AE126" s="139"/>
      <c r="AF126" s="139"/>
      <c r="AG126" s="139"/>
      <c r="AH126" s="131"/>
    </row>
    <row r="127" ht="30.0" customHeight="1">
      <c r="B127" s="132" t="s">
        <v>383</v>
      </c>
      <c r="C127" s="133"/>
      <c r="D127" s="10" t="s">
        <v>6</v>
      </c>
      <c r="E127" s="133"/>
      <c r="F127" s="89"/>
      <c r="G127" s="133"/>
      <c r="H127" s="89"/>
      <c r="I127" s="10" t="s">
        <v>6</v>
      </c>
      <c r="J127" s="133"/>
      <c r="K127" s="10" t="s">
        <v>6</v>
      </c>
      <c r="L127" s="133"/>
      <c r="M127" s="133"/>
      <c r="N127" s="133"/>
      <c r="O127" s="133"/>
      <c r="P127" s="10" t="s">
        <v>6</v>
      </c>
      <c r="Q127" s="133"/>
      <c r="R127" s="10" t="s">
        <v>6</v>
      </c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28"/>
    </row>
    <row r="128" ht="30.0" customHeight="1">
      <c r="B128" s="129" t="s">
        <v>307</v>
      </c>
      <c r="C128" s="130"/>
      <c r="D128" s="130"/>
      <c r="E128" s="130"/>
      <c r="F128" s="89"/>
      <c r="G128" s="130"/>
      <c r="H128" s="89"/>
      <c r="I128" s="130"/>
      <c r="J128" s="130"/>
      <c r="K128" s="10" t="s">
        <v>6</v>
      </c>
      <c r="L128" s="130"/>
      <c r="M128" s="130"/>
      <c r="N128" s="130"/>
      <c r="O128" s="130"/>
      <c r="P128" s="130"/>
      <c r="Q128" s="10" t="s">
        <v>6</v>
      </c>
      <c r="R128" s="130"/>
      <c r="S128" s="10" t="s">
        <v>6</v>
      </c>
      <c r="T128" s="130"/>
      <c r="U128" s="130"/>
      <c r="V128" s="130"/>
      <c r="W128" s="130"/>
      <c r="X128" s="10" t="s">
        <v>6</v>
      </c>
      <c r="Y128" s="130"/>
      <c r="Z128" s="130"/>
      <c r="AA128" s="130"/>
      <c r="AB128" s="139"/>
      <c r="AC128" s="10" t="s">
        <v>6</v>
      </c>
      <c r="AD128" s="139"/>
      <c r="AE128" s="139"/>
      <c r="AF128" s="139"/>
      <c r="AG128" s="139"/>
      <c r="AH128" s="131"/>
    </row>
    <row r="129" ht="30.0" customHeight="1">
      <c r="B129" s="135" t="s">
        <v>360</v>
      </c>
      <c r="C129" s="133"/>
      <c r="D129" s="10" t="s">
        <v>6</v>
      </c>
      <c r="E129" s="133"/>
      <c r="F129" s="89"/>
      <c r="G129" s="133"/>
      <c r="H129" s="89"/>
      <c r="I129" s="133"/>
      <c r="J129" s="133"/>
      <c r="K129" s="10" t="s">
        <v>6</v>
      </c>
      <c r="L129" s="10" t="s">
        <v>6</v>
      </c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0" t="s">
        <v>6</v>
      </c>
      <c r="X129" s="133"/>
      <c r="Y129" s="10" t="s">
        <v>6</v>
      </c>
      <c r="Z129" s="133"/>
      <c r="AA129" s="133"/>
      <c r="AB129" s="133"/>
      <c r="AC129" s="133"/>
      <c r="AD129" s="10" t="s">
        <v>6</v>
      </c>
      <c r="AE129" s="10" t="s">
        <v>6</v>
      </c>
      <c r="AF129" s="10" t="s">
        <v>6</v>
      </c>
      <c r="AG129" s="133"/>
      <c r="AH129" s="128"/>
    </row>
    <row r="130" ht="30.0" customHeight="1">
      <c r="B130" s="138" t="s">
        <v>309</v>
      </c>
      <c r="C130" s="130"/>
      <c r="D130" s="10" t="s">
        <v>6</v>
      </c>
      <c r="E130" s="130"/>
      <c r="F130" s="89"/>
      <c r="G130" s="130"/>
      <c r="H130" s="89"/>
      <c r="I130" s="130"/>
      <c r="J130" s="130"/>
      <c r="K130" s="130"/>
      <c r="L130" s="130"/>
      <c r="M130" s="130"/>
      <c r="N130" s="130"/>
      <c r="O130" s="10" t="s">
        <v>6</v>
      </c>
      <c r="P130" s="130"/>
      <c r="Q130" s="130"/>
      <c r="R130" s="10" t="s">
        <v>6</v>
      </c>
      <c r="S130" s="130"/>
      <c r="T130" s="130"/>
      <c r="U130" s="130"/>
      <c r="V130" s="10" t="s">
        <v>6</v>
      </c>
      <c r="W130" s="130"/>
      <c r="X130" s="130"/>
      <c r="Y130" s="10" t="s">
        <v>6</v>
      </c>
      <c r="Z130" s="130"/>
      <c r="AA130" s="130"/>
      <c r="AB130" s="139"/>
      <c r="AC130" s="10" t="s">
        <v>6</v>
      </c>
      <c r="AD130" s="139"/>
      <c r="AE130" s="139"/>
      <c r="AF130" s="10" t="s">
        <v>6</v>
      </c>
      <c r="AG130" s="139"/>
      <c r="AH130" s="146"/>
    </row>
    <row r="131" ht="30.0" customHeight="1">
      <c r="B131" s="135" t="s">
        <v>405</v>
      </c>
      <c r="C131" s="133"/>
      <c r="D131" s="133"/>
      <c r="E131" s="133"/>
      <c r="F131" s="89"/>
      <c r="G131" s="133"/>
      <c r="H131" s="89"/>
      <c r="I131" s="133"/>
      <c r="J131" s="133"/>
      <c r="K131" s="133"/>
      <c r="L131" s="10" t="s">
        <v>6</v>
      </c>
      <c r="M131" s="133"/>
      <c r="N131" s="133"/>
      <c r="O131" s="133"/>
      <c r="P131" s="133"/>
      <c r="Q131" s="10" t="s">
        <v>6</v>
      </c>
      <c r="R131" s="133"/>
      <c r="S131" s="133"/>
      <c r="T131" s="133"/>
      <c r="U131" s="133"/>
      <c r="V131" s="133"/>
      <c r="W131" s="10" t="s">
        <v>6</v>
      </c>
      <c r="X131" s="133"/>
      <c r="Y131" s="133"/>
      <c r="Z131" s="10" t="s">
        <v>6</v>
      </c>
      <c r="AA131" s="133"/>
      <c r="AB131" s="133"/>
      <c r="AC131" s="133"/>
      <c r="AD131" s="10" t="s">
        <v>6</v>
      </c>
      <c r="AE131" s="10" t="s">
        <v>6</v>
      </c>
      <c r="AF131" s="133"/>
      <c r="AG131" s="133"/>
      <c r="AH131" s="128"/>
    </row>
    <row r="132" ht="30.0" customHeight="1">
      <c r="B132" s="138" t="s">
        <v>187</v>
      </c>
      <c r="C132" s="130"/>
      <c r="D132" s="130"/>
      <c r="E132" s="130"/>
      <c r="F132" s="89"/>
      <c r="G132" s="130"/>
      <c r="H132" s="89"/>
      <c r="I132" s="130"/>
      <c r="J132" s="130"/>
      <c r="K132" s="130"/>
      <c r="L132" s="130"/>
      <c r="M132" s="10" t="s">
        <v>6</v>
      </c>
      <c r="N132" s="130"/>
      <c r="O132" s="130"/>
      <c r="P132" s="130"/>
      <c r="Q132" s="130"/>
      <c r="R132" s="130"/>
      <c r="S132" s="130"/>
      <c r="T132" s="10" t="s">
        <v>6</v>
      </c>
      <c r="U132" s="130"/>
      <c r="V132" s="130"/>
      <c r="W132" s="130"/>
      <c r="X132" s="130"/>
      <c r="Y132" s="130"/>
      <c r="Z132" s="130"/>
      <c r="AA132" s="130"/>
      <c r="AB132" s="139"/>
      <c r="AC132" s="139"/>
      <c r="AD132" s="139"/>
      <c r="AE132" s="139"/>
      <c r="AF132" s="139"/>
      <c r="AG132" s="139"/>
      <c r="AH132" s="146"/>
    </row>
    <row r="133" ht="30.0" customHeight="1">
      <c r="B133" s="132" t="s">
        <v>406</v>
      </c>
      <c r="C133" s="133"/>
      <c r="D133" s="133"/>
      <c r="E133" s="133"/>
      <c r="F133" s="89"/>
      <c r="G133" s="133"/>
      <c r="H133" s="89"/>
      <c r="I133" s="133"/>
      <c r="J133" s="133"/>
      <c r="K133" s="133"/>
      <c r="L133" s="133"/>
      <c r="M133" s="10" t="s">
        <v>6</v>
      </c>
      <c r="N133" s="133"/>
      <c r="O133" s="133"/>
      <c r="P133" s="133"/>
      <c r="Q133" s="10" t="s">
        <v>6</v>
      </c>
      <c r="R133" s="133"/>
      <c r="S133" s="133"/>
      <c r="T133" s="133"/>
      <c r="U133" s="133"/>
      <c r="V133" s="133"/>
      <c r="W133" s="133"/>
      <c r="X133" s="133"/>
      <c r="Y133" s="133"/>
      <c r="Z133" s="133"/>
      <c r="AA133" s="10" t="s">
        <v>6</v>
      </c>
      <c r="AB133" s="133"/>
      <c r="AC133" s="133"/>
      <c r="AD133" s="133"/>
      <c r="AE133" s="133"/>
      <c r="AF133" s="133"/>
      <c r="AG133" s="133"/>
      <c r="AH133" s="128"/>
    </row>
    <row r="134" ht="30.0" customHeight="1">
      <c r="B134" s="138" t="s">
        <v>251</v>
      </c>
      <c r="C134" s="139"/>
      <c r="D134" s="139"/>
      <c r="E134" s="139"/>
      <c r="F134" s="89"/>
      <c r="G134" s="130"/>
      <c r="H134" s="89"/>
      <c r="I134" s="139"/>
      <c r="J134" s="139"/>
      <c r="K134" s="139"/>
      <c r="L134" s="139"/>
      <c r="M134" s="139"/>
      <c r="N134" s="139"/>
      <c r="O134" s="139"/>
      <c r="P134" s="139"/>
      <c r="Q134" s="10" t="s">
        <v>6</v>
      </c>
      <c r="R134" s="139"/>
      <c r="S134" s="139"/>
      <c r="T134" s="139"/>
      <c r="U134" s="139"/>
      <c r="V134" s="10" t="s">
        <v>6</v>
      </c>
      <c r="W134" s="139"/>
      <c r="X134" s="139"/>
      <c r="Y134" s="139"/>
      <c r="Z134" s="139"/>
      <c r="AA134" s="139"/>
      <c r="AB134" s="139"/>
      <c r="AC134" s="139"/>
      <c r="AD134" s="10" t="s">
        <v>6</v>
      </c>
      <c r="AE134" s="139"/>
      <c r="AF134" s="139"/>
      <c r="AG134" s="139"/>
      <c r="AH134" s="131"/>
    </row>
    <row r="135" ht="30.0" customHeight="1">
      <c r="B135" s="132"/>
      <c r="C135" s="128"/>
      <c r="D135" s="128"/>
      <c r="E135" s="128"/>
      <c r="F135" s="84"/>
      <c r="G135" s="128"/>
      <c r="H135" s="84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34"/>
    </row>
    <row r="136" ht="30.0" customHeight="1">
      <c r="B136" s="138"/>
      <c r="C136" s="139"/>
      <c r="D136" s="139"/>
      <c r="E136" s="139"/>
      <c r="F136" s="89"/>
      <c r="G136" s="130"/>
      <c r="H136" s="8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4"/>
    </row>
    <row r="137" ht="30.0" customHeight="1">
      <c r="B137" s="132"/>
      <c r="C137" s="128"/>
      <c r="D137" s="128"/>
      <c r="E137" s="128"/>
      <c r="F137" s="84"/>
      <c r="G137" s="128"/>
      <c r="H137" s="84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34"/>
    </row>
    <row r="138" ht="30.0" customHeight="1">
      <c r="B138" s="140"/>
      <c r="C138" s="139"/>
      <c r="D138" s="139"/>
      <c r="E138" s="139"/>
      <c r="F138" s="84"/>
      <c r="G138" s="139"/>
      <c r="H138" s="84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1"/>
    </row>
    <row r="139" ht="30.0" customHeight="1">
      <c r="B139" s="127" t="str">
        <f>Octubre!MonthName&amp;" Total"</f>
        <v>Octubre Total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34"/>
    </row>
    <row r="140" ht="30.0" customHeight="1">
      <c r="B140" s="171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34"/>
    </row>
    <row r="141" ht="30.0" customHeight="1">
      <c r="B141" s="38" t="s">
        <v>386</v>
      </c>
      <c r="C141" s="101" t="s">
        <v>345</v>
      </c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48"/>
      <c r="AH141" s="134"/>
    </row>
    <row r="142" ht="30.0" customHeight="1">
      <c r="B142" s="32"/>
      <c r="C142" s="130" t="str">
        <f>TEXT(WEEKDAY(DATE(CalendarioAño,8,6),1),"ddd")</f>
        <v>mié</v>
      </c>
      <c r="D142" s="130" t="str">
        <f>TEXT(WEEKDAY(DATE(CalendarioAño,8,7),1),"ddd")</f>
        <v>jue</v>
      </c>
      <c r="E142" s="161" t="s">
        <v>366</v>
      </c>
      <c r="F142" s="130" t="str">
        <f>TEXT(WEEKDAY(DATE(CalendarioAño,8,9),1),"ddd")</f>
        <v>sáb</v>
      </c>
      <c r="G142" s="161" t="s">
        <v>367</v>
      </c>
      <c r="H142" s="161" t="s">
        <v>364</v>
      </c>
      <c r="I142" s="161" t="s">
        <v>365</v>
      </c>
      <c r="J142" s="130" t="str">
        <f>TEXT(WEEKDAY(DATE(CalendarioAño,8,6),1),"ddd")</f>
        <v>mié</v>
      </c>
      <c r="K142" s="130" t="str">
        <f>TEXT(WEEKDAY(DATE(CalendarioAño,8,7),1),"ddd")</f>
        <v>jue</v>
      </c>
      <c r="L142" s="161" t="s">
        <v>366</v>
      </c>
      <c r="M142" s="130" t="str">
        <f>TEXT(WEEKDAY(DATE(CalendarioAño,8,9),1),"ddd")</f>
        <v>sáb</v>
      </c>
      <c r="N142" s="161" t="s">
        <v>367</v>
      </c>
      <c r="O142" s="161" t="s">
        <v>364</v>
      </c>
      <c r="P142" s="161" t="s">
        <v>365</v>
      </c>
      <c r="Q142" s="130" t="str">
        <f>TEXT(WEEKDAY(DATE(CalendarioAño,8,6),1),"ddd")</f>
        <v>mié</v>
      </c>
      <c r="R142" s="130" t="str">
        <f>TEXT(WEEKDAY(DATE(CalendarioAño,8,7),1),"ddd")</f>
        <v>jue</v>
      </c>
      <c r="S142" s="161" t="s">
        <v>366</v>
      </c>
      <c r="T142" s="130" t="str">
        <f>TEXT(WEEKDAY(DATE(CalendarioAño,8,9),1),"ddd")</f>
        <v>sáb</v>
      </c>
      <c r="U142" s="161" t="s">
        <v>367</v>
      </c>
      <c r="V142" s="161" t="s">
        <v>364</v>
      </c>
      <c r="W142" s="161" t="s">
        <v>365</v>
      </c>
      <c r="X142" s="130" t="str">
        <f>TEXT(WEEKDAY(DATE(CalendarioAño,8,6),1),"ddd")</f>
        <v>mié</v>
      </c>
      <c r="Y142" s="130" t="str">
        <f>TEXT(WEEKDAY(DATE(CalendarioAño,8,7),1),"ddd")</f>
        <v>jue</v>
      </c>
      <c r="Z142" s="161" t="s">
        <v>366</v>
      </c>
      <c r="AA142" s="130" t="str">
        <f>TEXT(WEEKDAY(DATE(CalendarioAño,8,9),1),"ddd")</f>
        <v>sáb</v>
      </c>
      <c r="AB142" s="161" t="s">
        <v>367</v>
      </c>
      <c r="AC142" s="161" t="s">
        <v>364</v>
      </c>
      <c r="AD142" s="161" t="s">
        <v>365</v>
      </c>
      <c r="AE142" s="130" t="str">
        <f>TEXT(WEEKDAY(DATE(CalendarioAño,8,6),1),"ddd")</f>
        <v>mié</v>
      </c>
      <c r="AF142" s="130" t="str">
        <f>TEXT(WEEKDAY(DATE(CalendarioAño,8,7),1),"ddd")</f>
        <v>jue</v>
      </c>
      <c r="AG142" s="161" t="s">
        <v>366</v>
      </c>
      <c r="AH142" s="131"/>
    </row>
    <row r="143" ht="30.0" customHeight="1">
      <c r="A143" s="115"/>
      <c r="B143" s="116" t="s">
        <v>202</v>
      </c>
      <c r="C143" s="117" t="s">
        <v>15</v>
      </c>
      <c r="D143" s="117" t="s">
        <v>16</v>
      </c>
      <c r="E143" s="117" t="s">
        <v>17</v>
      </c>
      <c r="F143" s="117" t="s">
        <v>18</v>
      </c>
      <c r="G143" s="117" t="s">
        <v>19</v>
      </c>
      <c r="H143" s="117" t="s">
        <v>20</v>
      </c>
      <c r="I143" s="117" t="s">
        <v>21</v>
      </c>
      <c r="J143" s="117" t="s">
        <v>22</v>
      </c>
      <c r="K143" s="117" t="s">
        <v>23</v>
      </c>
      <c r="L143" s="117" t="s">
        <v>24</v>
      </c>
      <c r="M143" s="117" t="s">
        <v>25</v>
      </c>
      <c r="N143" s="117" t="s">
        <v>26</v>
      </c>
      <c r="O143" s="117" t="s">
        <v>27</v>
      </c>
      <c r="P143" s="117" t="s">
        <v>28</v>
      </c>
      <c r="Q143" s="117" t="s">
        <v>29</v>
      </c>
      <c r="R143" s="117" t="s">
        <v>30</v>
      </c>
      <c r="S143" s="117" t="s">
        <v>31</v>
      </c>
      <c r="T143" s="117" t="s">
        <v>32</v>
      </c>
      <c r="U143" s="117" t="s">
        <v>33</v>
      </c>
      <c r="V143" s="117" t="s">
        <v>34</v>
      </c>
      <c r="W143" s="117" t="s">
        <v>35</v>
      </c>
      <c r="X143" s="117" t="s">
        <v>36</v>
      </c>
      <c r="Y143" s="117" t="s">
        <v>37</v>
      </c>
      <c r="Z143" s="117" t="s">
        <v>38</v>
      </c>
      <c r="AA143" s="117" t="s">
        <v>39</v>
      </c>
      <c r="AB143" s="117" t="s">
        <v>40</v>
      </c>
      <c r="AC143" s="117" t="s">
        <v>41</v>
      </c>
      <c r="AD143" s="117" t="s">
        <v>42</v>
      </c>
      <c r="AE143" s="117" t="s">
        <v>43</v>
      </c>
      <c r="AF143" s="117" t="s">
        <v>44</v>
      </c>
      <c r="AG143" s="164">
        <v>31.0</v>
      </c>
      <c r="AH143" s="128"/>
    </row>
    <row r="144" ht="30.0" customHeight="1">
      <c r="B144" s="132" t="s">
        <v>343</v>
      </c>
      <c r="C144" s="173" t="s">
        <v>6</v>
      </c>
      <c r="D144" s="133"/>
      <c r="E144" s="173" t="s">
        <v>6</v>
      </c>
      <c r="F144" s="89"/>
      <c r="G144" s="133"/>
      <c r="H144" s="89"/>
      <c r="I144" s="133"/>
      <c r="J144" s="133"/>
      <c r="K144" s="133"/>
      <c r="L144" s="173" t="s">
        <v>6</v>
      </c>
      <c r="M144" s="133"/>
      <c r="N144" s="133"/>
      <c r="O144" s="133"/>
      <c r="P144" s="133"/>
      <c r="Q144" s="10" t="s">
        <v>6</v>
      </c>
      <c r="R144" s="133"/>
      <c r="S144" s="133"/>
      <c r="T144" s="133"/>
      <c r="U144" s="133"/>
      <c r="V144" s="133"/>
      <c r="W144" s="133"/>
      <c r="X144" s="10" t="s">
        <v>6</v>
      </c>
      <c r="Y144" s="133"/>
      <c r="Z144" s="133"/>
      <c r="AA144" s="133"/>
      <c r="AB144" s="128"/>
      <c r="AC144" s="128"/>
      <c r="AD144" s="128"/>
      <c r="AE144" s="128"/>
      <c r="AF144" s="128"/>
      <c r="AG144" s="128"/>
      <c r="AH144" s="174"/>
    </row>
    <row r="145" ht="30.0" customHeight="1">
      <c r="B145" s="129" t="s">
        <v>384</v>
      </c>
      <c r="C145" s="130"/>
      <c r="D145" s="130"/>
      <c r="E145" s="173" t="s">
        <v>6</v>
      </c>
      <c r="F145" s="89"/>
      <c r="G145" s="130"/>
      <c r="H145" s="89"/>
      <c r="I145" s="130"/>
      <c r="J145" s="130"/>
      <c r="K145" s="130"/>
      <c r="L145" s="173" t="s">
        <v>6</v>
      </c>
      <c r="M145" s="130"/>
      <c r="N145" s="130"/>
      <c r="O145" s="130"/>
      <c r="P145" s="130"/>
      <c r="Q145" s="130"/>
      <c r="R145" s="130"/>
      <c r="S145" s="10" t="s">
        <v>6</v>
      </c>
      <c r="T145" s="130"/>
      <c r="U145" s="130"/>
      <c r="V145" s="130"/>
      <c r="W145" s="130"/>
      <c r="X145" s="130"/>
      <c r="Y145" s="130"/>
      <c r="Z145" s="130"/>
      <c r="AA145" s="130"/>
      <c r="AB145" s="130"/>
      <c r="AC145" s="10" t="s">
        <v>6</v>
      </c>
      <c r="AD145" s="130"/>
      <c r="AE145" s="130"/>
      <c r="AF145" s="130"/>
      <c r="AG145" s="130"/>
      <c r="AH145" s="139"/>
    </row>
    <row r="146" ht="30.0" customHeight="1">
      <c r="B146" s="132" t="s">
        <v>189</v>
      </c>
      <c r="C146" s="133"/>
      <c r="D146" s="133"/>
      <c r="E146" s="173" t="s">
        <v>6</v>
      </c>
      <c r="F146" s="89"/>
      <c r="G146" s="133"/>
      <c r="H146" s="89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0" t="s">
        <v>6</v>
      </c>
      <c r="W146" s="133"/>
      <c r="X146" s="133"/>
      <c r="Y146" s="133"/>
      <c r="Z146" s="10" t="s">
        <v>6</v>
      </c>
      <c r="AA146" s="133"/>
      <c r="AB146" s="128"/>
      <c r="AC146" s="10" t="s">
        <v>6</v>
      </c>
      <c r="AD146" s="128"/>
      <c r="AE146" s="128"/>
      <c r="AF146" s="128"/>
      <c r="AG146" s="128"/>
      <c r="AH146" s="150"/>
    </row>
    <row r="147" ht="30.0" customHeight="1">
      <c r="B147" s="138" t="s">
        <v>344</v>
      </c>
      <c r="C147" s="130"/>
      <c r="D147" s="130"/>
      <c r="E147" s="130"/>
      <c r="F147" s="89"/>
      <c r="G147" s="130"/>
      <c r="H147" s="89"/>
      <c r="I147" s="130"/>
      <c r="J147" s="130"/>
      <c r="K147" s="130"/>
      <c r="L147" s="130"/>
      <c r="M147" s="10" t="s">
        <v>6</v>
      </c>
      <c r="N147" s="130"/>
      <c r="O147" s="130"/>
      <c r="P147" s="130"/>
      <c r="Q147" s="130"/>
      <c r="R147" s="130"/>
      <c r="S147" s="130"/>
      <c r="T147" s="10" t="s">
        <v>6</v>
      </c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9"/>
    </row>
    <row r="148" ht="30.0" customHeight="1">
      <c r="B148" s="132" t="s">
        <v>407</v>
      </c>
      <c r="C148" s="133"/>
      <c r="D148" s="133"/>
      <c r="E148" s="133"/>
      <c r="F148" s="89"/>
      <c r="G148" s="133"/>
      <c r="H148" s="89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0" t="s">
        <v>6</v>
      </c>
      <c r="AB148" s="128"/>
      <c r="AC148" s="128"/>
      <c r="AD148" s="128"/>
      <c r="AE148" s="128"/>
      <c r="AF148" s="128"/>
      <c r="AG148" s="10" t="s">
        <v>6</v>
      </c>
      <c r="AH148" s="134"/>
    </row>
    <row r="149" ht="30.0" customHeight="1">
      <c r="B149" s="138"/>
      <c r="C149" s="130"/>
      <c r="D149" s="130"/>
      <c r="E149" s="130"/>
      <c r="F149" s="89"/>
      <c r="G149" s="130"/>
      <c r="H149" s="89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9"/>
    </row>
    <row r="150" ht="30.0" customHeight="1">
      <c r="B150" s="132"/>
      <c r="C150" s="128"/>
      <c r="D150" s="128"/>
      <c r="E150" s="128"/>
      <c r="F150" s="89"/>
      <c r="G150" s="128"/>
      <c r="H150" s="89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34"/>
    </row>
    <row r="151" ht="30.0" customHeight="1">
      <c r="B151" s="138"/>
      <c r="C151" s="139"/>
      <c r="D151" s="139"/>
      <c r="E151" s="139"/>
      <c r="F151" s="89"/>
      <c r="G151" s="139"/>
      <c r="H151" s="8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1"/>
    </row>
    <row r="152" ht="30.0" customHeight="1">
      <c r="B152" s="127"/>
      <c r="C152" s="128"/>
      <c r="D152" s="128"/>
      <c r="E152" s="128"/>
      <c r="F152" s="89"/>
      <c r="G152" s="128"/>
      <c r="H152" s="89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34"/>
    </row>
    <row r="153" ht="30.0" customHeight="1">
      <c r="B153" s="140"/>
      <c r="C153" s="139"/>
      <c r="D153" s="139"/>
      <c r="E153" s="139"/>
      <c r="F153" s="89"/>
      <c r="G153" s="139"/>
      <c r="H153" s="8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1"/>
    </row>
    <row r="154" ht="30.0" customHeight="1">
      <c r="B154" s="140" t="str">
        <f>Octubre!MonthName&amp;" Total"</f>
        <v>Octubre Total</v>
      </c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1"/>
    </row>
    <row r="155" ht="30.0" customHeight="1">
      <c r="B155" s="14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34"/>
    </row>
    <row r="156" ht="30.0" customHeight="1">
      <c r="B156" s="38" t="s">
        <v>386</v>
      </c>
      <c r="C156" s="101" t="s">
        <v>346</v>
      </c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8"/>
      <c r="AH156" s="131"/>
    </row>
    <row r="157" ht="30.0" customHeight="1">
      <c r="B157" s="32"/>
      <c r="C157" s="133" t="str">
        <f>TEXT(WEEKDAY(DATE(CalendarioAño,8,6),1),"ddd")</f>
        <v>mié</v>
      </c>
      <c r="D157" s="133" t="str">
        <f>TEXT(WEEKDAY(DATE(CalendarioAño,8,7),1),"ddd")</f>
        <v>jue</v>
      </c>
      <c r="E157" s="162" t="s">
        <v>366</v>
      </c>
      <c r="F157" s="133" t="str">
        <f>TEXT(WEEKDAY(DATE(CalendarioAño,8,9),1),"ddd")</f>
        <v>sáb</v>
      </c>
      <c r="G157" s="162" t="s">
        <v>367</v>
      </c>
      <c r="H157" s="162" t="s">
        <v>364</v>
      </c>
      <c r="I157" s="162" t="s">
        <v>365</v>
      </c>
      <c r="J157" s="133" t="str">
        <f>TEXT(WEEKDAY(DATE(CalendarioAño,8,6),1),"ddd")</f>
        <v>mié</v>
      </c>
      <c r="K157" s="133" t="str">
        <f>TEXT(WEEKDAY(DATE(CalendarioAño,8,7),1),"ddd")</f>
        <v>jue</v>
      </c>
      <c r="L157" s="162" t="s">
        <v>366</v>
      </c>
      <c r="M157" s="133" t="str">
        <f>TEXT(WEEKDAY(DATE(CalendarioAño,8,9),1),"ddd")</f>
        <v>sáb</v>
      </c>
      <c r="N157" s="162" t="s">
        <v>367</v>
      </c>
      <c r="O157" s="162" t="s">
        <v>364</v>
      </c>
      <c r="P157" s="162" t="s">
        <v>365</v>
      </c>
      <c r="Q157" s="133" t="str">
        <f>TEXT(WEEKDAY(DATE(CalendarioAño,8,6),1),"ddd")</f>
        <v>mié</v>
      </c>
      <c r="R157" s="133" t="str">
        <f>TEXT(WEEKDAY(DATE(CalendarioAño,8,7),1),"ddd")</f>
        <v>jue</v>
      </c>
      <c r="S157" s="162" t="s">
        <v>366</v>
      </c>
      <c r="T157" s="133" t="str">
        <f>TEXT(WEEKDAY(DATE(CalendarioAño,8,9),1),"ddd")</f>
        <v>sáb</v>
      </c>
      <c r="U157" s="162" t="s">
        <v>367</v>
      </c>
      <c r="V157" s="162" t="s">
        <v>364</v>
      </c>
      <c r="W157" s="162" t="s">
        <v>365</v>
      </c>
      <c r="X157" s="133" t="str">
        <f>TEXT(WEEKDAY(DATE(CalendarioAño,8,6),1),"ddd")</f>
        <v>mié</v>
      </c>
      <c r="Y157" s="133" t="str">
        <f>TEXT(WEEKDAY(DATE(CalendarioAño,8,7),1),"ddd")</f>
        <v>jue</v>
      </c>
      <c r="Z157" s="162" t="s">
        <v>366</v>
      </c>
      <c r="AA157" s="133" t="str">
        <f>TEXT(WEEKDAY(DATE(CalendarioAño,8,9),1),"ddd")</f>
        <v>sáb</v>
      </c>
      <c r="AB157" s="162" t="s">
        <v>367</v>
      </c>
      <c r="AC157" s="162" t="s">
        <v>364</v>
      </c>
      <c r="AD157" s="162" t="s">
        <v>365</v>
      </c>
      <c r="AE157" s="133" t="str">
        <f>TEXT(WEEKDAY(DATE(CalendarioAño,8,6),1),"ddd")</f>
        <v>mié</v>
      </c>
      <c r="AF157" s="133" t="str">
        <f>TEXT(WEEKDAY(DATE(CalendarioAño,8,7),1),"ddd")</f>
        <v>jue</v>
      </c>
      <c r="AG157" s="162" t="s">
        <v>366</v>
      </c>
      <c r="AH157" s="134"/>
    </row>
    <row r="158" ht="30.0" customHeight="1">
      <c r="A158" s="115"/>
      <c r="B158" s="116" t="s">
        <v>202</v>
      </c>
      <c r="C158" s="117" t="s">
        <v>15</v>
      </c>
      <c r="D158" s="117" t="s">
        <v>16</v>
      </c>
      <c r="E158" s="117" t="s">
        <v>17</v>
      </c>
      <c r="F158" s="117" t="s">
        <v>18</v>
      </c>
      <c r="G158" s="117" t="s">
        <v>19</v>
      </c>
      <c r="H158" s="117" t="s">
        <v>20</v>
      </c>
      <c r="I158" s="117" t="s">
        <v>21</v>
      </c>
      <c r="J158" s="117" t="s">
        <v>22</v>
      </c>
      <c r="K158" s="117" t="s">
        <v>23</v>
      </c>
      <c r="L158" s="117" t="s">
        <v>24</v>
      </c>
      <c r="M158" s="117" t="s">
        <v>25</v>
      </c>
      <c r="N158" s="117" t="s">
        <v>26</v>
      </c>
      <c r="O158" s="117" t="s">
        <v>27</v>
      </c>
      <c r="P158" s="117" t="s">
        <v>28</v>
      </c>
      <c r="Q158" s="117" t="s">
        <v>29</v>
      </c>
      <c r="R158" s="117" t="s">
        <v>30</v>
      </c>
      <c r="S158" s="117" t="s">
        <v>31</v>
      </c>
      <c r="T158" s="117" t="s">
        <v>32</v>
      </c>
      <c r="U158" s="117" t="s">
        <v>33</v>
      </c>
      <c r="V158" s="117" t="s">
        <v>34</v>
      </c>
      <c r="W158" s="117" t="s">
        <v>35</v>
      </c>
      <c r="X158" s="117" t="s">
        <v>36</v>
      </c>
      <c r="Y158" s="117" t="s">
        <v>37</v>
      </c>
      <c r="Z158" s="117" t="s">
        <v>38</v>
      </c>
      <c r="AA158" s="117" t="s">
        <v>39</v>
      </c>
      <c r="AB158" s="117" t="s">
        <v>40</v>
      </c>
      <c r="AC158" s="117" t="s">
        <v>41</v>
      </c>
      <c r="AD158" s="117" t="s">
        <v>42</v>
      </c>
      <c r="AE158" s="117" t="s">
        <v>43</v>
      </c>
      <c r="AF158" s="117" t="s">
        <v>44</v>
      </c>
      <c r="AG158" s="164">
        <v>31.0</v>
      </c>
      <c r="AH158" s="131"/>
    </row>
    <row r="159" ht="30.0" customHeight="1">
      <c r="B159" s="132" t="s">
        <v>327</v>
      </c>
      <c r="C159" s="133"/>
      <c r="D159" s="133"/>
      <c r="E159" s="133"/>
      <c r="F159" s="89"/>
      <c r="G159" s="133"/>
      <c r="H159" s="89"/>
      <c r="I159" s="133"/>
      <c r="J159" s="133"/>
      <c r="K159" s="10" t="s">
        <v>6</v>
      </c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28"/>
    </row>
    <row r="160" ht="30.0" customHeight="1">
      <c r="B160" s="129" t="s">
        <v>385</v>
      </c>
      <c r="C160" s="130"/>
      <c r="D160" s="10" t="s">
        <v>6</v>
      </c>
      <c r="E160" s="130"/>
      <c r="F160" s="89"/>
      <c r="G160" s="130"/>
      <c r="H160" s="89"/>
      <c r="I160" s="10" t="s">
        <v>6</v>
      </c>
      <c r="J160" s="130"/>
      <c r="K160" s="10" t="s">
        <v>6</v>
      </c>
      <c r="L160" s="130"/>
      <c r="M160" s="130"/>
      <c r="N160" s="130"/>
      <c r="O160" s="130"/>
      <c r="P160" s="10" t="s">
        <v>6</v>
      </c>
      <c r="Q160" s="130"/>
      <c r="R160" s="10" t="s">
        <v>6</v>
      </c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1"/>
    </row>
    <row r="161" ht="30.0" customHeight="1">
      <c r="B161" s="152"/>
      <c r="C161" s="133"/>
      <c r="D161" s="133"/>
      <c r="E161" s="133"/>
      <c r="F161" s="89"/>
      <c r="G161" s="133"/>
      <c r="H161" s="89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4"/>
    </row>
    <row r="162" ht="30.0" customHeight="1">
      <c r="B162" s="136"/>
      <c r="C162" s="130"/>
      <c r="D162" s="130"/>
      <c r="E162" s="130"/>
      <c r="F162" s="89"/>
      <c r="G162" s="130"/>
      <c r="H162" s="89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1"/>
    </row>
    <row r="163" ht="30.0" customHeight="1">
      <c r="B163" s="152"/>
      <c r="C163" s="133"/>
      <c r="D163" s="133"/>
      <c r="E163" s="133"/>
      <c r="F163" s="89"/>
      <c r="G163" s="133"/>
      <c r="H163" s="89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4"/>
    </row>
    <row r="164" ht="30.0" customHeight="1">
      <c r="B164" s="140" t="str">
        <f>Octubre!MonthName&amp;" Total"</f>
        <v>Octubre Total</v>
      </c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1"/>
    </row>
    <row r="165" ht="30.0" customHeight="1">
      <c r="B165" s="136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4"/>
    </row>
    <row r="166" ht="30.0" customHeight="1">
      <c r="B166" s="136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1"/>
    </row>
    <row r="167" ht="30.0" customHeight="1">
      <c r="B167" s="136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4"/>
    </row>
    <row r="168" ht="30.0" customHeight="1">
      <c r="B168" s="136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1"/>
    </row>
    <row r="169" ht="30.0" customHeight="1">
      <c r="B169" s="136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4"/>
    </row>
    <row r="170" ht="30.0" customHeight="1">
      <c r="B170" s="136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1"/>
    </row>
    <row r="171" ht="30.0" customHeight="1">
      <c r="B171" s="136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4"/>
    </row>
    <row r="172" ht="30.0" customHeight="1">
      <c r="B172" s="136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1"/>
    </row>
    <row r="173" ht="30.0" customHeight="1">
      <c r="B173" s="136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4"/>
    </row>
    <row r="174" ht="30.0" customHeight="1">
      <c r="B174" s="140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53"/>
    </row>
    <row r="175" ht="30.0" customHeight="1"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</row>
    <row r="176" ht="30.0" customHeight="1">
      <c r="B176" s="155"/>
      <c r="C176" s="156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156"/>
      <c r="AH176" s="32"/>
    </row>
    <row r="177" ht="30.0" customHeight="1">
      <c r="B177" s="155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32"/>
    </row>
    <row r="178" ht="30.0" customHeight="1">
      <c r="B178" s="157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58"/>
    </row>
    <row r="179" ht="30.0" customHeight="1">
      <c r="B179" s="136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25"/>
    </row>
    <row r="180" ht="30.0" customHeight="1">
      <c r="B180" s="136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25"/>
    </row>
    <row r="181" ht="30.0" customHeight="1">
      <c r="B181" s="136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25"/>
    </row>
    <row r="182" ht="30.0" customHeight="1">
      <c r="B182" s="136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25"/>
    </row>
    <row r="183" ht="30.0" customHeight="1">
      <c r="B183" s="136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25"/>
    </row>
    <row r="184" ht="30.0" customHeight="1">
      <c r="B184" s="136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25"/>
    </row>
    <row r="185" ht="30.0" customHeight="1">
      <c r="B185" s="140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27"/>
    </row>
    <row r="186" ht="30.0" customHeight="1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</row>
    <row r="187" ht="30.0" customHeight="1">
      <c r="B187" s="155"/>
      <c r="C187" s="156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156"/>
      <c r="AH187" s="32"/>
    </row>
    <row r="188" ht="30.0" customHeight="1">
      <c r="B188" s="155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32"/>
    </row>
    <row r="189" ht="30.0" customHeight="1">
      <c r="B189" s="157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58"/>
    </row>
    <row r="190" ht="30.0" customHeight="1">
      <c r="B190" s="136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25"/>
    </row>
    <row r="191" ht="30.0" customHeight="1">
      <c r="B191" s="136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25"/>
    </row>
    <row r="192" ht="30.0" customHeight="1">
      <c r="B192" s="136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25"/>
    </row>
    <row r="193" ht="30.0" customHeight="1">
      <c r="B193" s="136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25"/>
    </row>
    <row r="194" ht="30.0" customHeight="1">
      <c r="B194" s="136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25"/>
    </row>
    <row r="195" ht="30.0" customHeight="1">
      <c r="B195" s="140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27"/>
    </row>
    <row r="196" ht="30.0" customHeight="1"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</row>
    <row r="197" ht="30.0" customHeight="1">
      <c r="B197" s="155"/>
      <c r="C197" s="156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156"/>
      <c r="AH197" s="32"/>
    </row>
    <row r="198" ht="30.0" customHeight="1">
      <c r="B198" s="155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32"/>
    </row>
    <row r="199" ht="30.0" customHeight="1">
      <c r="B199" s="157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58"/>
    </row>
    <row r="200" ht="30.0" customHeight="1">
      <c r="B200" s="136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25"/>
    </row>
    <row r="201" ht="30.0" customHeight="1">
      <c r="B201" s="136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25"/>
    </row>
    <row r="202" ht="30.0" customHeight="1">
      <c r="B202" s="136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25"/>
    </row>
    <row r="203" ht="30.0" customHeight="1">
      <c r="B203" s="136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25"/>
    </row>
    <row r="204" ht="30.0" customHeight="1">
      <c r="B204" s="136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25"/>
    </row>
    <row r="205" ht="30.0" customHeight="1">
      <c r="B205" s="140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27"/>
    </row>
    <row r="206" ht="30.0" customHeight="1"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</row>
    <row r="207" ht="30.0" customHeight="1">
      <c r="B207" s="155"/>
      <c r="C207" s="156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156"/>
      <c r="AH207" s="32"/>
    </row>
    <row r="208" ht="30.0" customHeight="1">
      <c r="B208" s="155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32"/>
    </row>
    <row r="209" ht="30.0" customHeight="1">
      <c r="B209" s="157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58"/>
    </row>
    <row r="210" ht="30.0" customHeight="1">
      <c r="B210" s="136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25"/>
    </row>
    <row r="211" ht="30.0" customHeight="1">
      <c r="B211" s="136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25"/>
    </row>
    <row r="212" ht="30.0" customHeight="1">
      <c r="B212" s="136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25"/>
    </row>
    <row r="213" ht="30.0" customHeight="1">
      <c r="B213" s="136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25"/>
    </row>
    <row r="214" ht="30.0" customHeight="1">
      <c r="B214" s="136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25"/>
    </row>
    <row r="215" ht="30.0" customHeight="1">
      <c r="B215" s="140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27"/>
    </row>
    <row r="216" ht="30.0" customHeight="1"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</row>
    <row r="217" ht="30.0" customHeight="1"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</row>
    <row r="218" ht="30.0" customHeight="1"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</row>
    <row r="219" ht="30.0" customHeight="1"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</row>
    <row r="220" ht="30.0" customHeight="1"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</row>
    <row r="221" ht="30.0" customHeight="1"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</row>
    <row r="222" ht="30.0" customHeight="1"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</row>
    <row r="223" ht="30.0" customHeight="1"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</row>
    <row r="224" ht="30.0" customHeight="1"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</row>
    <row r="225" ht="30.0" customHeight="1"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</row>
    <row r="226" ht="30.0" customHeight="1"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</row>
    <row r="227" ht="30.0" customHeight="1"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</row>
    <row r="228" ht="30.0" customHeight="1"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</row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  <row r="1023" ht="30.0" customHeight="1"/>
    <row r="1024" ht="30.0" customHeight="1"/>
    <row r="1025" ht="30.0" customHeight="1"/>
    <row r="1026" ht="30.0" customHeight="1"/>
    <row r="1027" ht="30.0" customHeight="1"/>
    <row r="1028" ht="30.0" customHeight="1"/>
    <row r="1029" ht="30.0" customHeight="1"/>
    <row r="1030" ht="30.0" customHeight="1"/>
    <row r="1031" ht="30.0" customHeight="1"/>
    <row r="1032" ht="30.0" customHeight="1"/>
    <row r="1033" ht="30.0" customHeight="1"/>
    <row r="1034" ht="30.0" customHeight="1"/>
    <row r="1035" ht="30.0" customHeight="1"/>
    <row r="1036" ht="30.0" customHeight="1"/>
    <row r="1037" ht="30.0" customHeight="1"/>
    <row r="1038" ht="30.0" customHeight="1"/>
    <row r="1039" ht="30.0" customHeight="1"/>
    <row r="1040" ht="30.0" customHeight="1"/>
    <row r="1041" ht="30.0" customHeight="1"/>
    <row r="1042" ht="30.0" customHeight="1"/>
    <row r="1043" ht="30.0" customHeight="1"/>
    <row r="1044" ht="30.0" customHeight="1"/>
    <row r="1045" ht="30.0" customHeight="1"/>
    <row r="1046" ht="30.0" customHeight="1"/>
    <row r="1047" ht="30.0" customHeight="1"/>
    <row r="1048" ht="30.0" customHeight="1"/>
    <row r="1049" ht="30.0" customHeight="1"/>
    <row r="1050" ht="30.0" customHeight="1"/>
    <row r="1051" ht="30.0" customHeight="1"/>
    <row r="1052" ht="30.0" customHeight="1"/>
    <row r="1053" ht="30.0" customHeight="1"/>
    <row r="1054" ht="30.0" customHeight="1"/>
    <row r="1055" ht="30.0" customHeight="1"/>
    <row r="1056" ht="30.0" customHeight="1"/>
    <row r="1057" ht="30.0" customHeight="1"/>
    <row r="1058" ht="30.0" customHeight="1"/>
    <row r="1059" ht="30.0" customHeight="1"/>
    <row r="1060" ht="30.0" customHeight="1"/>
    <row r="1061" ht="30.0" customHeight="1"/>
    <row r="1062" ht="30.0" customHeight="1"/>
    <row r="1063" ht="30.0" customHeight="1"/>
    <row r="1064" ht="30.0" customHeight="1"/>
    <row r="1065" ht="30.0" customHeight="1"/>
    <row r="1066" ht="30.0" customHeight="1"/>
    <row r="1067" ht="30.0" customHeight="1"/>
    <row r="1068" ht="30.0" customHeight="1"/>
    <row r="1069" ht="30.0" customHeight="1"/>
    <row r="1070" ht="30.0" customHeight="1"/>
    <row r="1071" ht="30.0" customHeight="1"/>
    <row r="1072" ht="30.0" customHeight="1"/>
    <row r="1073" ht="30.0" customHeight="1"/>
    <row r="1074" ht="30.0" customHeight="1"/>
    <row r="1075" ht="30.0" customHeight="1"/>
    <row r="1076" ht="30.0" customHeight="1"/>
    <row r="1077" ht="30.0" customHeight="1"/>
    <row r="1078" ht="30.0" customHeight="1"/>
    <row r="1079" ht="30.0" customHeight="1"/>
    <row r="1080" ht="30.0" customHeight="1"/>
    <row r="1081" ht="30.0" customHeight="1"/>
    <row r="1082" ht="30.0" customHeight="1"/>
    <row r="1083" ht="30.0" customHeight="1"/>
    <row r="1084" ht="30.0" customHeight="1"/>
    <row r="1085" ht="30.0" customHeight="1"/>
    <row r="1086" ht="30.0" customHeight="1"/>
    <row r="1087" ht="30.0" customHeight="1"/>
    <row r="1088" ht="30.0" customHeight="1"/>
    <row r="1089" ht="30.0" customHeight="1"/>
    <row r="1090" ht="30.0" customHeight="1"/>
    <row r="1091" ht="30.0" customHeight="1"/>
    <row r="1092" ht="30.0" customHeight="1"/>
    <row r="1093" ht="30.0" customHeight="1"/>
    <row r="1094" ht="30.0" customHeight="1"/>
    <row r="1095" ht="30.0" customHeight="1"/>
    <row r="1096" ht="30.0" customHeight="1"/>
    <row r="1097" ht="30.0" customHeight="1"/>
    <row r="1098" ht="30.0" customHeight="1"/>
    <row r="1099" ht="30.0" customHeight="1"/>
    <row r="1100" ht="30.0" customHeight="1"/>
    <row r="1101" ht="30.0" customHeight="1"/>
    <row r="1102" ht="30.0" customHeight="1"/>
    <row r="1103" ht="30.0" customHeight="1"/>
    <row r="1104" ht="30.0" customHeight="1"/>
    <row r="1105" ht="30.0" customHeight="1"/>
    <row r="1106" ht="30.0" customHeight="1"/>
    <row r="1107" ht="30.0" customHeight="1"/>
    <row r="1108" ht="30.0" customHeight="1"/>
    <row r="1109" ht="30.0" customHeight="1"/>
    <row r="1110" ht="30.0" customHeight="1"/>
    <row r="1111" ht="30.0" customHeight="1"/>
    <row r="1112" ht="30.0" customHeight="1"/>
    <row r="1113" ht="30.0" customHeight="1"/>
    <row r="1114" ht="30.0" customHeight="1"/>
    <row r="1115" ht="30.0" customHeight="1"/>
    <row r="1116" ht="30.0" customHeight="1"/>
    <row r="1117" ht="30.0" customHeight="1"/>
    <row r="1118" ht="30.0" customHeight="1"/>
    <row r="1119" ht="30.0" customHeight="1"/>
    <row r="1120" ht="30.0" customHeight="1"/>
    <row r="1121" ht="30.0" customHeight="1"/>
    <row r="1122" ht="30.0" customHeight="1"/>
    <row r="1123" ht="30.0" customHeight="1"/>
    <row r="1124" ht="30.0" customHeight="1"/>
    <row r="1125" ht="30.0" customHeight="1"/>
    <row r="1126" ht="30.0" customHeight="1"/>
    <row r="1127" ht="30.0" customHeight="1"/>
    <row r="1128" ht="30.0" customHeight="1"/>
    <row r="1129" ht="30.0" customHeight="1"/>
    <row r="1130" ht="30.0" customHeight="1"/>
    <row r="1131" ht="30.0" customHeight="1"/>
    <row r="1132" ht="30.0" customHeight="1"/>
    <row r="1133" ht="30.0" customHeight="1"/>
  </sheetData>
  <mergeCells count="19">
    <mergeCell ref="B1:N1"/>
    <mergeCell ref="D2:F2"/>
    <mergeCell ref="H2:J2"/>
    <mergeCell ref="L2:N2"/>
    <mergeCell ref="P2:S2"/>
    <mergeCell ref="U2:X2"/>
    <mergeCell ref="C4:AF4"/>
    <mergeCell ref="C156:AF156"/>
    <mergeCell ref="C176:AF176"/>
    <mergeCell ref="C187:AF187"/>
    <mergeCell ref="C197:AF197"/>
    <mergeCell ref="C207:AF207"/>
    <mergeCell ref="C14:AF14"/>
    <mergeCell ref="C27:AF27"/>
    <mergeCell ref="C51:AF51"/>
    <mergeCell ref="C80:AF80"/>
    <mergeCell ref="C105:AF105"/>
    <mergeCell ref="C123:AF123"/>
    <mergeCell ref="C141:AF141"/>
  </mergeCells>
  <conditionalFormatting sqref="C7:AG12 C17:AG26 B20 B22 C30:AG50 C54:AG79 C83:AG104 AH95:AH101 C108:AG122 AH109 AH111 AH113 AH115 AH117 C126:C139 D126:AG140 AH127 AH129 AH131 AH133 C144:AG155 AH145 AH147 AH149 C159:AG173 AH159 C179:AG184 C190:AG194 C200:AG204 C210:AG214">
    <cfRule type="expression" dxfId="5" priority="1" stopIfTrue="1">
      <formula>C7=""</formula>
    </cfRule>
  </conditionalFormatting>
  <dataValidations>
    <dataValidation type="list" allowBlank="1" showErrorMessage="1" sqref="B7:B11 B17:B22 B30:B46 B54:B75 B83:B101 B108:B119 B126:B137 B144:B151 B159:B163 B165:B173 B179:B184 B190:B192">
      <formula1>'Nombres de los alumnos '!$B$4:$B$1014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4B2A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2" width="4.71"/>
    <col customWidth="1" min="33" max="33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89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8" t="s">
        <v>408</v>
      </c>
      <c r="C4" s="80" t="s">
        <v>329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32">
        <f>CalendarioAño</f>
        <v>2025</v>
      </c>
    </row>
    <row r="5" ht="15.0" customHeight="1">
      <c r="B5" s="32"/>
      <c r="C5" s="16" t="str">
        <f>TEXT(WEEKDAY(DATE(CalendarioAño,8,9),1),"ddd")</f>
        <v>sáb</v>
      </c>
      <c r="D5" s="159" t="s">
        <v>367</v>
      </c>
      <c r="E5" s="159" t="s">
        <v>364</v>
      </c>
      <c r="F5" s="159" t="s">
        <v>365</v>
      </c>
      <c r="G5" s="16" t="str">
        <f>TEXT(WEEKDAY(DATE(CalendarioAño,8,6),1),"ddd")</f>
        <v>mié</v>
      </c>
      <c r="H5" s="16" t="str">
        <f>TEXT(WEEKDAY(DATE(CalendarioAño,8,7),1),"ddd")</f>
        <v>jue</v>
      </c>
      <c r="I5" s="159" t="s">
        <v>366</v>
      </c>
      <c r="J5" s="16" t="str">
        <f>TEXT(WEEKDAY(DATE(CalendarioAño,8,9),1),"ddd")</f>
        <v>sáb</v>
      </c>
      <c r="K5" s="159" t="s">
        <v>367</v>
      </c>
      <c r="L5" s="159" t="s">
        <v>364</v>
      </c>
      <c r="M5" s="159" t="s">
        <v>365</v>
      </c>
      <c r="N5" s="16" t="str">
        <f>TEXT(WEEKDAY(DATE(CalendarioAño,8,6),1),"ddd")</f>
        <v>mié</v>
      </c>
      <c r="O5" s="16" t="str">
        <f>TEXT(WEEKDAY(DATE(CalendarioAño,8,7),1),"ddd")</f>
        <v>jue</v>
      </c>
      <c r="P5" s="159" t="s">
        <v>366</v>
      </c>
      <c r="Q5" s="16" t="str">
        <f>TEXT(WEEKDAY(DATE(CalendarioAño,8,9),1),"ddd")</f>
        <v>sáb</v>
      </c>
      <c r="R5" s="159" t="s">
        <v>367</v>
      </c>
      <c r="S5" s="159" t="s">
        <v>364</v>
      </c>
      <c r="T5" s="159" t="s">
        <v>365</v>
      </c>
      <c r="U5" s="16" t="str">
        <f>TEXT(WEEKDAY(DATE(CalendarioAño,8,6),1),"ddd")</f>
        <v>mié</v>
      </c>
      <c r="V5" s="16" t="str">
        <f>TEXT(WEEKDAY(DATE(CalendarioAño,8,7),1),"ddd")</f>
        <v>jue</v>
      </c>
      <c r="W5" s="159" t="s">
        <v>366</v>
      </c>
      <c r="X5" s="16" t="str">
        <f>TEXT(WEEKDAY(DATE(CalendarioAño,8,9),1),"ddd")</f>
        <v>sáb</v>
      </c>
      <c r="Y5" s="159" t="s">
        <v>367</v>
      </c>
      <c r="Z5" s="159" t="s">
        <v>364</v>
      </c>
      <c r="AA5" s="159" t="s">
        <v>365</v>
      </c>
      <c r="AB5" s="16" t="str">
        <f>TEXT(WEEKDAY(DATE(CalendarioAño,8,6),1),"ddd")</f>
        <v>mié</v>
      </c>
      <c r="AC5" s="16" t="str">
        <f>TEXT(WEEKDAY(DATE(CalendarioAño,8,7),1),"ddd")</f>
        <v>jue</v>
      </c>
      <c r="AD5" s="159" t="s">
        <v>366</v>
      </c>
      <c r="AE5" s="16" t="str">
        <f>TEXT(WEEKDAY(DATE(CalendarioAño,8,9),1),"ddd")</f>
        <v>sáb</v>
      </c>
      <c r="AF5" s="159" t="s">
        <v>367</v>
      </c>
      <c r="AG5" s="32"/>
    </row>
    <row r="6" ht="15.0" customHeight="1">
      <c r="A6" s="115"/>
      <c r="B6" s="116" t="s">
        <v>202</v>
      </c>
      <c r="C6" s="164">
        <v>1.0</v>
      </c>
      <c r="D6" s="164">
        <v>2.0</v>
      </c>
      <c r="E6" s="164">
        <v>3.0</v>
      </c>
      <c r="F6" s="164">
        <v>4.0</v>
      </c>
      <c r="G6" s="164">
        <v>5.0</v>
      </c>
      <c r="H6" s="164">
        <v>6.0</v>
      </c>
      <c r="I6" s="164">
        <v>7.0</v>
      </c>
      <c r="J6" s="164">
        <v>8.0</v>
      </c>
      <c r="K6" s="164">
        <v>9.0</v>
      </c>
      <c r="L6" s="164">
        <v>10.0</v>
      </c>
      <c r="M6" s="117" t="s">
        <v>25</v>
      </c>
      <c r="N6" s="117" t="s">
        <v>26</v>
      </c>
      <c r="O6" s="117" t="s">
        <v>27</v>
      </c>
      <c r="P6" s="117" t="s">
        <v>28</v>
      </c>
      <c r="Q6" s="117" t="s">
        <v>29</v>
      </c>
      <c r="R6" s="117" t="s">
        <v>30</v>
      </c>
      <c r="S6" s="117" t="s">
        <v>31</v>
      </c>
      <c r="T6" s="117" t="s">
        <v>32</v>
      </c>
      <c r="U6" s="117" t="s">
        <v>33</v>
      </c>
      <c r="V6" s="117" t="s">
        <v>34</v>
      </c>
      <c r="W6" s="117" t="s">
        <v>35</v>
      </c>
      <c r="X6" s="117" t="s">
        <v>36</v>
      </c>
      <c r="Y6" s="117" t="s">
        <v>37</v>
      </c>
      <c r="Z6" s="117" t="s">
        <v>38</v>
      </c>
      <c r="AA6" s="117" t="s">
        <v>39</v>
      </c>
      <c r="AB6" s="117" t="s">
        <v>40</v>
      </c>
      <c r="AC6" s="117" t="s">
        <v>41</v>
      </c>
      <c r="AD6" s="117" t="s">
        <v>42</v>
      </c>
      <c r="AE6" s="117" t="s">
        <v>43</v>
      </c>
      <c r="AF6" s="117" t="s">
        <v>44</v>
      </c>
      <c r="AG6" s="117" t="s">
        <v>46</v>
      </c>
    </row>
    <row r="7" ht="30.0" customHeight="1">
      <c r="B7" s="11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5"/>
    </row>
    <row r="8" ht="30.0" customHeight="1">
      <c r="B8" s="118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5"/>
    </row>
    <row r="9" ht="30.0" customHeight="1">
      <c r="B9" s="118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5"/>
    </row>
    <row r="10" ht="30.0" customHeight="1">
      <c r="B10" s="8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5"/>
    </row>
    <row r="12" ht="30.0" customHeight="1">
      <c r="B12" s="127" t="str">
        <f>Noviembre!MonthName&amp;" Total"</f>
        <v>Noviembre Total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27"/>
    </row>
    <row r="13" ht="30.0" customHeight="1"/>
    <row r="14" ht="30.0" customHeight="1">
      <c r="B14" s="38" t="s">
        <v>408</v>
      </c>
      <c r="C14" s="80" t="s">
        <v>330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32">
        <f>CalendarioAño</f>
        <v>2025</v>
      </c>
    </row>
    <row r="15" ht="30.0" customHeight="1">
      <c r="B15" s="32"/>
      <c r="C15" s="16" t="str">
        <f>TEXT(WEEKDAY(DATE(CalendarioAño,8,9),1),"ddd")</f>
        <v>sáb</v>
      </c>
      <c r="D15" s="159" t="s">
        <v>367</v>
      </c>
      <c r="E15" s="159" t="s">
        <v>364</v>
      </c>
      <c r="F15" s="159" t="s">
        <v>365</v>
      </c>
      <c r="G15" s="16" t="str">
        <f>TEXT(WEEKDAY(DATE(CalendarioAño,8,6),1),"ddd")</f>
        <v>mié</v>
      </c>
      <c r="H15" s="16" t="str">
        <f>TEXT(WEEKDAY(DATE(CalendarioAño,8,7),1),"ddd")</f>
        <v>jue</v>
      </c>
      <c r="I15" s="159" t="s">
        <v>366</v>
      </c>
      <c r="J15" s="16" t="str">
        <f>TEXT(WEEKDAY(DATE(CalendarioAño,8,9),1),"ddd")</f>
        <v>sáb</v>
      </c>
      <c r="K15" s="159" t="s">
        <v>367</v>
      </c>
      <c r="L15" s="159" t="s">
        <v>364</v>
      </c>
      <c r="M15" s="159" t="s">
        <v>365</v>
      </c>
      <c r="N15" s="16" t="str">
        <f>TEXT(WEEKDAY(DATE(CalendarioAño,8,6),1),"ddd")</f>
        <v>mié</v>
      </c>
      <c r="O15" s="16" t="str">
        <f>TEXT(WEEKDAY(DATE(CalendarioAño,8,7),1),"ddd")</f>
        <v>jue</v>
      </c>
      <c r="P15" s="159" t="s">
        <v>366</v>
      </c>
      <c r="Q15" s="16" t="str">
        <f>TEXT(WEEKDAY(DATE(CalendarioAño,8,9),1),"ddd")</f>
        <v>sáb</v>
      </c>
      <c r="R15" s="159" t="s">
        <v>367</v>
      </c>
      <c r="S15" s="159" t="s">
        <v>364</v>
      </c>
      <c r="T15" s="159" t="s">
        <v>365</v>
      </c>
      <c r="U15" s="16" t="str">
        <f>TEXT(WEEKDAY(DATE(CalendarioAño,8,6),1),"ddd")</f>
        <v>mié</v>
      </c>
      <c r="V15" s="16" t="str">
        <f>TEXT(WEEKDAY(DATE(CalendarioAño,8,7),1),"ddd")</f>
        <v>jue</v>
      </c>
      <c r="W15" s="159" t="s">
        <v>366</v>
      </c>
      <c r="X15" s="16" t="str">
        <f>TEXT(WEEKDAY(DATE(CalendarioAño,8,9),1),"ddd")</f>
        <v>sáb</v>
      </c>
      <c r="Y15" s="159" t="s">
        <v>367</v>
      </c>
      <c r="Z15" s="159" t="s">
        <v>364</v>
      </c>
      <c r="AA15" s="159" t="s">
        <v>365</v>
      </c>
      <c r="AB15" s="16" t="str">
        <f>TEXT(WEEKDAY(DATE(CalendarioAño,8,6),1),"ddd")</f>
        <v>mié</v>
      </c>
      <c r="AC15" s="16" t="str">
        <f>TEXT(WEEKDAY(DATE(CalendarioAño,8,7),1),"ddd")</f>
        <v>jue</v>
      </c>
      <c r="AD15" s="159" t="s">
        <v>366</v>
      </c>
      <c r="AE15" s="16" t="str">
        <f>TEXT(WEEKDAY(DATE(CalendarioAño,8,9),1),"ddd")</f>
        <v>sáb</v>
      </c>
      <c r="AF15" s="159" t="s">
        <v>367</v>
      </c>
      <c r="AG15" s="32"/>
    </row>
    <row r="16" ht="30.0" customHeight="1">
      <c r="A16" s="115"/>
      <c r="B16" s="116" t="s">
        <v>202</v>
      </c>
      <c r="C16" s="164">
        <v>1.0</v>
      </c>
      <c r="D16" s="164">
        <v>2.0</v>
      </c>
      <c r="E16" s="164">
        <v>3.0</v>
      </c>
      <c r="F16" s="164">
        <v>4.0</v>
      </c>
      <c r="G16" s="164">
        <v>5.0</v>
      </c>
      <c r="H16" s="164">
        <v>6.0</v>
      </c>
      <c r="I16" s="164">
        <v>7.0</v>
      </c>
      <c r="J16" s="164">
        <v>8.0</v>
      </c>
      <c r="K16" s="164">
        <v>9.0</v>
      </c>
      <c r="L16" s="164">
        <v>10.0</v>
      </c>
      <c r="M16" s="117" t="s">
        <v>25</v>
      </c>
      <c r="N16" s="117" t="s">
        <v>26</v>
      </c>
      <c r="O16" s="117" t="s">
        <v>27</v>
      </c>
      <c r="P16" s="117" t="s">
        <v>28</v>
      </c>
      <c r="Q16" s="117" t="s">
        <v>29</v>
      </c>
      <c r="R16" s="117" t="s">
        <v>30</v>
      </c>
      <c r="S16" s="117" t="s">
        <v>31</v>
      </c>
      <c r="T16" s="117" t="s">
        <v>32</v>
      </c>
      <c r="U16" s="117" t="s">
        <v>33</v>
      </c>
      <c r="V16" s="117" t="s">
        <v>34</v>
      </c>
      <c r="W16" s="117" t="s">
        <v>35</v>
      </c>
      <c r="X16" s="117" t="s">
        <v>36</v>
      </c>
      <c r="Y16" s="117" t="s">
        <v>37</v>
      </c>
      <c r="Z16" s="117" t="s">
        <v>38</v>
      </c>
      <c r="AA16" s="117" t="s">
        <v>39</v>
      </c>
      <c r="AB16" s="117" t="s">
        <v>40</v>
      </c>
      <c r="AC16" s="117" t="s">
        <v>41</v>
      </c>
      <c r="AD16" s="117" t="s">
        <v>42</v>
      </c>
      <c r="AE16" s="117" t="s">
        <v>43</v>
      </c>
      <c r="AF16" s="117" t="s">
        <v>44</v>
      </c>
      <c r="AG16" s="117" t="s">
        <v>46</v>
      </c>
    </row>
    <row r="17" ht="30.0" customHeight="1">
      <c r="B17" s="129" t="s">
        <v>391</v>
      </c>
      <c r="C17" s="175"/>
      <c r="D17" s="130"/>
      <c r="E17" s="10" t="s">
        <v>6</v>
      </c>
      <c r="F17" s="130"/>
      <c r="G17" s="130"/>
      <c r="H17" s="10" t="s">
        <v>6</v>
      </c>
      <c r="I17" s="130"/>
      <c r="J17" s="130"/>
      <c r="K17" s="130"/>
      <c r="L17" s="10" t="s">
        <v>6</v>
      </c>
      <c r="M17" s="130"/>
      <c r="N17" s="130"/>
      <c r="O17" s="10" t="s">
        <v>6</v>
      </c>
      <c r="P17" s="130"/>
      <c r="Q17" s="117"/>
      <c r="R17" s="130"/>
      <c r="S17" s="10" t="s">
        <v>6</v>
      </c>
      <c r="T17" s="130"/>
      <c r="U17" s="130"/>
      <c r="V17" s="10" t="s">
        <v>6</v>
      </c>
      <c r="W17" s="130"/>
      <c r="X17" s="130"/>
      <c r="Y17" s="130"/>
      <c r="Z17" s="10" t="s">
        <v>6</v>
      </c>
      <c r="AA17" s="130"/>
      <c r="AB17" s="130"/>
      <c r="AC17" s="10" t="s">
        <v>6</v>
      </c>
      <c r="AD17" s="139"/>
      <c r="AE17" s="139"/>
      <c r="AF17" s="139"/>
      <c r="AG17" s="131"/>
    </row>
    <row r="18" ht="30.0" customHeight="1">
      <c r="B18" s="132" t="s">
        <v>388</v>
      </c>
      <c r="C18" s="117"/>
      <c r="D18" s="133"/>
      <c r="E18" s="10" t="s">
        <v>6</v>
      </c>
      <c r="F18" s="133"/>
      <c r="G18" s="133"/>
      <c r="H18" s="133"/>
      <c r="I18" s="133"/>
      <c r="J18" s="133"/>
      <c r="K18" s="133"/>
      <c r="L18" s="133"/>
      <c r="M18" s="10" t="s">
        <v>6</v>
      </c>
      <c r="N18" s="133"/>
      <c r="O18" s="133"/>
      <c r="P18" s="133"/>
      <c r="Q18" s="117"/>
      <c r="R18" s="133"/>
      <c r="S18" s="10" t="s">
        <v>6</v>
      </c>
      <c r="T18" s="133"/>
      <c r="U18" s="10" t="s">
        <v>6</v>
      </c>
      <c r="V18" s="133"/>
      <c r="W18" s="133"/>
      <c r="X18" s="133"/>
      <c r="Y18" s="133"/>
      <c r="Z18" s="10" t="s">
        <v>6</v>
      </c>
      <c r="AA18" s="133"/>
      <c r="AB18" s="10" t="s">
        <v>6</v>
      </c>
      <c r="AC18" s="133"/>
      <c r="AD18" s="133"/>
      <c r="AE18" s="133"/>
      <c r="AF18" s="128"/>
      <c r="AG18" s="134"/>
    </row>
    <row r="19" ht="30.0" customHeight="1">
      <c r="B19" s="129" t="s">
        <v>389</v>
      </c>
      <c r="C19" s="175"/>
      <c r="D19" s="139"/>
      <c r="E19" s="10" t="s">
        <v>6</v>
      </c>
      <c r="F19" s="139"/>
      <c r="G19" s="139"/>
      <c r="H19" s="139"/>
      <c r="I19" s="139"/>
      <c r="J19" s="139"/>
      <c r="K19" s="139"/>
      <c r="L19" s="139"/>
      <c r="M19" s="10" t="s">
        <v>6</v>
      </c>
      <c r="N19" s="139"/>
      <c r="O19" s="139"/>
      <c r="P19" s="139"/>
      <c r="Q19" s="175"/>
      <c r="R19" s="139"/>
      <c r="S19" s="10" t="s">
        <v>6</v>
      </c>
      <c r="T19" s="139"/>
      <c r="U19" s="10" t="s">
        <v>6</v>
      </c>
      <c r="V19" s="139"/>
      <c r="W19" s="139"/>
      <c r="X19" s="139"/>
      <c r="Y19" s="139"/>
      <c r="Z19" s="10" t="s">
        <v>6</v>
      </c>
      <c r="AA19" s="139"/>
      <c r="AB19" s="10" t="s">
        <v>6</v>
      </c>
      <c r="AC19" s="139"/>
      <c r="AD19" s="139"/>
      <c r="AE19" s="139"/>
      <c r="AF19" s="139"/>
      <c r="AG19" s="131"/>
    </row>
    <row r="20" ht="30.0" customHeight="1">
      <c r="B20" s="135" t="s">
        <v>387</v>
      </c>
      <c r="C20" s="175"/>
      <c r="D20" s="128"/>
      <c r="E20" s="128"/>
      <c r="F20" s="10" t="s">
        <v>6</v>
      </c>
      <c r="G20" s="128"/>
      <c r="H20" s="10" t="s">
        <v>6</v>
      </c>
      <c r="I20" s="128"/>
      <c r="J20" s="128"/>
      <c r="K20" s="128"/>
      <c r="L20" s="128"/>
      <c r="M20" s="10" t="s">
        <v>6</v>
      </c>
      <c r="N20" s="128"/>
      <c r="O20" s="10" t="s">
        <v>6</v>
      </c>
      <c r="P20" s="128"/>
      <c r="Q20" s="175"/>
      <c r="R20" s="128"/>
      <c r="S20" s="128"/>
      <c r="T20" s="128"/>
      <c r="U20" s="128"/>
      <c r="V20" s="10" t="s">
        <v>6</v>
      </c>
      <c r="W20" s="128"/>
      <c r="X20" s="128"/>
      <c r="Y20" s="128"/>
      <c r="Z20" s="128"/>
      <c r="AA20" s="10" t="s">
        <v>6</v>
      </c>
      <c r="AB20" s="128"/>
      <c r="AC20" s="10" t="s">
        <v>6</v>
      </c>
      <c r="AD20" s="128"/>
      <c r="AE20" s="128"/>
      <c r="AF20" s="128"/>
      <c r="AG20" s="134"/>
    </row>
    <row r="21" ht="30.0" customHeight="1">
      <c r="B21" s="138" t="s">
        <v>409</v>
      </c>
      <c r="C21" s="117"/>
      <c r="D21" s="130"/>
      <c r="E21" s="130"/>
      <c r="F21" s="10" t="s">
        <v>6</v>
      </c>
      <c r="G21" s="130"/>
      <c r="H21" s="130"/>
      <c r="I21" s="130"/>
      <c r="J21" s="130"/>
      <c r="K21" s="130"/>
      <c r="L21" s="130"/>
      <c r="M21" s="10" t="s">
        <v>6</v>
      </c>
      <c r="N21" s="130"/>
      <c r="O21" s="130"/>
      <c r="P21" s="130"/>
      <c r="Q21" s="117"/>
      <c r="R21" s="130"/>
      <c r="S21" s="130"/>
      <c r="T21" s="130"/>
      <c r="U21" s="130"/>
      <c r="V21" s="10" t="s">
        <v>6</v>
      </c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</row>
    <row r="22" ht="30.0" customHeight="1">
      <c r="B22" s="135" t="s">
        <v>390</v>
      </c>
      <c r="C22" s="175"/>
      <c r="D22" s="128"/>
      <c r="E22" s="128"/>
      <c r="F22" s="128"/>
      <c r="G22" s="128"/>
      <c r="H22" s="10" t="s">
        <v>6</v>
      </c>
      <c r="I22" s="128"/>
      <c r="J22" s="10" t="s">
        <v>6</v>
      </c>
      <c r="K22" s="128"/>
      <c r="L22" s="128"/>
      <c r="M22" s="128"/>
      <c r="N22" s="128"/>
      <c r="O22" s="128"/>
      <c r="P22" s="128"/>
      <c r="Q22" s="175"/>
      <c r="R22" s="128"/>
      <c r="S22" s="10" t="s">
        <v>6</v>
      </c>
      <c r="T22" s="128"/>
      <c r="U22" s="128"/>
      <c r="V22" s="128"/>
      <c r="W22" s="10" t="s">
        <v>6</v>
      </c>
      <c r="X22" s="128"/>
      <c r="Y22" s="128"/>
      <c r="Z22" s="10" t="s">
        <v>6</v>
      </c>
      <c r="AA22" s="128"/>
      <c r="AB22" s="128"/>
      <c r="AC22" s="128"/>
      <c r="AD22" s="10" t="s">
        <v>6</v>
      </c>
      <c r="AE22" s="128"/>
      <c r="AF22" s="128"/>
      <c r="AG22" s="128"/>
    </row>
    <row r="23" ht="30.0" customHeight="1">
      <c r="B23" s="138" t="s">
        <v>410</v>
      </c>
      <c r="C23" s="175"/>
      <c r="D23" s="139"/>
      <c r="E23" s="139"/>
      <c r="F23" s="139"/>
      <c r="G23" s="139"/>
      <c r="H23" s="139"/>
      <c r="I23" s="139"/>
      <c r="J23" s="10" t="s">
        <v>6</v>
      </c>
      <c r="K23" s="139"/>
      <c r="L23" s="139"/>
      <c r="M23" s="139"/>
      <c r="N23" s="10" t="s">
        <v>6</v>
      </c>
      <c r="O23" s="139"/>
      <c r="P23" s="139"/>
      <c r="Q23" s="175"/>
      <c r="R23" s="139"/>
      <c r="S23" s="139"/>
      <c r="T23" s="139"/>
      <c r="U23" s="139"/>
      <c r="V23" s="139"/>
      <c r="W23" s="139"/>
      <c r="X23" s="10" t="s">
        <v>6</v>
      </c>
      <c r="Y23" s="139"/>
      <c r="Z23" s="139"/>
      <c r="AA23" s="139"/>
      <c r="AB23" s="139"/>
      <c r="AC23" s="139"/>
      <c r="AD23" s="139"/>
      <c r="AE23" s="139"/>
      <c r="AF23" s="139"/>
      <c r="AG23" s="139"/>
    </row>
    <row r="24" ht="30.0" customHeight="1">
      <c r="B24" s="135" t="s">
        <v>411</v>
      </c>
      <c r="C24" s="175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0" t="s">
        <v>6</v>
      </c>
      <c r="O24" s="128"/>
      <c r="P24" s="10" t="s">
        <v>6</v>
      </c>
      <c r="Q24" s="175"/>
      <c r="R24" s="128"/>
      <c r="S24" s="128"/>
      <c r="T24" s="128"/>
      <c r="U24" s="10" t="s">
        <v>6</v>
      </c>
      <c r="V24" s="128"/>
      <c r="W24" s="10" t="s">
        <v>6</v>
      </c>
      <c r="X24" s="128"/>
      <c r="Y24" s="128"/>
      <c r="Z24" s="128"/>
      <c r="AA24" s="128"/>
      <c r="AB24" s="10" t="s">
        <v>6</v>
      </c>
      <c r="AC24" s="128"/>
      <c r="AD24" s="10" t="s">
        <v>6</v>
      </c>
      <c r="AE24" s="128"/>
      <c r="AF24" s="128"/>
      <c r="AG24" s="128"/>
    </row>
    <row r="25" ht="30.0" customHeight="1">
      <c r="B25" s="138" t="s">
        <v>412</v>
      </c>
      <c r="C25" s="175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75"/>
      <c r="R25" s="139"/>
      <c r="S25" s="10" t="s">
        <v>6</v>
      </c>
      <c r="T25" s="139"/>
      <c r="U25" s="139"/>
      <c r="V25" s="10" t="s">
        <v>6</v>
      </c>
      <c r="W25" s="139"/>
      <c r="X25" s="139"/>
      <c r="Y25" s="139"/>
      <c r="Z25" s="139"/>
      <c r="AA25" s="139"/>
      <c r="AB25" s="139"/>
      <c r="AC25" s="10" t="s">
        <v>6</v>
      </c>
      <c r="AD25" s="139"/>
      <c r="AE25" s="139"/>
      <c r="AF25" s="139"/>
      <c r="AG25" s="139"/>
    </row>
    <row r="26" ht="30.0" customHeight="1">
      <c r="B26" s="135" t="s">
        <v>413</v>
      </c>
      <c r="C26" s="175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75"/>
      <c r="R26" s="128"/>
      <c r="S26" s="128"/>
      <c r="T26" s="10" t="s">
        <v>6</v>
      </c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0" t="s">
        <v>6</v>
      </c>
      <c r="AF26" s="128"/>
      <c r="AG26" s="128"/>
    </row>
    <row r="27" ht="30.0" customHeight="1">
      <c r="B27" s="138" t="s">
        <v>414</v>
      </c>
      <c r="C27" s="175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75"/>
      <c r="R27" s="139"/>
      <c r="S27" s="139"/>
      <c r="T27" s="139"/>
      <c r="U27" s="10" t="s">
        <v>6</v>
      </c>
      <c r="V27" s="139"/>
      <c r="W27" s="139"/>
      <c r="X27" s="10" t="s">
        <v>6</v>
      </c>
      <c r="Y27" s="139"/>
      <c r="Z27" s="139"/>
      <c r="AA27" s="139"/>
      <c r="AB27" s="10" t="s">
        <v>6</v>
      </c>
      <c r="AC27" s="139"/>
      <c r="AD27" s="139"/>
      <c r="AE27" s="10" t="s">
        <v>6</v>
      </c>
      <c r="AF27" s="139"/>
      <c r="AG27" s="139"/>
    </row>
    <row r="28" ht="30.0" customHeight="1">
      <c r="B28" s="127"/>
      <c r="C28" s="175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75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</row>
    <row r="29" ht="30.0" customHeight="1">
      <c r="B29" s="140"/>
      <c r="C29" s="175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7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</row>
    <row r="30" ht="30.0" customHeight="1">
      <c r="B30" s="127" t="str">
        <f>Noviembre!MonthName&amp;" Total"</f>
        <v>Noviembre Total</v>
      </c>
      <c r="C30" s="175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75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</row>
    <row r="31" ht="30.0" customHeight="1"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4"/>
    </row>
    <row r="32" ht="30.0" customHeight="1">
      <c r="B32" s="38" t="s">
        <v>408</v>
      </c>
      <c r="C32" s="80" t="s">
        <v>331</v>
      </c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32">
        <f>CalendarioAño</f>
        <v>2025</v>
      </c>
    </row>
    <row r="33" ht="30.0" customHeight="1">
      <c r="B33" s="32"/>
      <c r="C33" s="130" t="str">
        <f>TEXT(WEEKDAY(DATE(CalendarioAño,8,9),1),"ddd")</f>
        <v>sáb</v>
      </c>
      <c r="D33" s="161" t="s">
        <v>367</v>
      </c>
      <c r="E33" s="161" t="s">
        <v>364</v>
      </c>
      <c r="F33" s="161" t="s">
        <v>365</v>
      </c>
      <c r="G33" s="130" t="str">
        <f>TEXT(WEEKDAY(DATE(CalendarioAño,8,6),1),"ddd")</f>
        <v>mié</v>
      </c>
      <c r="H33" s="130" t="str">
        <f>TEXT(WEEKDAY(DATE(CalendarioAño,8,7),1),"ddd")</f>
        <v>jue</v>
      </c>
      <c r="I33" s="161" t="s">
        <v>366</v>
      </c>
      <c r="J33" s="130" t="str">
        <f>TEXT(WEEKDAY(DATE(CalendarioAño,8,9),1),"ddd")</f>
        <v>sáb</v>
      </c>
      <c r="K33" s="161" t="s">
        <v>367</v>
      </c>
      <c r="L33" s="161" t="s">
        <v>364</v>
      </c>
      <c r="M33" s="161" t="s">
        <v>365</v>
      </c>
      <c r="N33" s="130" t="str">
        <f>TEXT(WEEKDAY(DATE(CalendarioAño,8,6),1),"ddd")</f>
        <v>mié</v>
      </c>
      <c r="O33" s="130" t="str">
        <f>TEXT(WEEKDAY(DATE(CalendarioAño,8,7),1),"ddd")</f>
        <v>jue</v>
      </c>
      <c r="P33" s="161" t="s">
        <v>366</v>
      </c>
      <c r="Q33" s="130" t="str">
        <f>TEXT(WEEKDAY(DATE(CalendarioAño,8,9),1),"ddd")</f>
        <v>sáb</v>
      </c>
      <c r="R33" s="161" t="s">
        <v>367</v>
      </c>
      <c r="S33" s="161" t="s">
        <v>364</v>
      </c>
      <c r="T33" s="161" t="s">
        <v>365</v>
      </c>
      <c r="U33" s="130" t="str">
        <f>TEXT(WEEKDAY(DATE(CalendarioAño,8,6),1),"ddd")</f>
        <v>mié</v>
      </c>
      <c r="V33" s="130" t="str">
        <f>TEXT(WEEKDAY(DATE(CalendarioAño,8,7),1),"ddd")</f>
        <v>jue</v>
      </c>
      <c r="W33" s="161" t="s">
        <v>366</v>
      </c>
      <c r="X33" s="130" t="str">
        <f>TEXT(WEEKDAY(DATE(CalendarioAño,8,9),1),"ddd")</f>
        <v>sáb</v>
      </c>
      <c r="Y33" s="161" t="s">
        <v>367</v>
      </c>
      <c r="Z33" s="161" t="s">
        <v>364</v>
      </c>
      <c r="AA33" s="161" t="s">
        <v>365</v>
      </c>
      <c r="AB33" s="130" t="str">
        <f>TEXT(WEEKDAY(DATE(CalendarioAño,8,6),1),"ddd")</f>
        <v>mié</v>
      </c>
      <c r="AC33" s="130" t="str">
        <f>TEXT(WEEKDAY(DATE(CalendarioAño,8,7),1),"ddd")</f>
        <v>jue</v>
      </c>
      <c r="AD33" s="161" t="s">
        <v>366</v>
      </c>
      <c r="AE33" s="130" t="str">
        <f>TEXT(WEEKDAY(DATE(CalendarioAño,8,9),1),"ddd")</f>
        <v>sáb</v>
      </c>
      <c r="AF33" s="161" t="s">
        <v>367</v>
      </c>
      <c r="AG33" s="32"/>
    </row>
    <row r="34" ht="30.0" customHeight="1">
      <c r="A34" s="115"/>
      <c r="B34" s="116" t="s">
        <v>202</v>
      </c>
      <c r="C34" s="164">
        <v>1.0</v>
      </c>
      <c r="D34" s="164">
        <v>2.0</v>
      </c>
      <c r="E34" s="164">
        <v>3.0</v>
      </c>
      <c r="F34" s="164">
        <v>4.0</v>
      </c>
      <c r="G34" s="164">
        <v>5.0</v>
      </c>
      <c r="H34" s="164">
        <v>6.0</v>
      </c>
      <c r="I34" s="164">
        <v>7.0</v>
      </c>
      <c r="J34" s="164">
        <v>8.0</v>
      </c>
      <c r="K34" s="164">
        <v>9.0</v>
      </c>
      <c r="L34" s="164">
        <v>10.0</v>
      </c>
      <c r="M34" s="117" t="s">
        <v>25</v>
      </c>
      <c r="N34" s="117" t="s">
        <v>26</v>
      </c>
      <c r="O34" s="117" t="s">
        <v>27</v>
      </c>
      <c r="P34" s="117" t="s">
        <v>28</v>
      </c>
      <c r="Q34" s="117" t="s">
        <v>29</v>
      </c>
      <c r="R34" s="117" t="s">
        <v>30</v>
      </c>
      <c r="S34" s="117" t="s">
        <v>31</v>
      </c>
      <c r="T34" s="117" t="s">
        <v>32</v>
      </c>
      <c r="U34" s="117" t="s">
        <v>33</v>
      </c>
      <c r="V34" s="117" t="s">
        <v>34</v>
      </c>
      <c r="W34" s="117" t="s">
        <v>35</v>
      </c>
      <c r="X34" s="117" t="s">
        <v>36</v>
      </c>
      <c r="Y34" s="117" t="s">
        <v>37</v>
      </c>
      <c r="Z34" s="117" t="s">
        <v>38</v>
      </c>
      <c r="AA34" s="117" t="s">
        <v>39</v>
      </c>
      <c r="AB34" s="117" t="s">
        <v>40</v>
      </c>
      <c r="AC34" s="117" t="s">
        <v>41</v>
      </c>
      <c r="AD34" s="117" t="s">
        <v>42</v>
      </c>
      <c r="AE34" s="117" t="s">
        <v>43</v>
      </c>
      <c r="AF34" s="117" t="s">
        <v>44</v>
      </c>
      <c r="AG34" s="117" t="s">
        <v>46</v>
      </c>
    </row>
    <row r="35" ht="30.0" customHeight="1">
      <c r="B35" s="129" t="s">
        <v>394</v>
      </c>
      <c r="C35" s="117"/>
      <c r="D35" s="130"/>
      <c r="E35" s="10" t="s">
        <v>6</v>
      </c>
      <c r="F35" s="10" t="s">
        <v>6</v>
      </c>
      <c r="G35" s="10" t="s">
        <v>6</v>
      </c>
      <c r="H35" s="130"/>
      <c r="I35" s="10" t="s">
        <v>6</v>
      </c>
      <c r="J35" s="130"/>
      <c r="K35" s="130"/>
      <c r="L35" s="130"/>
      <c r="M35" s="130"/>
      <c r="N35" s="10" t="s">
        <v>6</v>
      </c>
      <c r="O35" s="130"/>
      <c r="P35" s="10" t="s">
        <v>6</v>
      </c>
      <c r="Q35" s="117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1"/>
    </row>
    <row r="36" ht="30.0" customHeight="1">
      <c r="B36" s="132" t="s">
        <v>350</v>
      </c>
      <c r="C36" s="117"/>
      <c r="D36" s="133"/>
      <c r="E36" s="133"/>
      <c r="F36" s="10" t="s">
        <v>6</v>
      </c>
      <c r="G36" s="133"/>
      <c r="H36" s="10" t="s">
        <v>6</v>
      </c>
      <c r="I36" s="133"/>
      <c r="J36" s="133"/>
      <c r="K36" s="133"/>
      <c r="L36" s="133"/>
      <c r="M36" s="133"/>
      <c r="N36" s="10" t="s">
        <v>6</v>
      </c>
      <c r="O36" s="133"/>
      <c r="P36" s="10" t="s">
        <v>6</v>
      </c>
      <c r="Q36" s="117"/>
      <c r="R36" s="133"/>
      <c r="S36" s="133"/>
      <c r="T36" s="10" t="s">
        <v>6</v>
      </c>
      <c r="U36" s="133"/>
      <c r="V36" s="10" t="s">
        <v>6</v>
      </c>
      <c r="W36" s="133"/>
      <c r="X36" s="133"/>
      <c r="Y36" s="133"/>
      <c r="Z36" s="133"/>
      <c r="AA36" s="133"/>
      <c r="AB36" s="10" t="s">
        <v>6</v>
      </c>
      <c r="AC36" s="133"/>
      <c r="AD36" s="133"/>
      <c r="AE36" s="133"/>
      <c r="AF36" s="128"/>
      <c r="AG36" s="134"/>
    </row>
    <row r="37" ht="30.0" customHeight="1">
      <c r="B37" s="129" t="s">
        <v>274</v>
      </c>
      <c r="C37" s="117"/>
      <c r="D37" s="130"/>
      <c r="E37" s="130"/>
      <c r="F37" s="10" t="s">
        <v>6</v>
      </c>
      <c r="G37" s="130"/>
      <c r="H37" s="10" t="s">
        <v>6</v>
      </c>
      <c r="I37" s="130"/>
      <c r="J37" s="130"/>
      <c r="K37" s="130"/>
      <c r="L37" s="10" t="s">
        <v>6</v>
      </c>
      <c r="M37" s="130"/>
      <c r="N37" s="130"/>
      <c r="O37" s="130"/>
      <c r="P37" s="130"/>
      <c r="Q37" s="117"/>
      <c r="R37" s="130"/>
      <c r="S37" s="10" t="s">
        <v>6</v>
      </c>
      <c r="T37" s="130"/>
      <c r="U37" s="130"/>
      <c r="V37" s="130"/>
      <c r="W37" s="130"/>
      <c r="X37" s="130"/>
      <c r="Y37" s="130"/>
      <c r="Z37" s="10" t="s">
        <v>6</v>
      </c>
      <c r="AA37" s="130"/>
      <c r="AB37" s="10" t="s">
        <v>6</v>
      </c>
      <c r="AC37" s="130"/>
      <c r="AD37" s="130"/>
      <c r="AE37" s="130"/>
      <c r="AF37" s="130"/>
      <c r="AG37" s="131"/>
    </row>
    <row r="38" ht="30.0" customHeight="1">
      <c r="B38" s="135" t="s">
        <v>395</v>
      </c>
      <c r="C38" s="117"/>
      <c r="D38" s="133"/>
      <c r="E38" s="133"/>
      <c r="F38" s="10" t="s">
        <v>6</v>
      </c>
      <c r="G38" s="133"/>
      <c r="H38" s="133"/>
      <c r="I38" s="10" t="s">
        <v>6</v>
      </c>
      <c r="J38" s="133"/>
      <c r="K38" s="133"/>
      <c r="L38" s="133"/>
      <c r="M38" s="133"/>
      <c r="N38" s="10" t="s">
        <v>6</v>
      </c>
      <c r="O38" s="133"/>
      <c r="P38" s="10" t="s">
        <v>6</v>
      </c>
      <c r="Q38" s="117"/>
      <c r="R38" s="133"/>
      <c r="S38" s="133"/>
      <c r="T38" s="10" t="s">
        <v>6</v>
      </c>
      <c r="U38" s="133"/>
      <c r="V38" s="133"/>
      <c r="W38" s="10" t="s">
        <v>6</v>
      </c>
      <c r="X38" s="133"/>
      <c r="Y38" s="133"/>
      <c r="Z38" s="133"/>
      <c r="AA38" s="10" t="s">
        <v>6</v>
      </c>
      <c r="AB38" s="133"/>
      <c r="AC38" s="133"/>
      <c r="AD38" s="133"/>
      <c r="AE38" s="133"/>
      <c r="AF38" s="128"/>
      <c r="AG38" s="134"/>
    </row>
    <row r="39" ht="30.0" customHeight="1">
      <c r="B39" s="138" t="s">
        <v>415</v>
      </c>
      <c r="C39" s="117"/>
      <c r="D39" s="130"/>
      <c r="E39" s="130"/>
      <c r="F39" s="10" t="s">
        <v>6</v>
      </c>
      <c r="G39" s="130"/>
      <c r="H39" s="10" t="s">
        <v>6</v>
      </c>
      <c r="I39" s="130"/>
      <c r="J39" s="130"/>
      <c r="K39" s="130"/>
      <c r="L39" s="130"/>
      <c r="M39" s="130"/>
      <c r="N39" s="130"/>
      <c r="O39" s="130"/>
      <c r="P39" s="130"/>
      <c r="Q39" s="117"/>
      <c r="R39" s="130"/>
      <c r="S39" s="130"/>
      <c r="T39" s="130"/>
      <c r="U39" s="10" t="s">
        <v>6</v>
      </c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1"/>
    </row>
    <row r="40" ht="30.0" customHeight="1">
      <c r="B40" s="135" t="s">
        <v>398</v>
      </c>
      <c r="C40" s="117"/>
      <c r="D40" s="133"/>
      <c r="E40" s="133"/>
      <c r="F40" s="133"/>
      <c r="G40" s="10" t="s">
        <v>6</v>
      </c>
      <c r="H40" s="133"/>
      <c r="I40" s="133"/>
      <c r="J40" s="10" t="s">
        <v>6</v>
      </c>
      <c r="K40" s="133"/>
      <c r="L40" s="133"/>
      <c r="M40" s="133"/>
      <c r="N40" s="133"/>
      <c r="O40" s="10" t="s">
        <v>6</v>
      </c>
      <c r="P40" s="133"/>
      <c r="Q40" s="117"/>
      <c r="R40" s="133"/>
      <c r="S40" s="133"/>
      <c r="T40" s="133"/>
      <c r="U40" s="10" t="s">
        <v>6</v>
      </c>
      <c r="V40" s="133"/>
      <c r="W40" s="133"/>
      <c r="X40" s="10" t="s">
        <v>6</v>
      </c>
      <c r="Y40" s="133"/>
      <c r="Z40" s="133"/>
      <c r="AA40" s="133"/>
      <c r="AB40" s="10" t="s">
        <v>6</v>
      </c>
      <c r="AC40" s="133"/>
      <c r="AD40" s="10" t="s">
        <v>6</v>
      </c>
      <c r="AE40" s="10" t="s">
        <v>6</v>
      </c>
      <c r="AF40" s="128"/>
      <c r="AG40" s="134"/>
    </row>
    <row r="41" ht="30.0" customHeight="1">
      <c r="B41" s="138" t="s">
        <v>369</v>
      </c>
      <c r="C41" s="117"/>
      <c r="D41" s="130"/>
      <c r="E41" s="130"/>
      <c r="F41" s="130"/>
      <c r="G41" s="10" t="s">
        <v>6</v>
      </c>
      <c r="H41" s="130"/>
      <c r="I41" s="130"/>
      <c r="J41" s="10" t="s">
        <v>6</v>
      </c>
      <c r="K41" s="130"/>
      <c r="L41" s="130"/>
      <c r="M41" s="130"/>
      <c r="N41" s="130"/>
      <c r="O41" s="130"/>
      <c r="P41" s="10" t="s">
        <v>6</v>
      </c>
      <c r="Q41" s="117"/>
      <c r="R41" s="130"/>
      <c r="S41" s="130"/>
      <c r="T41" s="130"/>
      <c r="U41" s="10" t="s">
        <v>6</v>
      </c>
      <c r="V41" s="130"/>
      <c r="W41" s="10" t="s">
        <v>6</v>
      </c>
      <c r="X41" s="130"/>
      <c r="Y41" s="130"/>
      <c r="Z41" s="130"/>
      <c r="AA41" s="130"/>
      <c r="AB41" s="10" t="s">
        <v>6</v>
      </c>
      <c r="AC41" s="130"/>
      <c r="AD41" s="130"/>
      <c r="AE41" s="130"/>
      <c r="AF41" s="130"/>
      <c r="AG41" s="130"/>
    </row>
    <row r="42" ht="30.0" customHeight="1">
      <c r="B42" s="135" t="s">
        <v>416</v>
      </c>
      <c r="C42" s="117"/>
      <c r="D42" s="133"/>
      <c r="E42" s="133"/>
      <c r="F42" s="133"/>
      <c r="G42" s="133"/>
      <c r="H42" s="133"/>
      <c r="I42" s="10" t="s">
        <v>6</v>
      </c>
      <c r="J42" s="10" t="s">
        <v>6</v>
      </c>
      <c r="K42" s="133"/>
      <c r="L42" s="133"/>
      <c r="M42" s="133"/>
      <c r="N42" s="10" t="s">
        <v>6</v>
      </c>
      <c r="O42" s="133"/>
      <c r="P42" s="10" t="s">
        <v>6</v>
      </c>
      <c r="Q42" s="117"/>
      <c r="R42" s="133"/>
      <c r="S42" s="133"/>
      <c r="T42" s="133"/>
      <c r="U42" s="10" t="s">
        <v>6</v>
      </c>
      <c r="V42" s="133"/>
      <c r="W42" s="10" t="s">
        <v>6</v>
      </c>
      <c r="X42" s="133"/>
      <c r="Y42" s="133"/>
      <c r="Z42" s="133"/>
      <c r="AA42" s="133"/>
      <c r="AB42" s="10" t="s">
        <v>6</v>
      </c>
      <c r="AC42" s="133"/>
      <c r="AD42" s="133"/>
      <c r="AE42" s="10" t="s">
        <v>6</v>
      </c>
      <c r="AF42" s="128"/>
      <c r="AG42" s="128"/>
    </row>
    <row r="43" ht="30.0" customHeight="1">
      <c r="B43" s="138" t="s">
        <v>265</v>
      </c>
      <c r="C43" s="175"/>
      <c r="D43" s="130"/>
      <c r="E43" s="130"/>
      <c r="F43" s="130"/>
      <c r="G43" s="130"/>
      <c r="H43" s="130"/>
      <c r="I43" s="10" t="s">
        <v>6</v>
      </c>
      <c r="J43" s="130"/>
      <c r="K43" s="130"/>
      <c r="L43" s="130"/>
      <c r="M43" s="130"/>
      <c r="N43" s="130"/>
      <c r="O43" s="130"/>
      <c r="P43" s="10" t="s">
        <v>6</v>
      </c>
      <c r="Q43" s="117"/>
      <c r="R43" s="130"/>
      <c r="S43" s="130"/>
      <c r="T43" s="130"/>
      <c r="U43" s="130"/>
      <c r="V43" s="130"/>
      <c r="W43" s="10" t="s">
        <v>6</v>
      </c>
      <c r="X43" s="130"/>
      <c r="Y43" s="130"/>
      <c r="Z43" s="130"/>
      <c r="AA43" s="130"/>
      <c r="AB43" s="130"/>
      <c r="AC43" s="139"/>
      <c r="AD43" s="139"/>
      <c r="AE43" s="139"/>
      <c r="AF43" s="139"/>
      <c r="AG43" s="139"/>
    </row>
    <row r="44" ht="30.0" customHeight="1">
      <c r="B44" s="135" t="s">
        <v>266</v>
      </c>
      <c r="C44" s="117"/>
      <c r="D44" s="133"/>
      <c r="E44" s="133"/>
      <c r="F44" s="133"/>
      <c r="G44" s="133"/>
      <c r="H44" s="10" t="s">
        <v>6</v>
      </c>
      <c r="I44" s="10" t="s">
        <v>6</v>
      </c>
      <c r="J44" s="133"/>
      <c r="K44" s="133"/>
      <c r="L44" s="133"/>
      <c r="M44" s="133"/>
      <c r="N44" s="10" t="s">
        <v>6</v>
      </c>
      <c r="O44" s="133"/>
      <c r="P44" s="10" t="s">
        <v>6</v>
      </c>
      <c r="Q44" s="117"/>
      <c r="R44" s="133"/>
      <c r="S44" s="133"/>
      <c r="T44" s="10" t="s">
        <v>6</v>
      </c>
      <c r="U44" s="10" t="s">
        <v>6</v>
      </c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28"/>
      <c r="AG44" s="128"/>
    </row>
    <row r="45" ht="30.0" customHeight="1">
      <c r="B45" s="138" t="s">
        <v>393</v>
      </c>
      <c r="C45" s="175"/>
      <c r="D45" s="130"/>
      <c r="E45" s="130"/>
      <c r="F45" s="130"/>
      <c r="G45" s="130"/>
      <c r="H45" s="10" t="s">
        <v>6</v>
      </c>
      <c r="I45" s="130"/>
      <c r="J45" s="130"/>
      <c r="K45" s="130"/>
      <c r="L45" s="130"/>
      <c r="M45" s="130"/>
      <c r="N45" s="130"/>
      <c r="O45" s="130"/>
      <c r="P45" s="130"/>
      <c r="Q45" s="117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9"/>
      <c r="AD45" s="139"/>
      <c r="AE45" s="10" t="s">
        <v>6</v>
      </c>
      <c r="AF45" s="139"/>
      <c r="AG45" s="139"/>
    </row>
    <row r="46" ht="30.0" customHeight="1">
      <c r="B46" s="135" t="s">
        <v>400</v>
      </c>
      <c r="C46" s="117"/>
      <c r="D46" s="133"/>
      <c r="E46" s="133"/>
      <c r="F46" s="133"/>
      <c r="G46" s="133"/>
      <c r="H46" s="10" t="s">
        <v>6</v>
      </c>
      <c r="I46" s="133"/>
      <c r="J46" s="10" t="s">
        <v>6</v>
      </c>
      <c r="K46" s="133"/>
      <c r="L46" s="133"/>
      <c r="M46" s="133"/>
      <c r="N46" s="133"/>
      <c r="O46" s="133"/>
      <c r="P46" s="133"/>
      <c r="Q46" s="117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0" t="s">
        <v>6</v>
      </c>
      <c r="AF46" s="128"/>
      <c r="AG46" s="128"/>
    </row>
    <row r="47" ht="30.0" customHeight="1">
      <c r="B47" s="138" t="s">
        <v>351</v>
      </c>
      <c r="C47" s="175"/>
      <c r="D47" s="130"/>
      <c r="E47" s="130"/>
      <c r="F47" s="130"/>
      <c r="G47" s="130"/>
      <c r="H47" s="10" t="s">
        <v>6</v>
      </c>
      <c r="I47" s="130"/>
      <c r="J47" s="130"/>
      <c r="K47" s="130"/>
      <c r="L47" s="10" t="s">
        <v>6</v>
      </c>
      <c r="M47" s="130"/>
      <c r="N47" s="130"/>
      <c r="O47" s="130"/>
      <c r="P47" s="130"/>
      <c r="Q47" s="117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9"/>
      <c r="AD47" s="139"/>
      <c r="AE47" s="139"/>
      <c r="AF47" s="139"/>
      <c r="AG47" s="139"/>
    </row>
    <row r="48" ht="30.0" customHeight="1">
      <c r="B48" s="135" t="s">
        <v>349</v>
      </c>
      <c r="C48" s="117"/>
      <c r="D48" s="133"/>
      <c r="E48" s="133"/>
      <c r="F48" s="133"/>
      <c r="G48" s="133"/>
      <c r="H48" s="133"/>
      <c r="I48" s="133"/>
      <c r="J48" s="10" t="s">
        <v>6</v>
      </c>
      <c r="K48" s="133"/>
      <c r="L48" s="133"/>
      <c r="M48" s="133"/>
      <c r="N48" s="133"/>
      <c r="O48" s="133"/>
      <c r="P48" s="133"/>
      <c r="Q48" s="117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28"/>
      <c r="AG48" s="128"/>
    </row>
    <row r="49" ht="30.0" customHeight="1">
      <c r="B49" s="138" t="s">
        <v>417</v>
      </c>
      <c r="C49" s="175"/>
      <c r="D49" s="139"/>
      <c r="E49" s="139"/>
      <c r="F49" s="139"/>
      <c r="G49" s="139"/>
      <c r="H49" s="139"/>
      <c r="I49" s="139"/>
      <c r="J49" s="139"/>
      <c r="K49" s="139"/>
      <c r="L49" s="10" t="s">
        <v>6</v>
      </c>
      <c r="M49" s="139"/>
      <c r="N49" s="10" t="s">
        <v>6</v>
      </c>
      <c r="O49" s="139"/>
      <c r="P49" s="139"/>
      <c r="Q49" s="175"/>
      <c r="R49" s="139"/>
      <c r="S49" s="10" t="s">
        <v>6</v>
      </c>
      <c r="T49" s="139"/>
      <c r="U49" s="10" t="s">
        <v>6</v>
      </c>
      <c r="V49" s="10" t="s">
        <v>6</v>
      </c>
      <c r="W49" s="139"/>
      <c r="X49" s="139"/>
      <c r="Y49" s="139"/>
      <c r="Z49" s="10" t="s">
        <v>6</v>
      </c>
      <c r="AA49" s="139"/>
      <c r="AB49" s="10" t="s">
        <v>6</v>
      </c>
      <c r="AC49" s="10" t="s">
        <v>6</v>
      </c>
      <c r="AD49" s="139"/>
      <c r="AE49" s="10" t="s">
        <v>6</v>
      </c>
      <c r="AF49" s="139"/>
      <c r="AG49" s="139"/>
    </row>
    <row r="50" ht="30.0" customHeight="1">
      <c r="B50" s="135" t="s">
        <v>372</v>
      </c>
      <c r="C50" s="175"/>
      <c r="D50" s="128"/>
      <c r="E50" s="128"/>
      <c r="F50" s="128"/>
      <c r="G50" s="128"/>
      <c r="H50" s="128"/>
      <c r="I50" s="128"/>
      <c r="J50" s="128"/>
      <c r="K50" s="128"/>
      <c r="L50" s="128"/>
      <c r="M50" s="10" t="s">
        <v>6</v>
      </c>
      <c r="N50" s="128"/>
      <c r="O50" s="10" t="s">
        <v>6</v>
      </c>
      <c r="P50" s="128"/>
      <c r="Q50" s="175"/>
      <c r="R50" s="128"/>
      <c r="S50" s="128"/>
      <c r="T50" s="128"/>
      <c r="U50" s="128"/>
      <c r="V50" s="128"/>
      <c r="W50" s="128"/>
      <c r="X50" s="128"/>
      <c r="Y50" s="128"/>
      <c r="Z50" s="10" t="s">
        <v>6</v>
      </c>
      <c r="AA50" s="10" t="s">
        <v>6</v>
      </c>
      <c r="AB50" s="128"/>
      <c r="AC50" s="10" t="s">
        <v>6</v>
      </c>
      <c r="AD50" s="128"/>
      <c r="AE50" s="128"/>
      <c r="AF50" s="128"/>
      <c r="AG50" s="128"/>
    </row>
    <row r="51" ht="30.0" customHeight="1">
      <c r="B51" s="138" t="s">
        <v>418</v>
      </c>
      <c r="C51" s="175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75"/>
      <c r="R51" s="139"/>
      <c r="S51" s="139"/>
      <c r="T51" s="139"/>
      <c r="U51" s="10" t="s">
        <v>6</v>
      </c>
      <c r="V51" s="139"/>
      <c r="W51" s="139"/>
      <c r="X51" s="10" t="s">
        <v>6</v>
      </c>
      <c r="Y51" s="139"/>
      <c r="Z51" s="139"/>
      <c r="AA51" s="139"/>
      <c r="AB51" s="139"/>
      <c r="AC51" s="139"/>
      <c r="AD51" s="139"/>
      <c r="AE51" s="139"/>
      <c r="AF51" s="139"/>
      <c r="AG51" s="139"/>
    </row>
    <row r="52" ht="30.0" customHeight="1">
      <c r="B52" s="135" t="s">
        <v>419</v>
      </c>
      <c r="C52" s="175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75"/>
      <c r="R52" s="128"/>
      <c r="S52" s="128"/>
      <c r="T52" s="128"/>
      <c r="U52" s="128"/>
      <c r="V52" s="128"/>
      <c r="W52" s="128"/>
      <c r="X52" s="128"/>
      <c r="Y52" s="128"/>
      <c r="Z52" s="128"/>
      <c r="AA52" s="10" t="s">
        <v>6</v>
      </c>
      <c r="AB52" s="128"/>
      <c r="AC52" s="128"/>
      <c r="AD52" s="128"/>
      <c r="AE52" s="10" t="s">
        <v>6</v>
      </c>
      <c r="AF52" s="128"/>
      <c r="AG52" s="128"/>
    </row>
    <row r="53" ht="30.0" customHeight="1">
      <c r="B53" s="138" t="s">
        <v>420</v>
      </c>
      <c r="C53" s="175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75"/>
      <c r="R53" s="139"/>
      <c r="S53" s="139"/>
      <c r="T53" s="139"/>
      <c r="U53" s="139"/>
      <c r="V53" s="139"/>
      <c r="W53" s="139"/>
      <c r="X53" s="139"/>
      <c r="Y53" s="139"/>
      <c r="Z53" s="139"/>
      <c r="AA53" s="10" t="s">
        <v>6</v>
      </c>
      <c r="AB53" s="139"/>
      <c r="AC53" s="10" t="s">
        <v>6</v>
      </c>
      <c r="AD53" s="139"/>
      <c r="AE53" s="139"/>
      <c r="AF53" s="139"/>
      <c r="AG53" s="139"/>
    </row>
    <row r="54" ht="30.0" customHeight="1">
      <c r="B54" s="135" t="s">
        <v>421</v>
      </c>
      <c r="C54" s="175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75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0" t="s">
        <v>6</v>
      </c>
      <c r="AD54" s="128"/>
      <c r="AE54" s="128"/>
      <c r="AF54" s="128"/>
      <c r="AG54" s="128"/>
    </row>
    <row r="55" ht="30.0" customHeight="1">
      <c r="B55" s="138"/>
      <c r="C55" s="175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75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</row>
    <row r="56" ht="30.0" customHeight="1">
      <c r="B56" s="127"/>
      <c r="C56" s="175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75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</row>
    <row r="57" ht="30.0" customHeight="1">
      <c r="B57" s="140" t="str">
        <f>Noviembre!MonthName&amp;" Total"</f>
        <v>Noviembre Total</v>
      </c>
      <c r="C57" s="175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75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</row>
    <row r="58" ht="30.0" customHeight="1"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4"/>
    </row>
    <row r="59" ht="30.0" customHeight="1">
      <c r="B59" s="38" t="s">
        <v>408</v>
      </c>
      <c r="C59" s="80" t="s">
        <v>332</v>
      </c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32">
        <f>CalendarioAño</f>
        <v>2025</v>
      </c>
    </row>
    <row r="60" ht="30.0" customHeight="1">
      <c r="B60" s="32"/>
      <c r="C60" s="133" t="str">
        <f>TEXT(WEEKDAY(DATE(CalendarioAño,8,9),1),"ddd")</f>
        <v>sáb</v>
      </c>
      <c r="D60" s="162" t="s">
        <v>367</v>
      </c>
      <c r="E60" s="162" t="s">
        <v>364</v>
      </c>
      <c r="F60" s="162" t="s">
        <v>365</v>
      </c>
      <c r="G60" s="133" t="str">
        <f>TEXT(WEEKDAY(DATE(CalendarioAño,8,6),1),"ddd")</f>
        <v>mié</v>
      </c>
      <c r="H60" s="133" t="str">
        <f>TEXT(WEEKDAY(DATE(CalendarioAño,8,7),1),"ddd")</f>
        <v>jue</v>
      </c>
      <c r="I60" s="162" t="s">
        <v>366</v>
      </c>
      <c r="J60" s="133" t="str">
        <f>TEXT(WEEKDAY(DATE(CalendarioAño,8,9),1),"ddd")</f>
        <v>sáb</v>
      </c>
      <c r="K60" s="162" t="s">
        <v>367</v>
      </c>
      <c r="L60" s="162" t="s">
        <v>364</v>
      </c>
      <c r="M60" s="162" t="s">
        <v>365</v>
      </c>
      <c r="N60" s="133" t="str">
        <f>TEXT(WEEKDAY(DATE(CalendarioAño,8,6),1),"ddd")</f>
        <v>mié</v>
      </c>
      <c r="O60" s="133" t="str">
        <f>TEXT(WEEKDAY(DATE(CalendarioAño,8,7),1),"ddd")</f>
        <v>jue</v>
      </c>
      <c r="P60" s="162" t="s">
        <v>366</v>
      </c>
      <c r="Q60" s="133" t="str">
        <f>TEXT(WEEKDAY(DATE(CalendarioAño,8,9),1),"ddd")</f>
        <v>sáb</v>
      </c>
      <c r="R60" s="162" t="s">
        <v>367</v>
      </c>
      <c r="S60" s="162" t="s">
        <v>364</v>
      </c>
      <c r="T60" s="162" t="s">
        <v>365</v>
      </c>
      <c r="U60" s="133" t="str">
        <f>TEXT(WEEKDAY(DATE(CalendarioAño,8,6),1),"ddd")</f>
        <v>mié</v>
      </c>
      <c r="V60" s="133" t="str">
        <f>TEXT(WEEKDAY(DATE(CalendarioAño,8,7),1),"ddd")</f>
        <v>jue</v>
      </c>
      <c r="W60" s="162" t="s">
        <v>366</v>
      </c>
      <c r="X60" s="133" t="str">
        <f>TEXT(WEEKDAY(DATE(CalendarioAño,8,9),1),"ddd")</f>
        <v>sáb</v>
      </c>
      <c r="Y60" s="162" t="s">
        <v>367</v>
      </c>
      <c r="Z60" s="162" t="s">
        <v>364</v>
      </c>
      <c r="AA60" s="162" t="s">
        <v>365</v>
      </c>
      <c r="AB60" s="133" t="str">
        <f>TEXT(WEEKDAY(DATE(CalendarioAño,8,6),1),"ddd")</f>
        <v>mié</v>
      </c>
      <c r="AC60" s="133" t="str">
        <f>TEXT(WEEKDAY(DATE(CalendarioAño,8,7),1),"ddd")</f>
        <v>jue</v>
      </c>
      <c r="AD60" s="162" t="s">
        <v>366</v>
      </c>
      <c r="AE60" s="133" t="str">
        <f>TEXT(WEEKDAY(DATE(CalendarioAño,8,9),1),"ddd")</f>
        <v>sáb</v>
      </c>
      <c r="AF60" s="162" t="s">
        <v>367</v>
      </c>
      <c r="AG60" s="32"/>
    </row>
    <row r="61" ht="30.0" customHeight="1">
      <c r="A61" s="115"/>
      <c r="B61" s="116" t="s">
        <v>202</v>
      </c>
      <c r="C61" s="164">
        <v>1.0</v>
      </c>
      <c r="D61" s="164">
        <v>2.0</v>
      </c>
      <c r="E61" s="164">
        <v>3.0</v>
      </c>
      <c r="F61" s="164">
        <v>4.0</v>
      </c>
      <c r="G61" s="164">
        <v>5.0</v>
      </c>
      <c r="H61" s="164">
        <v>6.0</v>
      </c>
      <c r="I61" s="164">
        <v>7.0</v>
      </c>
      <c r="J61" s="164">
        <v>8.0</v>
      </c>
      <c r="K61" s="164">
        <v>9.0</v>
      </c>
      <c r="L61" s="164">
        <v>10.0</v>
      </c>
      <c r="M61" s="117" t="s">
        <v>25</v>
      </c>
      <c r="N61" s="117" t="s">
        <v>26</v>
      </c>
      <c r="O61" s="117" t="s">
        <v>27</v>
      </c>
      <c r="P61" s="117" t="s">
        <v>28</v>
      </c>
      <c r="Q61" s="117" t="s">
        <v>29</v>
      </c>
      <c r="R61" s="117" t="s">
        <v>30</v>
      </c>
      <c r="S61" s="117" t="s">
        <v>31</v>
      </c>
      <c r="T61" s="117" t="s">
        <v>32</v>
      </c>
      <c r="U61" s="117" t="s">
        <v>33</v>
      </c>
      <c r="V61" s="117" t="s">
        <v>34</v>
      </c>
      <c r="W61" s="117" t="s">
        <v>35</v>
      </c>
      <c r="X61" s="117" t="s">
        <v>36</v>
      </c>
      <c r="Y61" s="117" t="s">
        <v>37</v>
      </c>
      <c r="Z61" s="117" t="s">
        <v>38</v>
      </c>
      <c r="AA61" s="117" t="s">
        <v>39</v>
      </c>
      <c r="AB61" s="117" t="s">
        <v>40</v>
      </c>
      <c r="AC61" s="117" t="s">
        <v>41</v>
      </c>
      <c r="AD61" s="117" t="s">
        <v>42</v>
      </c>
      <c r="AE61" s="117" t="s">
        <v>43</v>
      </c>
      <c r="AF61" s="117" t="s">
        <v>44</v>
      </c>
      <c r="AG61" s="117" t="s">
        <v>46</v>
      </c>
    </row>
    <row r="62" ht="30.0" customHeight="1">
      <c r="B62" s="129" t="s">
        <v>401</v>
      </c>
      <c r="C62" s="175"/>
      <c r="D62" s="130"/>
      <c r="E62" s="10" t="s">
        <v>6</v>
      </c>
      <c r="F62" s="130"/>
      <c r="G62" s="10" t="s">
        <v>6</v>
      </c>
      <c r="H62" s="130"/>
      <c r="I62" s="10" t="s">
        <v>6</v>
      </c>
      <c r="J62" s="130"/>
      <c r="K62" s="130"/>
      <c r="L62" s="130"/>
      <c r="M62" s="130"/>
      <c r="N62" s="10" t="s">
        <v>6</v>
      </c>
      <c r="O62" s="130"/>
      <c r="P62" s="10" t="s">
        <v>6</v>
      </c>
      <c r="Q62" s="117"/>
      <c r="R62" s="130"/>
      <c r="S62" s="130"/>
      <c r="T62" s="130"/>
      <c r="U62" s="10" t="s">
        <v>6</v>
      </c>
      <c r="V62" s="130"/>
      <c r="W62" s="10" t="s">
        <v>6</v>
      </c>
      <c r="X62" s="130"/>
      <c r="Y62" s="130"/>
      <c r="Z62" s="130"/>
      <c r="AA62" s="130"/>
      <c r="AB62" s="10" t="s">
        <v>6</v>
      </c>
      <c r="AC62" s="139"/>
      <c r="AD62" s="10" t="s">
        <v>6</v>
      </c>
      <c r="AE62" s="139"/>
      <c r="AF62" s="139"/>
      <c r="AG62" s="131"/>
    </row>
    <row r="63" ht="30.0" customHeight="1">
      <c r="B63" s="132" t="s">
        <v>285</v>
      </c>
      <c r="C63" s="117"/>
      <c r="D63" s="133"/>
      <c r="E63" s="10" t="s">
        <v>6</v>
      </c>
      <c r="F63" s="10" t="s">
        <v>6</v>
      </c>
      <c r="G63" s="133"/>
      <c r="H63" s="133"/>
      <c r="I63" s="133"/>
      <c r="J63" s="133"/>
      <c r="K63" s="133"/>
      <c r="L63" s="10" t="s">
        <v>6</v>
      </c>
      <c r="M63" s="133"/>
      <c r="N63" s="133"/>
      <c r="O63" s="133"/>
      <c r="P63" s="133"/>
      <c r="Q63" s="117"/>
      <c r="R63" s="133"/>
      <c r="S63" s="133"/>
      <c r="T63" s="10" t="s">
        <v>6</v>
      </c>
      <c r="U63" s="133"/>
      <c r="V63" s="133"/>
      <c r="W63" s="10" t="s">
        <v>6</v>
      </c>
      <c r="X63" s="133"/>
      <c r="Y63" s="133"/>
      <c r="Z63" s="133"/>
      <c r="AA63" s="133"/>
      <c r="AB63" s="133"/>
      <c r="AC63" s="133"/>
      <c r="AD63" s="133"/>
      <c r="AE63" s="133"/>
      <c r="AF63" s="128"/>
      <c r="AG63" s="134"/>
    </row>
    <row r="64" ht="30.0" customHeight="1">
      <c r="B64" s="119" t="s">
        <v>67</v>
      </c>
      <c r="C64" s="175"/>
      <c r="D64" s="21"/>
      <c r="E64" s="21"/>
      <c r="F64" s="10" t="s">
        <v>6</v>
      </c>
      <c r="G64" s="10" t="s">
        <v>6</v>
      </c>
      <c r="H64" s="21"/>
      <c r="I64" s="10" t="s">
        <v>6</v>
      </c>
      <c r="J64" s="21"/>
      <c r="K64" s="21"/>
      <c r="L64" s="10" t="s">
        <v>6</v>
      </c>
      <c r="M64" s="21"/>
      <c r="N64" s="10" t="s">
        <v>6</v>
      </c>
      <c r="O64" s="21"/>
      <c r="P64" s="21"/>
      <c r="Q64" s="117"/>
      <c r="R64" s="21"/>
      <c r="S64" s="21"/>
      <c r="T64" s="21"/>
      <c r="U64" s="10" t="s">
        <v>6</v>
      </c>
      <c r="V64" s="10" t="s">
        <v>6</v>
      </c>
      <c r="W64" s="21"/>
      <c r="X64" s="21"/>
      <c r="Y64" s="21"/>
      <c r="Z64" s="21"/>
      <c r="AA64" s="21"/>
      <c r="AB64" s="10" t="s">
        <v>6</v>
      </c>
      <c r="AC64" s="139"/>
      <c r="AD64" s="139"/>
      <c r="AE64" s="139"/>
      <c r="AF64" s="139"/>
      <c r="AG64" s="131"/>
    </row>
    <row r="65" ht="30.0" customHeight="1">
      <c r="B65" s="135" t="s">
        <v>375</v>
      </c>
      <c r="C65" s="117"/>
      <c r="D65" s="21"/>
      <c r="E65" s="21"/>
      <c r="F65" s="10" t="s">
        <v>6</v>
      </c>
      <c r="G65" s="21"/>
      <c r="H65" s="10" t="s">
        <v>6</v>
      </c>
      <c r="I65" s="21"/>
      <c r="J65" s="21"/>
      <c r="K65" s="21"/>
      <c r="L65" s="21"/>
      <c r="M65" s="10" t="s">
        <v>6</v>
      </c>
      <c r="N65" s="21"/>
      <c r="O65" s="10" t="s">
        <v>6</v>
      </c>
      <c r="P65" s="21"/>
      <c r="Q65" s="117"/>
      <c r="R65" s="21"/>
      <c r="S65" s="21"/>
      <c r="T65" s="21"/>
      <c r="U65" s="10" t="s">
        <v>6</v>
      </c>
      <c r="V65" s="10" t="s">
        <v>6</v>
      </c>
      <c r="W65" s="21"/>
      <c r="X65" s="21"/>
      <c r="Y65" s="21"/>
      <c r="Z65" s="21"/>
      <c r="AA65" s="10" t="s">
        <v>6</v>
      </c>
      <c r="AB65" s="21"/>
      <c r="AC65" s="10" t="s">
        <v>6</v>
      </c>
      <c r="AD65" s="21"/>
      <c r="AE65" s="21"/>
      <c r="AF65" s="27"/>
      <c r="AG65" s="134"/>
    </row>
    <row r="66" ht="30.0" customHeight="1">
      <c r="B66" s="143" t="s">
        <v>333</v>
      </c>
      <c r="C66" s="175"/>
      <c r="D66" s="21"/>
      <c r="E66" s="21"/>
      <c r="F66" s="21"/>
      <c r="G66" s="10" t="s">
        <v>6</v>
      </c>
      <c r="H66" s="21"/>
      <c r="I66" s="21"/>
      <c r="J66" s="21"/>
      <c r="K66" s="21"/>
      <c r="L66" s="21"/>
      <c r="M66" s="21"/>
      <c r="N66" s="21"/>
      <c r="O66" s="21"/>
      <c r="P66" s="10" t="s">
        <v>6</v>
      </c>
      <c r="Q66" s="117"/>
      <c r="R66" s="21"/>
      <c r="S66" s="21"/>
      <c r="T66" s="21"/>
      <c r="U66" s="21"/>
      <c r="V66" s="21"/>
      <c r="W66" s="10" t="s">
        <v>6</v>
      </c>
      <c r="X66" s="21"/>
      <c r="Y66" s="21"/>
      <c r="Z66" s="21"/>
      <c r="AA66" s="21"/>
      <c r="AB66" s="21"/>
      <c r="AC66" s="139"/>
      <c r="AD66" s="10" t="s">
        <v>6</v>
      </c>
      <c r="AE66" s="139"/>
      <c r="AF66" s="139"/>
      <c r="AG66" s="131"/>
    </row>
    <row r="67" ht="30.0" customHeight="1">
      <c r="B67" s="143" t="s">
        <v>396</v>
      </c>
      <c r="C67" s="117"/>
      <c r="D67" s="21"/>
      <c r="E67" s="21"/>
      <c r="F67" s="21"/>
      <c r="G67" s="21"/>
      <c r="H67" s="21"/>
      <c r="I67" s="10" t="s">
        <v>6</v>
      </c>
      <c r="J67" s="10" t="s">
        <v>6</v>
      </c>
      <c r="K67" s="21"/>
      <c r="L67" s="21"/>
      <c r="M67" s="21"/>
      <c r="N67" s="21"/>
      <c r="O67" s="21"/>
      <c r="P67" s="10" t="s">
        <v>6</v>
      </c>
      <c r="Q67" s="117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10" t="s">
        <v>6</v>
      </c>
      <c r="AE67" s="21"/>
      <c r="AF67" s="27"/>
      <c r="AG67" s="134"/>
    </row>
    <row r="68" ht="30.0" customHeight="1">
      <c r="B68" s="143" t="s">
        <v>392</v>
      </c>
      <c r="C68" s="175"/>
      <c r="D68" s="21"/>
      <c r="E68" s="21"/>
      <c r="F68" s="21"/>
      <c r="G68" s="21"/>
      <c r="H68" s="10" t="s">
        <v>6</v>
      </c>
      <c r="I68" s="10" t="s">
        <v>6</v>
      </c>
      <c r="J68" s="21"/>
      <c r="K68" s="21"/>
      <c r="L68" s="10" t="s">
        <v>6</v>
      </c>
      <c r="M68" s="10" t="s">
        <v>6</v>
      </c>
      <c r="N68" s="21"/>
      <c r="O68" s="21"/>
      <c r="P68" s="10" t="s">
        <v>6</v>
      </c>
      <c r="Q68" s="117"/>
      <c r="R68" s="21"/>
      <c r="S68" s="10" t="s">
        <v>6</v>
      </c>
      <c r="T68" s="21"/>
      <c r="U68" s="21"/>
      <c r="V68" s="10" t="s">
        <v>6</v>
      </c>
      <c r="W68" s="10" t="s">
        <v>6</v>
      </c>
      <c r="X68" s="21"/>
      <c r="Y68" s="21"/>
      <c r="Z68" s="10" t="s">
        <v>6</v>
      </c>
      <c r="AA68" s="21"/>
      <c r="AB68" s="21"/>
      <c r="AC68" s="139"/>
      <c r="AD68" s="139"/>
      <c r="AE68" s="139"/>
      <c r="AF68" s="139"/>
      <c r="AG68" s="131"/>
    </row>
    <row r="69" ht="30.0" customHeight="1">
      <c r="B69" s="143" t="s">
        <v>397</v>
      </c>
      <c r="C69" s="117"/>
      <c r="D69" s="21"/>
      <c r="E69" s="21"/>
      <c r="F69" s="21"/>
      <c r="G69" s="21"/>
      <c r="H69" s="21"/>
      <c r="I69" s="10" t="s">
        <v>6</v>
      </c>
      <c r="J69" s="21"/>
      <c r="K69" s="21"/>
      <c r="L69" s="21"/>
      <c r="M69" s="21"/>
      <c r="N69" s="21"/>
      <c r="O69" s="21"/>
      <c r="P69" s="21"/>
      <c r="Q69" s="117"/>
      <c r="R69" s="21"/>
      <c r="S69" s="21"/>
      <c r="T69" s="21"/>
      <c r="U69" s="21"/>
      <c r="V69" s="21"/>
      <c r="W69" s="10" t="s">
        <v>6</v>
      </c>
      <c r="X69" s="10" t="s">
        <v>6</v>
      </c>
      <c r="Y69" s="21"/>
      <c r="Z69" s="21"/>
      <c r="AA69" s="21"/>
      <c r="AB69" s="21"/>
      <c r="AC69" s="21"/>
      <c r="AD69" s="21"/>
      <c r="AE69" s="10" t="s">
        <v>6</v>
      </c>
      <c r="AF69" s="27"/>
      <c r="AG69" s="134"/>
    </row>
    <row r="70" ht="30.0" customHeight="1">
      <c r="B70" s="143" t="s">
        <v>368</v>
      </c>
      <c r="C70" s="117"/>
      <c r="D70" s="130"/>
      <c r="E70" s="130"/>
      <c r="F70" s="130"/>
      <c r="G70" s="130"/>
      <c r="H70" s="130"/>
      <c r="I70" s="10" t="s">
        <v>6</v>
      </c>
      <c r="J70" s="130"/>
      <c r="K70" s="130"/>
      <c r="L70" s="130"/>
      <c r="M70" s="130"/>
      <c r="N70" s="130"/>
      <c r="O70" s="130"/>
      <c r="P70" s="130"/>
      <c r="Q70" s="117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0" t="s">
        <v>6</v>
      </c>
      <c r="AC70" s="139"/>
      <c r="AD70" s="139"/>
      <c r="AE70" s="139"/>
      <c r="AF70" s="139"/>
      <c r="AG70" s="131"/>
    </row>
    <row r="71" ht="30.0" customHeight="1">
      <c r="A71" s="176"/>
      <c r="B71" s="167" t="s">
        <v>268</v>
      </c>
      <c r="C71" s="117"/>
      <c r="D71" s="165"/>
      <c r="E71" s="165"/>
      <c r="F71" s="165"/>
      <c r="G71" s="165"/>
      <c r="H71" s="165"/>
      <c r="I71" s="165"/>
      <c r="J71" s="10" t="s">
        <v>6</v>
      </c>
      <c r="K71" s="165"/>
      <c r="L71" s="165"/>
      <c r="M71" s="165"/>
      <c r="N71" s="165"/>
      <c r="O71" s="165"/>
      <c r="P71" s="165"/>
      <c r="Q71" s="117"/>
      <c r="R71" s="165"/>
      <c r="S71" s="165"/>
      <c r="T71" s="165"/>
      <c r="U71" s="165"/>
      <c r="V71" s="165"/>
      <c r="W71" s="165"/>
      <c r="X71" s="10" t="s">
        <v>6</v>
      </c>
      <c r="Y71" s="165"/>
      <c r="Z71" s="165"/>
      <c r="AA71" s="165"/>
      <c r="AB71" s="165"/>
      <c r="AC71" s="165"/>
      <c r="AD71" s="165"/>
      <c r="AE71" s="10" t="s">
        <v>6</v>
      </c>
      <c r="AF71" s="168"/>
      <c r="AG71" s="169"/>
    </row>
    <row r="72" ht="30.0" customHeight="1">
      <c r="B72" s="138" t="s">
        <v>301</v>
      </c>
      <c r="C72" s="117"/>
      <c r="D72" s="130"/>
      <c r="E72" s="130"/>
      <c r="F72" s="130"/>
      <c r="G72" s="130"/>
      <c r="H72" s="130"/>
      <c r="I72" s="130"/>
      <c r="J72" s="10" t="s">
        <v>6</v>
      </c>
      <c r="K72" s="130"/>
      <c r="L72" s="130"/>
      <c r="M72" s="130"/>
      <c r="N72" s="130"/>
      <c r="O72" s="130"/>
      <c r="P72" s="130"/>
      <c r="Q72" s="117"/>
      <c r="R72" s="130"/>
      <c r="S72" s="130"/>
      <c r="T72" s="130"/>
      <c r="U72" s="130"/>
      <c r="V72" s="130"/>
      <c r="W72" s="130"/>
      <c r="X72" s="10" t="s">
        <v>6</v>
      </c>
      <c r="Y72" s="130"/>
      <c r="Z72" s="130"/>
      <c r="AA72" s="130"/>
      <c r="AB72" s="139"/>
      <c r="AC72" s="139"/>
      <c r="AD72" s="139"/>
      <c r="AE72" s="139"/>
      <c r="AF72" s="139"/>
      <c r="AG72" s="139"/>
    </row>
    <row r="73" ht="30.0" customHeight="1">
      <c r="B73" s="135" t="s">
        <v>211</v>
      </c>
      <c r="C73" s="117"/>
      <c r="D73" s="133"/>
      <c r="E73" s="133"/>
      <c r="F73" s="133"/>
      <c r="G73" s="133"/>
      <c r="H73" s="133"/>
      <c r="I73" s="133"/>
      <c r="J73" s="133"/>
      <c r="K73" s="133"/>
      <c r="L73" s="10" t="s">
        <v>6</v>
      </c>
      <c r="M73" s="133"/>
      <c r="N73" s="133"/>
      <c r="O73" s="133"/>
      <c r="P73" s="10" t="s">
        <v>6</v>
      </c>
      <c r="Q73" s="117"/>
      <c r="R73" s="133"/>
      <c r="S73" s="10" t="s">
        <v>6</v>
      </c>
      <c r="T73" s="133"/>
      <c r="U73" s="133"/>
      <c r="V73" s="133"/>
      <c r="W73" s="133"/>
      <c r="X73" s="133"/>
      <c r="Y73" s="133"/>
      <c r="Z73" s="10" t="s">
        <v>6</v>
      </c>
      <c r="AA73" s="133"/>
      <c r="AB73" s="133"/>
      <c r="AC73" s="133"/>
      <c r="AD73" s="133"/>
      <c r="AE73" s="133"/>
      <c r="AF73" s="128"/>
      <c r="AG73" s="128"/>
    </row>
    <row r="74" ht="30.0" customHeight="1">
      <c r="B74" s="138" t="s">
        <v>355</v>
      </c>
      <c r="C74" s="117"/>
      <c r="D74" s="130"/>
      <c r="E74" s="130"/>
      <c r="F74" s="130"/>
      <c r="G74" s="130"/>
      <c r="H74" s="130"/>
      <c r="I74" s="130"/>
      <c r="J74" s="130"/>
      <c r="K74" s="130"/>
      <c r="L74" s="130"/>
      <c r="M74" s="10" t="s">
        <v>6</v>
      </c>
      <c r="N74" s="130"/>
      <c r="O74" s="130"/>
      <c r="P74" s="130"/>
      <c r="Q74" s="117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9"/>
      <c r="AC74" s="139"/>
      <c r="AD74" s="139"/>
      <c r="AE74" s="139"/>
      <c r="AF74" s="139"/>
      <c r="AG74" s="139"/>
    </row>
    <row r="75" ht="30.0" customHeight="1">
      <c r="B75" s="135" t="s">
        <v>374</v>
      </c>
      <c r="C75" s="117"/>
      <c r="D75" s="133"/>
      <c r="E75" s="133"/>
      <c r="F75" s="133"/>
      <c r="G75" s="133"/>
      <c r="H75" s="133"/>
      <c r="I75" s="133"/>
      <c r="J75" s="133"/>
      <c r="K75" s="133"/>
      <c r="L75" s="133"/>
      <c r="M75" s="10" t="s">
        <v>6</v>
      </c>
      <c r="N75" s="133"/>
      <c r="O75" s="133"/>
      <c r="P75" s="133"/>
      <c r="Q75" s="117"/>
      <c r="R75" s="133"/>
      <c r="S75" s="133"/>
      <c r="T75" s="133"/>
      <c r="U75" s="133"/>
      <c r="V75" s="133"/>
      <c r="W75" s="133"/>
      <c r="X75" s="10" t="s">
        <v>6</v>
      </c>
      <c r="Y75" s="133"/>
      <c r="Z75" s="10" t="s">
        <v>6</v>
      </c>
      <c r="AA75" s="10" t="s">
        <v>6</v>
      </c>
      <c r="AB75" s="133"/>
      <c r="AC75" s="10" t="s">
        <v>6</v>
      </c>
      <c r="AD75" s="133"/>
      <c r="AE75" s="133"/>
      <c r="AF75" s="128"/>
      <c r="AG75" s="128"/>
    </row>
    <row r="76" ht="30.0" customHeight="1">
      <c r="B76" s="138"/>
      <c r="C76" s="117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17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9"/>
      <c r="AC76" s="139"/>
      <c r="AD76" s="139"/>
      <c r="AE76" s="139"/>
      <c r="AF76" s="139"/>
      <c r="AG76" s="139"/>
    </row>
    <row r="77" ht="30.0" customHeight="1">
      <c r="B77" s="135"/>
      <c r="C77" s="117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17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28"/>
      <c r="AG77" s="128"/>
    </row>
    <row r="78" ht="30.0" customHeight="1">
      <c r="B78" s="140"/>
      <c r="C78" s="175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75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</row>
    <row r="79" ht="30.0" customHeight="1">
      <c r="B79" s="127"/>
      <c r="C79" s="175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75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</row>
    <row r="80" ht="30.0" customHeight="1">
      <c r="B80" s="140" t="str">
        <f>Noviembre!MonthName&amp;" Total"</f>
        <v>Noviembre Total</v>
      </c>
      <c r="C80" s="175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75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</row>
    <row r="81" ht="30.0" customHeight="1"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4"/>
    </row>
    <row r="82" ht="30.0" customHeight="1">
      <c r="B82" s="38" t="s">
        <v>408</v>
      </c>
      <c r="C82" s="80" t="s">
        <v>356</v>
      </c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32">
        <f>CalendarioAño</f>
        <v>2025</v>
      </c>
    </row>
    <row r="83" ht="30.0" customHeight="1">
      <c r="B83" s="32"/>
      <c r="C83" s="133" t="str">
        <f>TEXT(WEEKDAY(DATE(CalendarioAño,8,9),1),"ddd")</f>
        <v>sáb</v>
      </c>
      <c r="D83" s="162" t="s">
        <v>367</v>
      </c>
      <c r="E83" s="162" t="s">
        <v>364</v>
      </c>
      <c r="F83" s="162" t="s">
        <v>365</v>
      </c>
      <c r="G83" s="133" t="str">
        <f>TEXT(WEEKDAY(DATE(CalendarioAño,8,6),1),"ddd")</f>
        <v>mié</v>
      </c>
      <c r="H83" s="133" t="str">
        <f>TEXT(WEEKDAY(DATE(CalendarioAño,8,7),1),"ddd")</f>
        <v>jue</v>
      </c>
      <c r="I83" s="162" t="s">
        <v>366</v>
      </c>
      <c r="J83" s="133" t="str">
        <f>TEXT(WEEKDAY(DATE(CalendarioAño,8,9),1),"ddd")</f>
        <v>sáb</v>
      </c>
      <c r="K83" s="162" t="s">
        <v>367</v>
      </c>
      <c r="L83" s="162" t="s">
        <v>364</v>
      </c>
      <c r="M83" s="162" t="s">
        <v>365</v>
      </c>
      <c r="N83" s="133" t="str">
        <f>TEXT(WEEKDAY(DATE(CalendarioAño,8,6),1),"ddd")</f>
        <v>mié</v>
      </c>
      <c r="O83" s="133" t="str">
        <f>TEXT(WEEKDAY(DATE(CalendarioAño,8,7),1),"ddd")</f>
        <v>jue</v>
      </c>
      <c r="P83" s="162" t="s">
        <v>366</v>
      </c>
      <c r="Q83" s="133" t="str">
        <f>TEXT(WEEKDAY(DATE(CalendarioAño,8,9),1),"ddd")</f>
        <v>sáb</v>
      </c>
      <c r="R83" s="162" t="s">
        <v>367</v>
      </c>
      <c r="S83" s="162" t="s">
        <v>364</v>
      </c>
      <c r="T83" s="162" t="s">
        <v>365</v>
      </c>
      <c r="U83" s="133" t="str">
        <f>TEXT(WEEKDAY(DATE(CalendarioAño,8,6),1),"ddd")</f>
        <v>mié</v>
      </c>
      <c r="V83" s="133" t="str">
        <f>TEXT(WEEKDAY(DATE(CalendarioAño,8,7),1),"ddd")</f>
        <v>jue</v>
      </c>
      <c r="W83" s="162" t="s">
        <v>366</v>
      </c>
      <c r="X83" s="133" t="str">
        <f>TEXT(WEEKDAY(DATE(CalendarioAño,8,9),1),"ddd")</f>
        <v>sáb</v>
      </c>
      <c r="Y83" s="162" t="s">
        <v>367</v>
      </c>
      <c r="Z83" s="162" t="s">
        <v>364</v>
      </c>
      <c r="AA83" s="162" t="s">
        <v>365</v>
      </c>
      <c r="AB83" s="133" t="str">
        <f>TEXT(WEEKDAY(DATE(CalendarioAño,8,6),1),"ddd")</f>
        <v>mié</v>
      </c>
      <c r="AC83" s="133" t="str">
        <f>TEXT(WEEKDAY(DATE(CalendarioAño,8,7),1),"ddd")</f>
        <v>jue</v>
      </c>
      <c r="AD83" s="162" t="s">
        <v>366</v>
      </c>
      <c r="AE83" s="133" t="str">
        <f>TEXT(WEEKDAY(DATE(CalendarioAño,8,9),1),"ddd")</f>
        <v>sáb</v>
      </c>
      <c r="AF83" s="162" t="s">
        <v>367</v>
      </c>
      <c r="AG83" s="32"/>
    </row>
    <row r="84" ht="30.0" customHeight="1">
      <c r="A84" s="115"/>
      <c r="B84" s="116" t="s">
        <v>202</v>
      </c>
      <c r="C84" s="164">
        <v>1.0</v>
      </c>
      <c r="D84" s="164">
        <v>2.0</v>
      </c>
      <c r="E84" s="164">
        <v>3.0</v>
      </c>
      <c r="F84" s="164">
        <v>4.0</v>
      </c>
      <c r="G84" s="164">
        <v>5.0</v>
      </c>
      <c r="H84" s="164">
        <v>6.0</v>
      </c>
      <c r="I84" s="164">
        <v>7.0</v>
      </c>
      <c r="J84" s="164">
        <v>8.0</v>
      </c>
      <c r="K84" s="164">
        <v>9.0</v>
      </c>
      <c r="L84" s="164">
        <v>10.0</v>
      </c>
      <c r="M84" s="117" t="s">
        <v>25</v>
      </c>
      <c r="N84" s="117" t="s">
        <v>26</v>
      </c>
      <c r="O84" s="117" t="s">
        <v>27</v>
      </c>
      <c r="P84" s="117" t="s">
        <v>28</v>
      </c>
      <c r="Q84" s="117" t="s">
        <v>29</v>
      </c>
      <c r="R84" s="117" t="s">
        <v>30</v>
      </c>
      <c r="S84" s="117" t="s">
        <v>31</v>
      </c>
      <c r="T84" s="117" t="s">
        <v>32</v>
      </c>
      <c r="U84" s="117" t="s">
        <v>33</v>
      </c>
      <c r="V84" s="117" t="s">
        <v>34</v>
      </c>
      <c r="W84" s="117" t="s">
        <v>35</v>
      </c>
      <c r="X84" s="117" t="s">
        <v>36</v>
      </c>
      <c r="Y84" s="117" t="s">
        <v>37</v>
      </c>
      <c r="Z84" s="117" t="s">
        <v>38</v>
      </c>
      <c r="AA84" s="117" t="s">
        <v>39</v>
      </c>
      <c r="AB84" s="117" t="s">
        <v>40</v>
      </c>
      <c r="AC84" s="117" t="s">
        <v>41</v>
      </c>
      <c r="AD84" s="117" t="s">
        <v>42</v>
      </c>
      <c r="AE84" s="117" t="s">
        <v>43</v>
      </c>
      <c r="AF84" s="117" t="s">
        <v>44</v>
      </c>
      <c r="AG84" s="117" t="s">
        <v>46</v>
      </c>
    </row>
    <row r="85" ht="30.0" customHeight="1">
      <c r="B85" s="132" t="s">
        <v>297</v>
      </c>
      <c r="C85" s="117"/>
      <c r="D85" s="133"/>
      <c r="E85" s="10" t="s">
        <v>6</v>
      </c>
      <c r="F85" s="133"/>
      <c r="G85" s="10" t="s">
        <v>6</v>
      </c>
      <c r="H85" s="133"/>
      <c r="I85" s="10" t="s">
        <v>6</v>
      </c>
      <c r="J85" s="133"/>
      <c r="K85" s="133"/>
      <c r="L85" s="133"/>
      <c r="M85" s="10" t="s">
        <v>6</v>
      </c>
      <c r="N85" s="133"/>
      <c r="O85" s="133"/>
      <c r="P85" s="10" t="s">
        <v>6</v>
      </c>
      <c r="Q85" s="117"/>
      <c r="R85" s="133"/>
      <c r="S85" s="133"/>
      <c r="T85" s="133"/>
      <c r="U85" s="10" t="s">
        <v>6</v>
      </c>
      <c r="V85" s="10" t="s">
        <v>6</v>
      </c>
      <c r="W85" s="10" t="s">
        <v>6</v>
      </c>
      <c r="X85" s="133"/>
      <c r="Y85" s="133"/>
      <c r="Z85" s="133"/>
      <c r="AA85" s="10" t="s">
        <v>6</v>
      </c>
      <c r="AB85" s="133"/>
      <c r="AC85" s="10" t="s">
        <v>6</v>
      </c>
      <c r="AD85" s="133"/>
      <c r="AE85" s="133"/>
      <c r="AF85" s="128"/>
      <c r="AG85" s="134"/>
    </row>
    <row r="86" ht="30.0" customHeight="1">
      <c r="B86" s="129" t="s">
        <v>79</v>
      </c>
      <c r="C86" s="117"/>
      <c r="D86" s="130"/>
      <c r="E86" s="130"/>
      <c r="F86" s="10" t="s">
        <v>6</v>
      </c>
      <c r="G86" s="130"/>
      <c r="H86" s="10" t="s">
        <v>6</v>
      </c>
      <c r="I86" s="10" t="s">
        <v>6</v>
      </c>
      <c r="J86" s="130"/>
      <c r="K86" s="130"/>
      <c r="L86" s="130"/>
      <c r="M86" s="10" t="s">
        <v>6</v>
      </c>
      <c r="N86" s="10" t="s">
        <v>6</v>
      </c>
      <c r="O86" s="130"/>
      <c r="P86" s="130"/>
      <c r="Q86" s="117"/>
      <c r="R86" s="130"/>
      <c r="S86" s="130"/>
      <c r="T86" s="10" t="s">
        <v>6</v>
      </c>
      <c r="U86" s="10" t="s">
        <v>6</v>
      </c>
      <c r="V86" s="10" t="s">
        <v>6</v>
      </c>
      <c r="W86" s="10" t="s">
        <v>6</v>
      </c>
      <c r="X86" s="130"/>
      <c r="Y86" s="130"/>
      <c r="Z86" s="10" t="s">
        <v>6</v>
      </c>
      <c r="AA86" s="139"/>
      <c r="AB86" s="10" t="s">
        <v>6</v>
      </c>
      <c r="AC86" s="10" t="s">
        <v>6</v>
      </c>
      <c r="AD86" s="139"/>
      <c r="AE86" s="139"/>
      <c r="AF86" s="139"/>
      <c r="AG86" s="131"/>
    </row>
    <row r="87" ht="30.0" customHeight="1">
      <c r="B87" s="132" t="s">
        <v>399</v>
      </c>
      <c r="C87" s="117"/>
      <c r="D87" s="133"/>
      <c r="E87" s="133"/>
      <c r="F87" s="10" t="s">
        <v>6</v>
      </c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17"/>
      <c r="R87" s="133"/>
      <c r="S87" s="133"/>
      <c r="T87" s="133"/>
      <c r="U87" s="10" t="s">
        <v>6</v>
      </c>
      <c r="V87" s="133"/>
      <c r="W87" s="10" t="s">
        <v>6</v>
      </c>
      <c r="X87" s="133"/>
      <c r="Y87" s="133"/>
      <c r="Z87" s="133"/>
      <c r="AA87" s="10" t="s">
        <v>6</v>
      </c>
      <c r="AB87" s="133"/>
      <c r="AC87" s="133"/>
      <c r="AD87" s="133"/>
      <c r="AE87" s="133"/>
      <c r="AF87" s="128"/>
      <c r="AG87" s="134"/>
    </row>
    <row r="88" ht="30.0" customHeight="1">
      <c r="B88" s="138" t="s">
        <v>422</v>
      </c>
      <c r="C88" s="117"/>
      <c r="D88" s="130"/>
      <c r="E88" s="130"/>
      <c r="F88" s="10" t="s">
        <v>6</v>
      </c>
      <c r="G88" s="130"/>
      <c r="H88" s="10" t="s">
        <v>6</v>
      </c>
      <c r="I88" s="130"/>
      <c r="J88" s="130"/>
      <c r="K88" s="130"/>
      <c r="L88" s="130"/>
      <c r="M88" s="10" t="s">
        <v>6</v>
      </c>
      <c r="N88" s="130"/>
      <c r="O88" s="10" t="s">
        <v>6</v>
      </c>
      <c r="P88" s="130"/>
      <c r="Q88" s="117"/>
      <c r="R88" s="130"/>
      <c r="S88" s="130"/>
      <c r="T88" s="10" t="s">
        <v>6</v>
      </c>
      <c r="U88" s="130"/>
      <c r="V88" s="10" t="s">
        <v>6</v>
      </c>
      <c r="W88" s="130"/>
      <c r="X88" s="130"/>
      <c r="Y88" s="130"/>
      <c r="Z88" s="130"/>
      <c r="AA88" s="10" t="s">
        <v>6</v>
      </c>
      <c r="AB88" s="139"/>
      <c r="AC88" s="10" t="s">
        <v>6</v>
      </c>
      <c r="AD88" s="139"/>
      <c r="AE88" s="139"/>
      <c r="AF88" s="139"/>
      <c r="AG88" s="131"/>
    </row>
    <row r="89" ht="30.0" customHeight="1">
      <c r="B89" s="135" t="s">
        <v>423</v>
      </c>
      <c r="C89" s="117"/>
      <c r="D89" s="133"/>
      <c r="E89" s="133"/>
      <c r="F89" s="10" t="s">
        <v>6</v>
      </c>
      <c r="G89" s="133"/>
      <c r="H89" s="133"/>
      <c r="I89" s="133"/>
      <c r="J89" s="133"/>
      <c r="K89" s="133"/>
      <c r="L89" s="133"/>
      <c r="M89" s="133"/>
      <c r="N89" s="10" t="s">
        <v>6</v>
      </c>
      <c r="O89" s="10" t="s">
        <v>6</v>
      </c>
      <c r="P89" s="10" t="s">
        <v>6</v>
      </c>
      <c r="Q89" s="117"/>
      <c r="R89" s="133"/>
      <c r="S89" s="10" t="s">
        <v>6</v>
      </c>
      <c r="T89" s="10" t="s">
        <v>6</v>
      </c>
      <c r="U89" s="133"/>
      <c r="V89" s="10" t="s">
        <v>6</v>
      </c>
      <c r="W89" s="10" t="s">
        <v>6</v>
      </c>
      <c r="X89" s="133"/>
      <c r="Y89" s="133"/>
      <c r="Z89" s="10" t="s">
        <v>6</v>
      </c>
      <c r="AA89" s="133"/>
      <c r="AB89" s="10" t="s">
        <v>6</v>
      </c>
      <c r="AC89" s="133"/>
      <c r="AD89" s="10" t="s">
        <v>6</v>
      </c>
      <c r="AE89" s="133"/>
      <c r="AF89" s="128"/>
      <c r="AG89" s="134"/>
    </row>
    <row r="90" ht="30.0" customHeight="1">
      <c r="B90" s="138" t="s">
        <v>82</v>
      </c>
      <c r="C90" s="117"/>
      <c r="D90" s="130"/>
      <c r="E90" s="130"/>
      <c r="F90" s="10" t="s">
        <v>6</v>
      </c>
      <c r="G90" s="10" t="s">
        <v>6</v>
      </c>
      <c r="H90" s="130"/>
      <c r="I90" s="130"/>
      <c r="J90" s="130"/>
      <c r="K90" s="130"/>
      <c r="L90" s="130"/>
      <c r="M90" s="10" t="s">
        <v>6</v>
      </c>
      <c r="N90" s="130"/>
      <c r="O90" s="130"/>
      <c r="P90" s="10" t="s">
        <v>6</v>
      </c>
      <c r="Q90" s="117"/>
      <c r="R90" s="130"/>
      <c r="S90" s="130"/>
      <c r="T90" s="10" t="s">
        <v>6</v>
      </c>
      <c r="U90" s="10" t="s">
        <v>6</v>
      </c>
      <c r="V90" s="130"/>
      <c r="W90" s="130"/>
      <c r="X90" s="130"/>
      <c r="Y90" s="130"/>
      <c r="Z90" s="130"/>
      <c r="AA90" s="10" t="s">
        <v>6</v>
      </c>
      <c r="AB90" s="10" t="s">
        <v>6</v>
      </c>
      <c r="AC90" s="139"/>
      <c r="AD90" s="139"/>
      <c r="AE90" s="139"/>
      <c r="AF90" s="139"/>
      <c r="AG90" s="131"/>
    </row>
    <row r="91" ht="30.0" customHeight="1">
      <c r="B91" s="135" t="s">
        <v>59</v>
      </c>
      <c r="C91" s="117"/>
      <c r="D91" s="133"/>
      <c r="E91" s="133"/>
      <c r="F91" s="133"/>
      <c r="G91" s="10" t="s">
        <v>6</v>
      </c>
      <c r="H91" s="133"/>
      <c r="I91" s="10" t="s">
        <v>6</v>
      </c>
      <c r="J91" s="10" t="s">
        <v>6</v>
      </c>
      <c r="K91" s="133"/>
      <c r="L91" s="10" t="s">
        <v>6</v>
      </c>
      <c r="M91" s="133"/>
      <c r="N91" s="10" t="s">
        <v>6</v>
      </c>
      <c r="O91" s="133"/>
      <c r="P91" s="133"/>
      <c r="Q91" s="117"/>
      <c r="R91" s="133"/>
      <c r="S91" s="133"/>
      <c r="T91" s="10" t="s">
        <v>6</v>
      </c>
      <c r="U91" s="133"/>
      <c r="V91" s="10" t="s">
        <v>6</v>
      </c>
      <c r="W91" s="133"/>
      <c r="X91" s="133"/>
      <c r="Y91" s="133"/>
      <c r="Z91" s="10" t="s">
        <v>6</v>
      </c>
      <c r="AA91" s="10" t="s">
        <v>6</v>
      </c>
      <c r="AB91" s="10" t="s">
        <v>6</v>
      </c>
      <c r="AC91" s="133"/>
      <c r="AD91" s="133"/>
      <c r="AE91" s="133"/>
      <c r="AF91" s="128"/>
      <c r="AG91" s="134"/>
    </row>
    <row r="92" ht="30.0" customHeight="1">
      <c r="B92" s="138" t="s">
        <v>380</v>
      </c>
      <c r="C92" s="117"/>
      <c r="D92" s="130"/>
      <c r="E92" s="130"/>
      <c r="F92" s="130"/>
      <c r="G92" s="10" t="s">
        <v>6</v>
      </c>
      <c r="H92" s="130"/>
      <c r="I92" s="10" t="s">
        <v>6</v>
      </c>
      <c r="J92" s="130"/>
      <c r="K92" s="130"/>
      <c r="L92" s="130"/>
      <c r="M92" s="130"/>
      <c r="N92" s="130"/>
      <c r="O92" s="10" t="s">
        <v>6</v>
      </c>
      <c r="P92" s="130"/>
      <c r="Q92" s="117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9"/>
      <c r="AC92" s="139"/>
      <c r="AD92" s="10" t="s">
        <v>6</v>
      </c>
      <c r="AE92" s="139"/>
      <c r="AF92" s="139"/>
      <c r="AG92" s="131"/>
    </row>
    <row r="93" ht="30.0" customHeight="1">
      <c r="B93" s="132" t="s">
        <v>294</v>
      </c>
      <c r="C93" s="117"/>
      <c r="D93" s="133"/>
      <c r="E93" s="133"/>
      <c r="F93" s="133"/>
      <c r="G93" s="10" t="s">
        <v>6</v>
      </c>
      <c r="H93" s="133"/>
      <c r="I93" s="133"/>
      <c r="J93" s="133"/>
      <c r="K93" s="133"/>
      <c r="L93" s="10" t="s">
        <v>6</v>
      </c>
      <c r="M93" s="133"/>
      <c r="N93" s="10" t="s">
        <v>6</v>
      </c>
      <c r="O93" s="133"/>
      <c r="P93" s="10" t="s">
        <v>6</v>
      </c>
      <c r="Q93" s="117"/>
      <c r="R93" s="133"/>
      <c r="S93" s="133"/>
      <c r="T93" s="83" t="s">
        <v>174</v>
      </c>
      <c r="U93" s="133"/>
      <c r="V93" s="133"/>
      <c r="W93" s="10" t="s">
        <v>6</v>
      </c>
      <c r="X93" s="133"/>
      <c r="Y93" s="133"/>
      <c r="Z93" s="133"/>
      <c r="AA93" s="133"/>
      <c r="AB93" s="133"/>
      <c r="AC93" s="133"/>
      <c r="AD93" s="133"/>
      <c r="AE93" s="133"/>
      <c r="AF93" s="128"/>
      <c r="AG93" s="134"/>
    </row>
    <row r="94" ht="30.0" customHeight="1">
      <c r="B94" s="138" t="s">
        <v>208</v>
      </c>
      <c r="C94" s="117"/>
      <c r="D94" s="130"/>
      <c r="E94" s="130"/>
      <c r="F94" s="130"/>
      <c r="G94" s="130"/>
      <c r="H94" s="130"/>
      <c r="I94" s="10" t="s">
        <v>6</v>
      </c>
      <c r="J94" s="130"/>
      <c r="K94" s="130"/>
      <c r="L94" s="130"/>
      <c r="M94" s="130"/>
      <c r="N94" s="130"/>
      <c r="O94" s="130"/>
      <c r="P94" s="130"/>
      <c r="Q94" s="117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9"/>
      <c r="AC94" s="139"/>
      <c r="AD94" s="139"/>
      <c r="AE94" s="139"/>
      <c r="AF94" s="139"/>
      <c r="AG94" s="139"/>
    </row>
    <row r="95" ht="30.0" customHeight="1">
      <c r="B95" s="132" t="s">
        <v>402</v>
      </c>
      <c r="C95" s="117"/>
      <c r="D95" s="133"/>
      <c r="E95" s="133"/>
      <c r="F95" s="133"/>
      <c r="G95" s="133"/>
      <c r="H95" s="10" t="s">
        <v>6</v>
      </c>
      <c r="I95" s="133"/>
      <c r="J95" s="133"/>
      <c r="K95" s="133"/>
      <c r="L95" s="133"/>
      <c r="M95" s="133"/>
      <c r="N95" s="133"/>
      <c r="O95" s="133"/>
      <c r="P95" s="133"/>
      <c r="Q95" s="117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28"/>
      <c r="AG95" s="128"/>
    </row>
    <row r="96" ht="30.0" customHeight="1">
      <c r="B96" s="129" t="s">
        <v>377</v>
      </c>
      <c r="C96" s="117"/>
      <c r="D96" s="130"/>
      <c r="E96" s="130"/>
      <c r="F96" s="130"/>
      <c r="G96" s="130"/>
      <c r="H96" s="130"/>
      <c r="I96" s="130"/>
      <c r="J96" s="10" t="s">
        <v>6</v>
      </c>
      <c r="K96" s="130"/>
      <c r="L96" s="130"/>
      <c r="M96" s="130"/>
      <c r="N96" s="130"/>
      <c r="O96" s="130"/>
      <c r="P96" s="130"/>
      <c r="Q96" s="117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9"/>
      <c r="AC96" s="139"/>
      <c r="AD96" s="139"/>
      <c r="AE96" s="139"/>
      <c r="AF96" s="139"/>
      <c r="AG96" s="139"/>
    </row>
    <row r="97" ht="30.0" customHeight="1">
      <c r="B97" s="132" t="s">
        <v>424</v>
      </c>
      <c r="C97" s="117"/>
      <c r="D97" s="133"/>
      <c r="E97" s="133"/>
      <c r="F97" s="133"/>
      <c r="G97" s="133"/>
      <c r="H97" s="133"/>
      <c r="I97" s="133"/>
      <c r="J97" s="10" t="s">
        <v>6</v>
      </c>
      <c r="K97" s="133"/>
      <c r="L97" s="133"/>
      <c r="M97" s="133"/>
      <c r="N97" s="133"/>
      <c r="O97" s="10" t="s">
        <v>6</v>
      </c>
      <c r="P97" s="133"/>
      <c r="Q97" s="117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28"/>
    </row>
    <row r="98" ht="30.0" customHeight="1">
      <c r="B98" s="129" t="s">
        <v>289</v>
      </c>
      <c r="C98" s="117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0" t="s">
        <v>6</v>
      </c>
      <c r="O98" s="130"/>
      <c r="P98" s="10" t="s">
        <v>6</v>
      </c>
      <c r="Q98" s="117"/>
      <c r="R98" s="130"/>
      <c r="S98" s="10" t="s">
        <v>6</v>
      </c>
      <c r="T98" s="130"/>
      <c r="U98" s="130"/>
      <c r="V98" s="10" t="s">
        <v>6</v>
      </c>
      <c r="W98" s="10" t="s">
        <v>6</v>
      </c>
      <c r="X98" s="130"/>
      <c r="Y98" s="130"/>
      <c r="Z98" s="10" t="s">
        <v>6</v>
      </c>
      <c r="AA98" s="130"/>
      <c r="AB98" s="10" t="s">
        <v>6</v>
      </c>
      <c r="AC98" s="10" t="s">
        <v>6</v>
      </c>
      <c r="AD98" s="130"/>
      <c r="AE98" s="10" t="s">
        <v>6</v>
      </c>
      <c r="AF98" s="130"/>
      <c r="AG98" s="139"/>
    </row>
    <row r="99" ht="30.0" customHeight="1">
      <c r="B99" s="132" t="s">
        <v>282</v>
      </c>
      <c r="C99" s="117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0" t="s">
        <v>6</v>
      </c>
      <c r="O99" s="133"/>
      <c r="P99" s="10" t="s">
        <v>6</v>
      </c>
      <c r="Q99" s="117"/>
      <c r="R99" s="133"/>
      <c r="S99" s="133"/>
      <c r="T99" s="133"/>
      <c r="U99" s="10" t="s">
        <v>6</v>
      </c>
      <c r="V99" s="133"/>
      <c r="W99" s="10" t="s">
        <v>6</v>
      </c>
      <c r="X99" s="133"/>
      <c r="Y99" s="133"/>
      <c r="Z99" s="133"/>
      <c r="AA99" s="133"/>
      <c r="AB99" s="10" t="s">
        <v>6</v>
      </c>
      <c r="AC99" s="133"/>
      <c r="AD99" s="133"/>
      <c r="AE99" s="133"/>
      <c r="AF99" s="133"/>
      <c r="AG99" s="128"/>
    </row>
    <row r="100" ht="30.0" customHeight="1">
      <c r="B100" s="129" t="s">
        <v>425</v>
      </c>
      <c r="C100" s="117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17"/>
      <c r="R100" s="130"/>
      <c r="S100" s="130"/>
      <c r="T100" s="130"/>
      <c r="U100" s="10" t="s">
        <v>6</v>
      </c>
      <c r="V100" s="130"/>
      <c r="W100" s="130"/>
      <c r="X100" s="130"/>
      <c r="Y100" s="130"/>
      <c r="Z100" s="10" t="s">
        <v>6</v>
      </c>
      <c r="AA100" s="130"/>
      <c r="AB100" s="130"/>
      <c r="AC100" s="130"/>
      <c r="AD100" s="130"/>
      <c r="AE100" s="10" t="s">
        <v>6</v>
      </c>
      <c r="AF100" s="130"/>
      <c r="AG100" s="139"/>
    </row>
    <row r="101" ht="30.0" customHeight="1">
      <c r="B101" s="132" t="s">
        <v>376</v>
      </c>
      <c r="C101" s="117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17"/>
      <c r="R101" s="133"/>
      <c r="S101" s="133"/>
      <c r="T101" s="133"/>
      <c r="U101" s="133"/>
      <c r="V101" s="133"/>
      <c r="W101" s="133"/>
      <c r="X101" s="10" t="s">
        <v>6</v>
      </c>
      <c r="Y101" s="133"/>
      <c r="Z101" s="133"/>
      <c r="AA101" s="133"/>
      <c r="AB101" s="133"/>
      <c r="AC101" s="133"/>
      <c r="AD101" s="133"/>
      <c r="AE101" s="133"/>
      <c r="AF101" s="133"/>
      <c r="AG101" s="128"/>
    </row>
    <row r="102" ht="30.0" customHeight="1">
      <c r="B102" s="129" t="s">
        <v>426</v>
      </c>
      <c r="C102" s="117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17"/>
      <c r="R102" s="130"/>
      <c r="S102" s="130"/>
      <c r="T102" s="130"/>
      <c r="U102" s="130"/>
      <c r="V102" s="130"/>
      <c r="W102" s="130"/>
      <c r="X102" s="130"/>
      <c r="Y102" s="130"/>
      <c r="Z102" s="130"/>
      <c r="AA102" s="10" t="s">
        <v>6</v>
      </c>
      <c r="AB102" s="130"/>
      <c r="AC102" s="10" t="s">
        <v>6</v>
      </c>
      <c r="AD102" s="130"/>
      <c r="AE102" s="130"/>
      <c r="AF102" s="130"/>
      <c r="AG102" s="139"/>
    </row>
    <row r="103" ht="30.0" customHeight="1">
      <c r="B103" s="132" t="s">
        <v>427</v>
      </c>
      <c r="C103" s="117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17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0" t="s">
        <v>6</v>
      </c>
      <c r="AD103" s="133"/>
      <c r="AE103" s="133"/>
      <c r="AF103" s="133"/>
      <c r="AG103" s="128"/>
    </row>
    <row r="104" ht="30.0" customHeight="1">
      <c r="B104" s="140"/>
      <c r="C104" s="175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75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</row>
    <row r="105" ht="30.0" customHeight="1">
      <c r="B105" s="127"/>
      <c r="C105" s="175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75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</row>
    <row r="106" ht="30.0" customHeight="1">
      <c r="B106" s="140" t="str">
        <f>Noviembre!MonthName&amp;" Total"</f>
        <v>Noviembre Total</v>
      </c>
      <c r="C106" s="175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75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</row>
    <row r="107" ht="30.0" customHeight="1"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34"/>
    </row>
    <row r="108" ht="30.0" customHeight="1">
      <c r="B108" s="38" t="s">
        <v>408</v>
      </c>
      <c r="C108" s="80" t="s">
        <v>338</v>
      </c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31"/>
    </row>
    <row r="109" ht="30.0" customHeight="1">
      <c r="B109" s="32"/>
      <c r="C109" s="133" t="str">
        <f>TEXT(WEEKDAY(DATE(CalendarioAño,8,9),1),"ddd")</f>
        <v>sáb</v>
      </c>
      <c r="D109" s="162" t="s">
        <v>367</v>
      </c>
      <c r="E109" s="162" t="s">
        <v>364</v>
      </c>
      <c r="F109" s="162" t="s">
        <v>365</v>
      </c>
      <c r="G109" s="133" t="str">
        <f>TEXT(WEEKDAY(DATE(CalendarioAño,8,6),1),"ddd")</f>
        <v>mié</v>
      </c>
      <c r="H109" s="133" t="str">
        <f>TEXT(WEEKDAY(DATE(CalendarioAño,8,7),1),"ddd")</f>
        <v>jue</v>
      </c>
      <c r="I109" s="162" t="s">
        <v>366</v>
      </c>
      <c r="J109" s="133" t="str">
        <f>TEXT(WEEKDAY(DATE(CalendarioAño,8,9),1),"ddd")</f>
        <v>sáb</v>
      </c>
      <c r="K109" s="162" t="s">
        <v>367</v>
      </c>
      <c r="L109" s="162" t="s">
        <v>364</v>
      </c>
      <c r="M109" s="162" t="s">
        <v>365</v>
      </c>
      <c r="N109" s="133" t="str">
        <f>TEXT(WEEKDAY(DATE(CalendarioAño,8,6),1),"ddd")</f>
        <v>mié</v>
      </c>
      <c r="O109" s="133" t="str">
        <f>TEXT(WEEKDAY(DATE(CalendarioAño,8,7),1),"ddd")</f>
        <v>jue</v>
      </c>
      <c r="P109" s="162" t="s">
        <v>366</v>
      </c>
      <c r="Q109" s="133" t="str">
        <f>TEXT(WEEKDAY(DATE(CalendarioAño,8,9),1),"ddd")</f>
        <v>sáb</v>
      </c>
      <c r="R109" s="162" t="s">
        <v>367</v>
      </c>
      <c r="S109" s="162" t="s">
        <v>364</v>
      </c>
      <c r="T109" s="162" t="s">
        <v>365</v>
      </c>
      <c r="U109" s="133" t="str">
        <f>TEXT(WEEKDAY(DATE(CalendarioAño,8,6),1),"ddd")</f>
        <v>mié</v>
      </c>
      <c r="V109" s="133" t="str">
        <f>TEXT(WEEKDAY(DATE(CalendarioAño,8,7),1),"ddd")</f>
        <v>jue</v>
      </c>
      <c r="W109" s="162" t="s">
        <v>366</v>
      </c>
      <c r="X109" s="133" t="str">
        <f>TEXT(WEEKDAY(DATE(CalendarioAño,8,9),1),"ddd")</f>
        <v>sáb</v>
      </c>
      <c r="Y109" s="162" t="s">
        <v>367</v>
      </c>
      <c r="Z109" s="162" t="s">
        <v>364</v>
      </c>
      <c r="AA109" s="162" t="s">
        <v>365</v>
      </c>
      <c r="AB109" s="133" t="str">
        <f>TEXT(WEEKDAY(DATE(CalendarioAño,8,6),1),"ddd")</f>
        <v>mié</v>
      </c>
      <c r="AC109" s="133" t="str">
        <f>TEXT(WEEKDAY(DATE(CalendarioAño,8,7),1),"ddd")</f>
        <v>jue</v>
      </c>
      <c r="AD109" s="162" t="s">
        <v>366</v>
      </c>
      <c r="AE109" s="133" t="str">
        <f>TEXT(WEEKDAY(DATE(CalendarioAño,8,9),1),"ddd")</f>
        <v>sáb</v>
      </c>
      <c r="AF109" s="162" t="s">
        <v>367</v>
      </c>
      <c r="AG109" s="134"/>
    </row>
    <row r="110" ht="30.0" customHeight="1">
      <c r="A110" s="115"/>
      <c r="B110" s="116" t="s">
        <v>202</v>
      </c>
      <c r="C110" s="164">
        <v>1.0</v>
      </c>
      <c r="D110" s="164">
        <v>2.0</v>
      </c>
      <c r="E110" s="164">
        <v>3.0</v>
      </c>
      <c r="F110" s="164">
        <v>4.0</v>
      </c>
      <c r="G110" s="164">
        <v>5.0</v>
      </c>
      <c r="H110" s="164">
        <v>6.0</v>
      </c>
      <c r="I110" s="164">
        <v>7.0</v>
      </c>
      <c r="J110" s="164">
        <v>8.0</v>
      </c>
      <c r="K110" s="164">
        <v>9.0</v>
      </c>
      <c r="L110" s="164">
        <v>10.0</v>
      </c>
      <c r="M110" s="117" t="s">
        <v>25</v>
      </c>
      <c r="N110" s="117" t="s">
        <v>26</v>
      </c>
      <c r="O110" s="117" t="s">
        <v>27</v>
      </c>
      <c r="P110" s="117" t="s">
        <v>28</v>
      </c>
      <c r="Q110" s="117" t="s">
        <v>29</v>
      </c>
      <c r="R110" s="117" t="s">
        <v>30</v>
      </c>
      <c r="S110" s="117" t="s">
        <v>31</v>
      </c>
      <c r="T110" s="117" t="s">
        <v>32</v>
      </c>
      <c r="U110" s="117" t="s">
        <v>33</v>
      </c>
      <c r="V110" s="117" t="s">
        <v>34</v>
      </c>
      <c r="W110" s="117" t="s">
        <v>35</v>
      </c>
      <c r="X110" s="117" t="s">
        <v>36</v>
      </c>
      <c r="Y110" s="117" t="s">
        <v>37</v>
      </c>
      <c r="Z110" s="117" t="s">
        <v>38</v>
      </c>
      <c r="AA110" s="117" t="s">
        <v>39</v>
      </c>
      <c r="AB110" s="117" t="s">
        <v>40</v>
      </c>
      <c r="AC110" s="117" t="s">
        <v>41</v>
      </c>
      <c r="AD110" s="117" t="s">
        <v>42</v>
      </c>
      <c r="AE110" s="117" t="s">
        <v>43</v>
      </c>
      <c r="AF110" s="117" t="s">
        <v>44</v>
      </c>
      <c r="AG110" s="131"/>
    </row>
    <row r="111" ht="30.0" customHeight="1">
      <c r="B111" s="132" t="s">
        <v>298</v>
      </c>
      <c r="C111" s="117"/>
      <c r="D111" s="133"/>
      <c r="E111" s="133"/>
      <c r="F111" s="10" t="s">
        <v>6</v>
      </c>
      <c r="G111" s="133"/>
      <c r="H111" s="133"/>
      <c r="I111" s="10" t="s">
        <v>6</v>
      </c>
      <c r="J111" s="133"/>
      <c r="K111" s="133"/>
      <c r="L111" s="133"/>
      <c r="M111" s="133"/>
      <c r="N111" s="10" t="s">
        <v>6</v>
      </c>
      <c r="O111" s="133"/>
      <c r="P111" s="10" t="s">
        <v>6</v>
      </c>
      <c r="Q111" s="117"/>
      <c r="R111" s="133"/>
      <c r="S111" s="133"/>
      <c r="T111" s="133"/>
      <c r="U111" s="10" t="s">
        <v>6</v>
      </c>
      <c r="V111" s="10" t="s">
        <v>6</v>
      </c>
      <c r="W111" s="133"/>
      <c r="X111" s="133"/>
      <c r="Y111" s="133"/>
      <c r="Z111" s="133"/>
      <c r="AA111" s="133"/>
      <c r="AB111" s="10" t="s">
        <v>6</v>
      </c>
      <c r="AC111" s="128"/>
      <c r="AD111" s="10" t="s">
        <v>6</v>
      </c>
      <c r="AE111" s="128"/>
      <c r="AF111" s="128"/>
      <c r="AG111" s="134"/>
    </row>
    <row r="112" ht="30.0" customHeight="1">
      <c r="B112" s="129" t="s">
        <v>178</v>
      </c>
      <c r="C112" s="117"/>
      <c r="D112" s="130"/>
      <c r="E112" s="10" t="s">
        <v>6</v>
      </c>
      <c r="F112" s="130"/>
      <c r="G112" s="130"/>
      <c r="H112" s="130"/>
      <c r="I112" s="130"/>
      <c r="J112" s="10" t="s">
        <v>6</v>
      </c>
      <c r="K112" s="130"/>
      <c r="L112" s="10" t="s">
        <v>6</v>
      </c>
      <c r="M112" s="130"/>
      <c r="N112" s="10" t="s">
        <v>6</v>
      </c>
      <c r="O112" s="130"/>
      <c r="P112" s="130"/>
      <c r="Q112" s="117"/>
      <c r="R112" s="130"/>
      <c r="S112" s="10" t="s">
        <v>6</v>
      </c>
      <c r="T112" s="130"/>
      <c r="U112" s="10" t="s">
        <v>6</v>
      </c>
      <c r="V112" s="130"/>
      <c r="W112" s="130"/>
      <c r="X112" s="10" t="s">
        <v>6</v>
      </c>
      <c r="Y112" s="130"/>
      <c r="Z112" s="10" t="s">
        <v>6</v>
      </c>
      <c r="AA112" s="130"/>
      <c r="AB112" s="10" t="s">
        <v>6</v>
      </c>
      <c r="AC112" s="130"/>
      <c r="AD112" s="130"/>
      <c r="AE112" s="10" t="s">
        <v>6</v>
      </c>
      <c r="AF112" s="130"/>
      <c r="AG112" s="139"/>
    </row>
    <row r="113" ht="30.0" customHeight="1">
      <c r="B113" s="132" t="s">
        <v>358</v>
      </c>
      <c r="C113" s="117"/>
      <c r="D113" s="133"/>
      <c r="E113" s="10" t="s">
        <v>6</v>
      </c>
      <c r="F113" s="133"/>
      <c r="G113" s="10" t="s">
        <v>6</v>
      </c>
      <c r="H113" s="133"/>
      <c r="I113" s="10" t="s">
        <v>6</v>
      </c>
      <c r="J113" s="133"/>
      <c r="K113" s="133"/>
      <c r="L113" s="10" t="s">
        <v>6</v>
      </c>
      <c r="M113" s="133"/>
      <c r="N113" s="10" t="s">
        <v>6</v>
      </c>
      <c r="O113" s="133"/>
      <c r="P113" s="133"/>
      <c r="Q113" s="117"/>
      <c r="R113" s="133"/>
      <c r="S113" s="10" t="s">
        <v>6</v>
      </c>
      <c r="T113" s="133"/>
      <c r="U113" s="10" t="s">
        <v>6</v>
      </c>
      <c r="V113" s="133"/>
      <c r="W113" s="10" t="s">
        <v>6</v>
      </c>
      <c r="X113" s="133"/>
      <c r="Y113" s="133"/>
      <c r="Z113" s="133"/>
      <c r="AA113" s="133"/>
      <c r="AB113" s="128"/>
      <c r="AC113" s="128"/>
      <c r="AD113" s="128"/>
      <c r="AE113" s="128"/>
      <c r="AF113" s="128"/>
      <c r="AG113" s="134"/>
    </row>
    <row r="114" ht="30.0" customHeight="1">
      <c r="B114" s="138" t="s">
        <v>308</v>
      </c>
      <c r="C114" s="117"/>
      <c r="D114" s="130"/>
      <c r="E114" s="130"/>
      <c r="F114" s="130"/>
      <c r="G114" s="10" t="s">
        <v>6</v>
      </c>
      <c r="H114" s="130"/>
      <c r="I114" s="130"/>
      <c r="J114" s="130"/>
      <c r="K114" s="130"/>
      <c r="L114" s="130"/>
      <c r="M114" s="130"/>
      <c r="N114" s="10" t="s">
        <v>6</v>
      </c>
      <c r="O114" s="130"/>
      <c r="P114" s="130"/>
      <c r="Q114" s="117"/>
      <c r="R114" s="130"/>
      <c r="S114" s="130"/>
      <c r="T114" s="130"/>
      <c r="U114" s="10" t="s">
        <v>6</v>
      </c>
      <c r="V114" s="130"/>
      <c r="W114" s="130"/>
      <c r="X114" s="130"/>
      <c r="Y114" s="130"/>
      <c r="Z114" s="130"/>
      <c r="AA114" s="130"/>
      <c r="AB114" s="10" t="s">
        <v>6</v>
      </c>
      <c r="AC114" s="130"/>
      <c r="AD114" s="130"/>
      <c r="AE114" s="130"/>
      <c r="AF114" s="130"/>
      <c r="AG114" s="139"/>
    </row>
    <row r="115" ht="30.0" customHeight="1">
      <c r="B115" s="135" t="s">
        <v>121</v>
      </c>
      <c r="C115" s="117"/>
      <c r="D115" s="133"/>
      <c r="E115" s="133"/>
      <c r="F115" s="133"/>
      <c r="G115" s="10" t="s">
        <v>6</v>
      </c>
      <c r="H115" s="133"/>
      <c r="I115" s="133"/>
      <c r="J115" s="133"/>
      <c r="K115" s="133"/>
      <c r="L115" s="133"/>
      <c r="M115" s="133"/>
      <c r="N115" s="10" t="s">
        <v>6</v>
      </c>
      <c r="O115" s="133"/>
      <c r="P115" s="133"/>
      <c r="Q115" s="117"/>
      <c r="R115" s="133"/>
      <c r="S115" s="133"/>
      <c r="T115" s="133"/>
      <c r="U115" s="10" t="s">
        <v>6</v>
      </c>
      <c r="V115" s="133"/>
      <c r="W115" s="133"/>
      <c r="X115" s="133"/>
      <c r="Y115" s="133"/>
      <c r="Z115" s="133"/>
      <c r="AA115" s="133"/>
      <c r="AB115" s="10" t="s">
        <v>6</v>
      </c>
      <c r="AC115" s="128"/>
      <c r="AD115" s="128"/>
      <c r="AE115" s="128"/>
      <c r="AF115" s="128"/>
      <c r="AG115" s="134"/>
    </row>
    <row r="116" ht="30.0" customHeight="1">
      <c r="B116" s="138" t="s">
        <v>284</v>
      </c>
      <c r="C116" s="117"/>
      <c r="D116" s="130"/>
      <c r="E116" s="130"/>
      <c r="F116" s="130"/>
      <c r="G116" s="10" t="s">
        <v>6</v>
      </c>
      <c r="H116" s="10" t="s">
        <v>6</v>
      </c>
      <c r="I116" s="130"/>
      <c r="J116" s="130"/>
      <c r="K116" s="130"/>
      <c r="L116" s="130"/>
      <c r="M116" s="130"/>
      <c r="N116" s="10" t="s">
        <v>6</v>
      </c>
      <c r="O116" s="130"/>
      <c r="P116" s="130"/>
      <c r="Q116" s="117"/>
      <c r="R116" s="130"/>
      <c r="S116" s="10" t="s">
        <v>6</v>
      </c>
      <c r="T116" s="130"/>
      <c r="U116" s="130"/>
      <c r="V116" s="130"/>
      <c r="W116" s="130"/>
      <c r="X116" s="10" t="s">
        <v>6</v>
      </c>
      <c r="Y116" s="130"/>
      <c r="Z116" s="10" t="s">
        <v>6</v>
      </c>
      <c r="AA116" s="128"/>
      <c r="AB116" s="10" t="s">
        <v>6</v>
      </c>
      <c r="AC116" s="10" t="s">
        <v>6</v>
      </c>
      <c r="AD116" s="130"/>
      <c r="AE116" s="130"/>
      <c r="AF116" s="130"/>
      <c r="AG116" s="139"/>
    </row>
    <row r="117" ht="30.0" customHeight="1">
      <c r="B117" s="135" t="s">
        <v>404</v>
      </c>
      <c r="C117" s="117"/>
      <c r="D117" s="133"/>
      <c r="E117" s="133"/>
      <c r="F117" s="133"/>
      <c r="G117" s="10" t="s">
        <v>6</v>
      </c>
      <c r="H117" s="133"/>
      <c r="I117" s="133"/>
      <c r="J117" s="10" t="s">
        <v>6</v>
      </c>
      <c r="K117" s="133"/>
      <c r="L117" s="133"/>
      <c r="M117" s="133"/>
      <c r="N117" s="10" t="s">
        <v>6</v>
      </c>
      <c r="O117" s="133"/>
      <c r="P117" s="133"/>
      <c r="Q117" s="117"/>
      <c r="R117" s="133"/>
      <c r="S117" s="133"/>
      <c r="T117" s="133"/>
      <c r="U117" s="10" t="s">
        <v>6</v>
      </c>
      <c r="V117" s="133"/>
      <c r="W117" s="133"/>
      <c r="X117" s="10" t="s">
        <v>6</v>
      </c>
      <c r="Y117" s="133"/>
      <c r="Z117" s="133"/>
      <c r="AA117" s="133"/>
      <c r="AB117" s="10" t="s">
        <v>6</v>
      </c>
      <c r="AC117" s="128"/>
      <c r="AD117" s="128"/>
      <c r="AE117" s="10" t="s">
        <v>6</v>
      </c>
      <c r="AF117" s="128"/>
      <c r="AG117" s="134"/>
    </row>
    <row r="118" ht="30.0" customHeight="1">
      <c r="B118" s="129" t="s">
        <v>340</v>
      </c>
      <c r="C118" s="117"/>
      <c r="D118" s="130"/>
      <c r="E118" s="130"/>
      <c r="F118" s="130"/>
      <c r="G118" s="10" t="s">
        <v>6</v>
      </c>
      <c r="H118" s="130"/>
      <c r="I118" s="10" t="s">
        <v>6</v>
      </c>
      <c r="J118" s="130"/>
      <c r="K118" s="130"/>
      <c r="L118" s="130"/>
      <c r="M118" s="130"/>
      <c r="N118" s="10" t="s">
        <v>6</v>
      </c>
      <c r="O118" s="10" t="s">
        <v>6</v>
      </c>
      <c r="P118" s="130"/>
      <c r="Q118" s="117"/>
      <c r="R118" s="130"/>
      <c r="S118" s="130"/>
      <c r="T118" s="10" t="s">
        <v>6</v>
      </c>
      <c r="U118" s="130"/>
      <c r="V118" s="130"/>
      <c r="W118" s="10" t="s">
        <v>6</v>
      </c>
      <c r="X118" s="130"/>
      <c r="Y118" s="130"/>
      <c r="Z118" s="130"/>
      <c r="AA118" s="130"/>
      <c r="AB118" s="10" t="s">
        <v>6</v>
      </c>
      <c r="AC118" s="130"/>
      <c r="AD118" s="10" t="s">
        <v>6</v>
      </c>
      <c r="AE118" s="130"/>
      <c r="AF118" s="130"/>
      <c r="AG118" s="139"/>
    </row>
    <row r="119" ht="30.0" customHeight="1">
      <c r="B119" s="135" t="s">
        <v>341</v>
      </c>
      <c r="C119" s="117"/>
      <c r="D119" s="133"/>
      <c r="E119" s="133"/>
      <c r="F119" s="133"/>
      <c r="G119" s="10" t="s">
        <v>6</v>
      </c>
      <c r="H119" s="133"/>
      <c r="I119" s="10" t="s">
        <v>6</v>
      </c>
      <c r="J119" s="133"/>
      <c r="K119" s="133"/>
      <c r="L119" s="133"/>
      <c r="M119" s="10" t="s">
        <v>6</v>
      </c>
      <c r="N119" s="133"/>
      <c r="O119" s="133"/>
      <c r="P119" s="10" t="s">
        <v>6</v>
      </c>
      <c r="Q119" s="117"/>
      <c r="R119" s="133"/>
      <c r="S119" s="133"/>
      <c r="T119" s="133"/>
      <c r="U119" s="133"/>
      <c r="V119" s="10" t="s">
        <v>6</v>
      </c>
      <c r="W119" s="133"/>
      <c r="X119" s="133"/>
      <c r="Y119" s="133"/>
      <c r="Z119" s="133"/>
      <c r="AA119" s="133"/>
      <c r="AB119" s="128"/>
      <c r="AC119" s="128"/>
      <c r="AD119" s="128"/>
      <c r="AE119" s="128"/>
      <c r="AF119" s="128"/>
      <c r="AG119" s="134"/>
    </row>
    <row r="120" ht="30.0" customHeight="1">
      <c r="B120" s="129" t="s">
        <v>115</v>
      </c>
      <c r="C120" s="117"/>
      <c r="D120" s="130"/>
      <c r="E120" s="130"/>
      <c r="F120" s="130"/>
      <c r="G120" s="130"/>
      <c r="H120" s="130"/>
      <c r="I120" s="10" t="s">
        <v>6</v>
      </c>
      <c r="J120" s="130"/>
      <c r="K120" s="130"/>
      <c r="L120" s="130"/>
      <c r="M120" s="130"/>
      <c r="N120" s="130"/>
      <c r="O120" s="130"/>
      <c r="P120" s="10" t="s">
        <v>6</v>
      </c>
      <c r="Q120" s="117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0" t="s">
        <v>6</v>
      </c>
      <c r="AE120" s="130"/>
      <c r="AF120" s="130"/>
      <c r="AG120" s="139"/>
    </row>
    <row r="121" ht="30.0" customHeight="1">
      <c r="B121" s="135" t="s">
        <v>302</v>
      </c>
      <c r="C121" s="117"/>
      <c r="D121" s="133"/>
      <c r="E121" s="133"/>
      <c r="F121" s="133"/>
      <c r="G121" s="133"/>
      <c r="H121" s="133"/>
      <c r="I121" s="133"/>
      <c r="J121" s="10" t="s">
        <v>6</v>
      </c>
      <c r="K121" s="133"/>
      <c r="L121" s="133"/>
      <c r="M121" s="133"/>
      <c r="N121" s="133"/>
      <c r="O121" s="133"/>
      <c r="P121" s="133"/>
      <c r="Q121" s="117"/>
      <c r="R121" s="133"/>
      <c r="S121" s="133"/>
      <c r="T121" s="133"/>
      <c r="U121" s="133"/>
      <c r="V121" s="133"/>
      <c r="W121" s="133"/>
      <c r="X121" s="10" t="s">
        <v>6</v>
      </c>
      <c r="Y121" s="133"/>
      <c r="Z121" s="133"/>
      <c r="AA121" s="133"/>
      <c r="AB121" s="128"/>
      <c r="AC121" s="128"/>
      <c r="AD121" s="128"/>
      <c r="AE121" s="10" t="s">
        <v>6</v>
      </c>
      <c r="AF121" s="128"/>
      <c r="AG121" s="134"/>
    </row>
    <row r="122" ht="30.0" customHeight="1">
      <c r="B122" s="138" t="s">
        <v>105</v>
      </c>
      <c r="C122" s="175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0" t="s">
        <v>6</v>
      </c>
      <c r="P122" s="139"/>
      <c r="Q122" s="175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1"/>
    </row>
    <row r="123" ht="30.0" customHeight="1">
      <c r="B123" s="135" t="s">
        <v>379</v>
      </c>
      <c r="C123" s="175"/>
      <c r="D123" s="128"/>
      <c r="E123" s="128"/>
      <c r="F123" s="128"/>
      <c r="G123" s="128"/>
      <c r="H123" s="128"/>
      <c r="I123" s="128"/>
      <c r="J123" s="10" t="s">
        <v>6</v>
      </c>
      <c r="K123" s="128"/>
      <c r="L123" s="128"/>
      <c r="M123" s="128"/>
      <c r="N123" s="128"/>
      <c r="O123" s="128"/>
      <c r="P123" s="10" t="s">
        <v>6</v>
      </c>
      <c r="Q123" s="175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0" t="s">
        <v>6</v>
      </c>
      <c r="AF123" s="128"/>
      <c r="AG123" s="134"/>
    </row>
    <row r="124" ht="30.0" customHeight="1">
      <c r="B124" s="138" t="s">
        <v>428</v>
      </c>
      <c r="C124" s="175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75"/>
      <c r="R124" s="139"/>
      <c r="S124" s="139"/>
      <c r="T124" s="139"/>
      <c r="U124" s="10" t="s">
        <v>6</v>
      </c>
      <c r="V124" s="139"/>
      <c r="W124" s="139"/>
      <c r="X124" s="10" t="s">
        <v>6</v>
      </c>
      <c r="Y124" s="139"/>
      <c r="Z124" s="139"/>
      <c r="AA124" s="139"/>
      <c r="AB124" s="139"/>
      <c r="AC124" s="139"/>
      <c r="AD124" s="139"/>
      <c r="AE124" s="139"/>
      <c r="AF124" s="139"/>
      <c r="AG124" s="131"/>
    </row>
    <row r="125" ht="30.0" customHeight="1">
      <c r="B125" s="135" t="s">
        <v>133</v>
      </c>
      <c r="C125" s="175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75"/>
      <c r="R125" s="128"/>
      <c r="S125" s="128"/>
      <c r="T125" s="128"/>
      <c r="U125" s="128"/>
      <c r="V125" s="128"/>
      <c r="W125" s="10" t="s">
        <v>6</v>
      </c>
      <c r="X125" s="128"/>
      <c r="Y125" s="128"/>
      <c r="Z125" s="128"/>
      <c r="AA125" s="128"/>
      <c r="AB125" s="10" t="s">
        <v>6</v>
      </c>
      <c r="AC125" s="128"/>
      <c r="AD125" s="10" t="s">
        <v>6</v>
      </c>
      <c r="AE125" s="128"/>
      <c r="AF125" s="128"/>
      <c r="AG125" s="134"/>
    </row>
    <row r="126" ht="30.0" customHeight="1">
      <c r="B126" s="138" t="s">
        <v>429</v>
      </c>
      <c r="C126" s="175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75"/>
      <c r="R126" s="139"/>
      <c r="S126" s="139"/>
      <c r="T126" s="139"/>
      <c r="U126" s="139"/>
      <c r="V126" s="139"/>
      <c r="W126" s="139"/>
      <c r="X126" s="10" t="s">
        <v>6</v>
      </c>
      <c r="Y126" s="139"/>
      <c r="Z126" s="139"/>
      <c r="AA126" s="10" t="s">
        <v>6</v>
      </c>
      <c r="AB126" s="139"/>
      <c r="AC126" s="139"/>
      <c r="AD126" s="139"/>
      <c r="AE126" s="10" t="s">
        <v>6</v>
      </c>
      <c r="AF126" s="139"/>
      <c r="AG126" s="131"/>
    </row>
    <row r="127" ht="30.0" customHeight="1">
      <c r="B127" s="127"/>
      <c r="C127" s="175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75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34"/>
    </row>
    <row r="128" ht="30.0" customHeight="1">
      <c r="B128" s="140"/>
      <c r="C128" s="175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75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1"/>
    </row>
    <row r="129" ht="30.0" customHeight="1">
      <c r="B129" s="127" t="str">
        <f>Noviembre!MonthName&amp;" Total"</f>
        <v>Noviembre Total</v>
      </c>
      <c r="C129" s="175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75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34"/>
    </row>
    <row r="130" ht="30.0" customHeight="1"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1"/>
    </row>
    <row r="131" ht="30.0" customHeight="1">
      <c r="B131" s="38" t="s">
        <v>408</v>
      </c>
      <c r="C131" s="101" t="s">
        <v>359</v>
      </c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4"/>
    </row>
    <row r="132" ht="30.0" customHeight="1">
      <c r="B132" s="32"/>
      <c r="C132" s="130" t="str">
        <f>TEXT(WEEKDAY(DATE(CalendarioAño,8,9),1),"ddd")</f>
        <v>sáb</v>
      </c>
      <c r="D132" s="161" t="s">
        <v>367</v>
      </c>
      <c r="E132" s="161" t="s">
        <v>364</v>
      </c>
      <c r="F132" s="161" t="s">
        <v>365</v>
      </c>
      <c r="G132" s="130" t="str">
        <f>TEXT(WEEKDAY(DATE(CalendarioAño,8,6),1),"ddd")</f>
        <v>mié</v>
      </c>
      <c r="H132" s="130" t="str">
        <f>TEXT(WEEKDAY(DATE(CalendarioAño,8,7),1),"ddd")</f>
        <v>jue</v>
      </c>
      <c r="I132" s="161" t="s">
        <v>366</v>
      </c>
      <c r="J132" s="130" t="str">
        <f>TEXT(WEEKDAY(DATE(CalendarioAño,8,9),1),"ddd")</f>
        <v>sáb</v>
      </c>
      <c r="K132" s="161" t="s">
        <v>367</v>
      </c>
      <c r="L132" s="161" t="s">
        <v>364</v>
      </c>
      <c r="M132" s="161" t="s">
        <v>365</v>
      </c>
      <c r="N132" s="130" t="str">
        <f>TEXT(WEEKDAY(DATE(CalendarioAño,8,6),1),"ddd")</f>
        <v>mié</v>
      </c>
      <c r="O132" s="130" t="str">
        <f>TEXT(WEEKDAY(DATE(CalendarioAño,8,7),1),"ddd")</f>
        <v>jue</v>
      </c>
      <c r="P132" s="161" t="s">
        <v>366</v>
      </c>
      <c r="Q132" s="130" t="str">
        <f>TEXT(WEEKDAY(DATE(CalendarioAño,8,9),1),"ddd")</f>
        <v>sáb</v>
      </c>
      <c r="R132" s="161" t="s">
        <v>367</v>
      </c>
      <c r="S132" s="161" t="s">
        <v>364</v>
      </c>
      <c r="T132" s="161" t="s">
        <v>365</v>
      </c>
      <c r="U132" s="130" t="str">
        <f>TEXT(WEEKDAY(DATE(CalendarioAño,8,6),1),"ddd")</f>
        <v>mié</v>
      </c>
      <c r="V132" s="130" t="str">
        <f>TEXT(WEEKDAY(DATE(CalendarioAño,8,7),1),"ddd")</f>
        <v>jue</v>
      </c>
      <c r="W132" s="161" t="s">
        <v>366</v>
      </c>
      <c r="X132" s="130" t="str">
        <f>TEXT(WEEKDAY(DATE(CalendarioAño,8,9),1),"ddd")</f>
        <v>sáb</v>
      </c>
      <c r="Y132" s="161" t="s">
        <v>367</v>
      </c>
      <c r="Z132" s="161" t="s">
        <v>364</v>
      </c>
      <c r="AA132" s="161" t="s">
        <v>365</v>
      </c>
      <c r="AB132" s="130" t="str">
        <f>TEXT(WEEKDAY(DATE(CalendarioAño,8,6),1),"ddd")</f>
        <v>mié</v>
      </c>
      <c r="AC132" s="130" t="str">
        <f>TEXT(WEEKDAY(DATE(CalendarioAño,8,7),1),"ddd")</f>
        <v>jue</v>
      </c>
      <c r="AD132" s="161" t="s">
        <v>366</v>
      </c>
      <c r="AE132" s="130" t="str">
        <f>TEXT(WEEKDAY(DATE(CalendarioAño,8,9),1),"ddd")</f>
        <v>sáb</v>
      </c>
      <c r="AF132" s="161" t="s">
        <v>367</v>
      </c>
      <c r="AG132" s="131"/>
    </row>
    <row r="133" ht="30.0" customHeight="1">
      <c r="A133" s="115"/>
      <c r="B133" s="116" t="s">
        <v>202</v>
      </c>
      <c r="C133" s="164">
        <v>1.0</v>
      </c>
      <c r="D133" s="164">
        <v>2.0</v>
      </c>
      <c r="E133" s="164">
        <v>3.0</v>
      </c>
      <c r="F133" s="164">
        <v>4.0</v>
      </c>
      <c r="G133" s="164">
        <v>5.0</v>
      </c>
      <c r="H133" s="164">
        <v>6.0</v>
      </c>
      <c r="I133" s="164">
        <v>7.0</v>
      </c>
      <c r="J133" s="164">
        <v>8.0</v>
      </c>
      <c r="K133" s="164">
        <v>9.0</v>
      </c>
      <c r="L133" s="164">
        <v>10.0</v>
      </c>
      <c r="M133" s="117" t="s">
        <v>25</v>
      </c>
      <c r="N133" s="117" t="s">
        <v>26</v>
      </c>
      <c r="O133" s="117" t="s">
        <v>27</v>
      </c>
      <c r="P133" s="117" t="s">
        <v>28</v>
      </c>
      <c r="Q133" s="117" t="s">
        <v>29</v>
      </c>
      <c r="R133" s="117" t="s">
        <v>30</v>
      </c>
      <c r="S133" s="117" t="s">
        <v>31</v>
      </c>
      <c r="T133" s="117" t="s">
        <v>32</v>
      </c>
      <c r="U133" s="117" t="s">
        <v>33</v>
      </c>
      <c r="V133" s="117" t="s">
        <v>34</v>
      </c>
      <c r="W133" s="117" t="s">
        <v>35</v>
      </c>
      <c r="X133" s="117" t="s">
        <v>36</v>
      </c>
      <c r="Y133" s="117" t="s">
        <v>37</v>
      </c>
      <c r="Z133" s="117" t="s">
        <v>38</v>
      </c>
      <c r="AA133" s="117" t="s">
        <v>39</v>
      </c>
      <c r="AB133" s="117" t="s">
        <v>40</v>
      </c>
      <c r="AC133" s="117" t="s">
        <v>41</v>
      </c>
      <c r="AD133" s="117" t="s">
        <v>42</v>
      </c>
      <c r="AE133" s="117" t="s">
        <v>43</v>
      </c>
      <c r="AF133" s="117" t="s">
        <v>44</v>
      </c>
      <c r="AG133" s="134"/>
    </row>
    <row r="134" ht="30.0" customHeight="1">
      <c r="B134" s="129" t="s">
        <v>309</v>
      </c>
      <c r="C134" s="117"/>
      <c r="D134" s="130"/>
      <c r="E134" s="10" t="s">
        <v>6</v>
      </c>
      <c r="F134" s="130"/>
      <c r="G134" s="130"/>
      <c r="H134" s="130"/>
      <c r="I134" s="130"/>
      <c r="J134" s="130"/>
      <c r="K134" s="130"/>
      <c r="L134" s="10" t="s">
        <v>6</v>
      </c>
      <c r="M134" s="130"/>
      <c r="N134" s="130"/>
      <c r="O134" s="10" t="s">
        <v>6</v>
      </c>
      <c r="P134" s="130"/>
      <c r="Q134" s="117"/>
      <c r="R134" s="130"/>
      <c r="S134" s="10" t="s">
        <v>6</v>
      </c>
      <c r="T134" s="130"/>
      <c r="U134" s="130"/>
      <c r="V134" s="130"/>
      <c r="W134" s="130"/>
      <c r="X134" s="130"/>
      <c r="Y134" s="130"/>
      <c r="Z134" s="10" t="s">
        <v>6</v>
      </c>
      <c r="AA134" s="130"/>
      <c r="AB134" s="139"/>
      <c r="AC134" s="139"/>
      <c r="AD134" s="10" t="s">
        <v>6</v>
      </c>
      <c r="AE134" s="139"/>
      <c r="AF134" s="139"/>
      <c r="AG134" s="131"/>
    </row>
    <row r="135" ht="30.0" customHeight="1">
      <c r="B135" s="132" t="s">
        <v>251</v>
      </c>
      <c r="C135" s="117"/>
      <c r="D135" s="133"/>
      <c r="E135" s="10" t="s">
        <v>6</v>
      </c>
      <c r="F135" s="133"/>
      <c r="G135" s="133"/>
      <c r="H135" s="133"/>
      <c r="I135" s="133"/>
      <c r="J135" s="133"/>
      <c r="K135" s="133"/>
      <c r="L135" s="10" t="s">
        <v>6</v>
      </c>
      <c r="M135" s="133"/>
      <c r="N135" s="133"/>
      <c r="O135" s="133"/>
      <c r="P135" s="133"/>
      <c r="Q135" s="117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28"/>
    </row>
    <row r="136" ht="30.0" customHeight="1">
      <c r="B136" s="129" t="s">
        <v>405</v>
      </c>
      <c r="C136" s="117"/>
      <c r="D136" s="130"/>
      <c r="E136" s="10" t="s">
        <v>6</v>
      </c>
      <c r="F136" s="130"/>
      <c r="G136" s="10" t="s">
        <v>6</v>
      </c>
      <c r="H136" s="130"/>
      <c r="I136" s="130"/>
      <c r="J136" s="130"/>
      <c r="K136" s="130"/>
      <c r="L136" s="10" t="s">
        <v>6</v>
      </c>
      <c r="M136" s="10" t="s">
        <v>6</v>
      </c>
      <c r="N136" s="130"/>
      <c r="O136" s="130"/>
      <c r="P136" s="130"/>
      <c r="Q136" s="117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0" t="s">
        <v>6</v>
      </c>
      <c r="AC136" s="139"/>
      <c r="AD136" s="139"/>
      <c r="AE136" s="139"/>
      <c r="AF136" s="139"/>
      <c r="AG136" s="131"/>
    </row>
    <row r="137" ht="30.0" customHeight="1">
      <c r="B137" s="135" t="s">
        <v>383</v>
      </c>
      <c r="C137" s="117"/>
      <c r="D137" s="133"/>
      <c r="E137" s="133"/>
      <c r="F137" s="10" t="s">
        <v>6</v>
      </c>
      <c r="G137" s="133"/>
      <c r="H137" s="10" t="s">
        <v>6</v>
      </c>
      <c r="I137" s="133"/>
      <c r="J137" s="133"/>
      <c r="K137" s="133"/>
      <c r="L137" s="133"/>
      <c r="M137" s="133"/>
      <c r="N137" s="133"/>
      <c r="O137" s="133"/>
      <c r="P137" s="133"/>
      <c r="Q137" s="117"/>
      <c r="R137" s="133"/>
      <c r="S137" s="133"/>
      <c r="T137" s="10" t="s">
        <v>6</v>
      </c>
      <c r="U137" s="133"/>
      <c r="V137" s="10" t="s">
        <v>6</v>
      </c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28"/>
    </row>
    <row r="138" ht="30.0" customHeight="1">
      <c r="B138" s="138" t="s">
        <v>184</v>
      </c>
      <c r="C138" s="117"/>
      <c r="D138" s="130"/>
      <c r="E138" s="130"/>
      <c r="F138" s="130"/>
      <c r="G138" s="10" t="s">
        <v>6</v>
      </c>
      <c r="H138" s="130"/>
      <c r="I138" s="10" t="s">
        <v>6</v>
      </c>
      <c r="J138" s="130"/>
      <c r="K138" s="130"/>
      <c r="L138" s="130"/>
      <c r="M138" s="130"/>
      <c r="N138" s="10" t="s">
        <v>6</v>
      </c>
      <c r="O138" s="130"/>
      <c r="P138" s="10" t="s">
        <v>6</v>
      </c>
      <c r="Q138" s="117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9"/>
      <c r="AC138" s="139"/>
      <c r="AD138" s="139"/>
      <c r="AE138" s="139"/>
      <c r="AF138" s="139"/>
      <c r="AG138" s="146"/>
    </row>
    <row r="139" ht="30.0" customHeight="1">
      <c r="B139" s="135" t="s">
        <v>360</v>
      </c>
      <c r="C139" s="117"/>
      <c r="D139" s="133"/>
      <c r="E139" s="133"/>
      <c r="F139" s="133"/>
      <c r="G139" s="133"/>
      <c r="H139" s="10" t="s">
        <v>6</v>
      </c>
      <c r="I139" s="10" t="s">
        <v>6</v>
      </c>
      <c r="J139" s="133"/>
      <c r="K139" s="133"/>
      <c r="L139" s="133"/>
      <c r="M139" s="10" t="s">
        <v>6</v>
      </c>
      <c r="N139" s="133"/>
      <c r="O139" s="10" t="s">
        <v>6</v>
      </c>
      <c r="P139" s="133"/>
      <c r="Q139" s="117"/>
      <c r="R139" s="133"/>
      <c r="S139" s="133"/>
      <c r="T139" s="10" t="s">
        <v>6</v>
      </c>
      <c r="U139" s="133"/>
      <c r="V139" s="10" t="s">
        <v>6</v>
      </c>
      <c r="W139" s="133"/>
      <c r="X139" s="133"/>
      <c r="Y139" s="133"/>
      <c r="Z139" s="133"/>
      <c r="AA139" s="10" t="s">
        <v>6</v>
      </c>
      <c r="AB139" s="133"/>
      <c r="AC139" s="10" t="s">
        <v>6</v>
      </c>
      <c r="AD139" s="133"/>
      <c r="AE139" s="133"/>
      <c r="AF139" s="133"/>
      <c r="AG139" s="128"/>
    </row>
    <row r="140" ht="30.0" customHeight="1">
      <c r="B140" s="138" t="s">
        <v>307</v>
      </c>
      <c r="C140" s="117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0" t="s">
        <v>6</v>
      </c>
      <c r="O140" s="130"/>
      <c r="P140" s="10" t="s">
        <v>6</v>
      </c>
      <c r="Q140" s="117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77" t="s">
        <v>6</v>
      </c>
      <c r="AC140" s="139"/>
      <c r="AD140" s="139"/>
      <c r="AE140" s="139"/>
      <c r="AF140" s="139"/>
      <c r="AG140" s="146"/>
    </row>
    <row r="141" ht="30.0" customHeight="1">
      <c r="B141" s="132" t="s">
        <v>215</v>
      </c>
      <c r="C141" s="117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17"/>
      <c r="R141" s="133"/>
      <c r="S141" s="10" t="s">
        <v>6</v>
      </c>
      <c r="T141" s="133"/>
      <c r="U141" s="133"/>
      <c r="V141" s="133"/>
      <c r="W141" s="133"/>
      <c r="X141" s="133"/>
      <c r="Y141" s="133"/>
      <c r="Z141" s="10" t="s">
        <v>6</v>
      </c>
      <c r="AA141" s="133"/>
      <c r="AB141" s="10" t="s">
        <v>6</v>
      </c>
      <c r="AC141" s="133"/>
      <c r="AD141" s="133"/>
      <c r="AE141" s="133"/>
      <c r="AF141" s="133"/>
      <c r="AG141" s="128"/>
    </row>
    <row r="142" ht="30.0" customHeight="1">
      <c r="B142" s="138"/>
      <c r="C142" s="175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17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1"/>
    </row>
    <row r="143" ht="30.0" customHeight="1">
      <c r="B143" s="132"/>
      <c r="C143" s="175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75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4"/>
    </row>
    <row r="144" ht="30.0" customHeight="1">
      <c r="B144" s="138"/>
      <c r="C144" s="175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75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</row>
    <row r="145" ht="30.0" customHeight="1">
      <c r="B145" s="132"/>
      <c r="C145" s="175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75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4"/>
    </row>
    <row r="146" ht="30.0" customHeight="1">
      <c r="B146" s="140"/>
      <c r="C146" s="175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75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1"/>
    </row>
    <row r="147" ht="30.0" customHeight="1">
      <c r="B147" s="127" t="str">
        <f>Noviembre!MonthName&amp;" Total"</f>
        <v>Noviembre Total</v>
      </c>
      <c r="C147" s="175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75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4"/>
    </row>
    <row r="148" ht="30.0" customHeight="1">
      <c r="B148" s="14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31"/>
    </row>
    <row r="149" ht="30.0" customHeight="1">
      <c r="B149" s="38" t="s">
        <v>408</v>
      </c>
      <c r="C149" s="101" t="s">
        <v>345</v>
      </c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4"/>
    </row>
    <row r="150" ht="30.0" customHeight="1">
      <c r="B150" s="32"/>
      <c r="C150" s="130" t="str">
        <f>TEXT(WEEKDAY(DATE(CalendarioAño,8,9),1),"ddd")</f>
        <v>sáb</v>
      </c>
      <c r="D150" s="161" t="s">
        <v>367</v>
      </c>
      <c r="E150" s="161" t="s">
        <v>364</v>
      </c>
      <c r="F150" s="161" t="s">
        <v>365</v>
      </c>
      <c r="G150" s="130" t="str">
        <f>TEXT(WEEKDAY(DATE(CalendarioAño,8,6),1),"ddd")</f>
        <v>mié</v>
      </c>
      <c r="H150" s="130" t="str">
        <f>TEXT(WEEKDAY(DATE(CalendarioAño,8,7),1),"ddd")</f>
        <v>jue</v>
      </c>
      <c r="I150" s="161" t="s">
        <v>366</v>
      </c>
      <c r="J150" s="130" t="str">
        <f>TEXT(WEEKDAY(DATE(CalendarioAño,8,9),1),"ddd")</f>
        <v>sáb</v>
      </c>
      <c r="K150" s="161" t="s">
        <v>367</v>
      </c>
      <c r="L150" s="161" t="s">
        <v>364</v>
      </c>
      <c r="M150" s="161" t="s">
        <v>365</v>
      </c>
      <c r="N150" s="130" t="str">
        <f>TEXT(WEEKDAY(DATE(CalendarioAño,8,6),1),"ddd")</f>
        <v>mié</v>
      </c>
      <c r="O150" s="130" t="str">
        <f>TEXT(WEEKDAY(DATE(CalendarioAño,8,7),1),"ddd")</f>
        <v>jue</v>
      </c>
      <c r="P150" s="161" t="s">
        <v>366</v>
      </c>
      <c r="Q150" s="130" t="str">
        <f>TEXT(WEEKDAY(DATE(CalendarioAño,8,9),1),"ddd")</f>
        <v>sáb</v>
      </c>
      <c r="R150" s="161" t="s">
        <v>367</v>
      </c>
      <c r="S150" s="161" t="s">
        <v>364</v>
      </c>
      <c r="T150" s="161" t="s">
        <v>365</v>
      </c>
      <c r="U150" s="130" t="str">
        <f>TEXT(WEEKDAY(DATE(CalendarioAño,8,6),1),"ddd")</f>
        <v>mié</v>
      </c>
      <c r="V150" s="130" t="str">
        <f>TEXT(WEEKDAY(DATE(CalendarioAño,8,7),1),"ddd")</f>
        <v>jue</v>
      </c>
      <c r="W150" s="161" t="s">
        <v>366</v>
      </c>
      <c r="X150" s="130" t="str">
        <f>TEXT(WEEKDAY(DATE(CalendarioAño,8,9),1),"ddd")</f>
        <v>sáb</v>
      </c>
      <c r="Y150" s="161" t="s">
        <v>367</v>
      </c>
      <c r="Z150" s="161" t="s">
        <v>364</v>
      </c>
      <c r="AA150" s="161" t="s">
        <v>365</v>
      </c>
      <c r="AB150" s="130" t="str">
        <f>TEXT(WEEKDAY(DATE(CalendarioAño,8,6),1),"ddd")</f>
        <v>mié</v>
      </c>
      <c r="AC150" s="130" t="str">
        <f>TEXT(WEEKDAY(DATE(CalendarioAño,8,7),1),"ddd")</f>
        <v>jue</v>
      </c>
      <c r="AD150" s="161" t="s">
        <v>366</v>
      </c>
      <c r="AE150" s="130" t="str">
        <f>TEXT(WEEKDAY(DATE(CalendarioAño,8,9),1),"ddd")</f>
        <v>sáb</v>
      </c>
      <c r="AF150" s="161" t="s">
        <v>367</v>
      </c>
      <c r="AG150" s="131"/>
    </row>
    <row r="151" ht="30.0" customHeight="1">
      <c r="A151" s="115"/>
      <c r="B151" s="116" t="s">
        <v>202</v>
      </c>
      <c r="C151" s="164">
        <v>1.0</v>
      </c>
      <c r="D151" s="164">
        <v>2.0</v>
      </c>
      <c r="E151" s="164">
        <v>3.0</v>
      </c>
      <c r="F151" s="164">
        <v>4.0</v>
      </c>
      <c r="G151" s="164">
        <v>5.0</v>
      </c>
      <c r="H151" s="164">
        <v>6.0</v>
      </c>
      <c r="I151" s="164">
        <v>7.0</v>
      </c>
      <c r="J151" s="164">
        <v>8.0</v>
      </c>
      <c r="K151" s="164">
        <v>9.0</v>
      </c>
      <c r="L151" s="164">
        <v>10.0</v>
      </c>
      <c r="M151" s="117" t="s">
        <v>25</v>
      </c>
      <c r="N151" s="117" t="s">
        <v>26</v>
      </c>
      <c r="O151" s="117" t="s">
        <v>27</v>
      </c>
      <c r="P151" s="117" t="s">
        <v>28</v>
      </c>
      <c r="Q151" s="117" t="s">
        <v>29</v>
      </c>
      <c r="R151" s="117" t="s">
        <v>30</v>
      </c>
      <c r="S151" s="117" t="s">
        <v>31</v>
      </c>
      <c r="T151" s="117" t="s">
        <v>32</v>
      </c>
      <c r="U151" s="117" t="s">
        <v>33</v>
      </c>
      <c r="V151" s="117" t="s">
        <v>34</v>
      </c>
      <c r="W151" s="117" t="s">
        <v>35</v>
      </c>
      <c r="X151" s="117" t="s">
        <v>36</v>
      </c>
      <c r="Y151" s="117" t="s">
        <v>37</v>
      </c>
      <c r="Z151" s="117" t="s">
        <v>38</v>
      </c>
      <c r="AA151" s="117" t="s">
        <v>39</v>
      </c>
      <c r="AB151" s="117" t="s">
        <v>40</v>
      </c>
      <c r="AC151" s="117" t="s">
        <v>41</v>
      </c>
      <c r="AD151" s="117" t="s">
        <v>42</v>
      </c>
      <c r="AE151" s="117" t="s">
        <v>43</v>
      </c>
      <c r="AF151" s="117" t="s">
        <v>44</v>
      </c>
      <c r="AG151" s="128"/>
    </row>
    <row r="152" ht="30.0" customHeight="1">
      <c r="B152" s="129" t="s">
        <v>343</v>
      </c>
      <c r="C152" s="117"/>
      <c r="D152" s="130"/>
      <c r="E152" s="130"/>
      <c r="F152" s="130"/>
      <c r="G152" s="10" t="s">
        <v>6</v>
      </c>
      <c r="H152" s="130"/>
      <c r="I152" s="130"/>
      <c r="J152" s="130"/>
      <c r="K152" s="130"/>
      <c r="L152" s="130"/>
      <c r="M152" s="130"/>
      <c r="N152" s="130"/>
      <c r="O152" s="130"/>
      <c r="P152" s="10" t="s">
        <v>6</v>
      </c>
      <c r="Q152" s="117"/>
      <c r="R152" s="130"/>
      <c r="S152" s="130"/>
      <c r="T152" s="130"/>
      <c r="U152" s="130"/>
      <c r="V152" s="130"/>
      <c r="W152" s="10" t="s">
        <v>6</v>
      </c>
      <c r="X152" s="130"/>
      <c r="Y152" s="130"/>
      <c r="Z152" s="130"/>
      <c r="AA152" s="130"/>
      <c r="AB152" s="139"/>
      <c r="AC152" s="139"/>
      <c r="AD152" s="10" t="s">
        <v>6</v>
      </c>
      <c r="AE152" s="139"/>
      <c r="AF152" s="139"/>
      <c r="AG152" s="149"/>
    </row>
    <row r="153" ht="30.0" customHeight="1">
      <c r="B153" s="132" t="s">
        <v>384</v>
      </c>
      <c r="C153" s="117"/>
      <c r="D153" s="133"/>
      <c r="E153" s="133"/>
      <c r="F153" s="133"/>
      <c r="G153" s="10" t="s">
        <v>6</v>
      </c>
      <c r="H153" s="133"/>
      <c r="I153" s="133"/>
      <c r="J153" s="133"/>
      <c r="K153" s="133"/>
      <c r="L153" s="133"/>
      <c r="M153" s="133"/>
      <c r="N153" s="133"/>
      <c r="O153" s="133"/>
      <c r="P153" s="133"/>
      <c r="Q153" s="117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28"/>
    </row>
    <row r="154" ht="30.0" customHeight="1">
      <c r="B154" s="129" t="s">
        <v>189</v>
      </c>
      <c r="C154" s="117"/>
      <c r="D154" s="130"/>
      <c r="E154" s="10" t="s">
        <v>6</v>
      </c>
      <c r="F154" s="130"/>
      <c r="G154" s="130"/>
      <c r="H154" s="130"/>
      <c r="I154" s="10" t="s">
        <v>6</v>
      </c>
      <c r="J154" s="130"/>
      <c r="K154" s="130"/>
      <c r="L154" s="130"/>
      <c r="M154" s="130"/>
      <c r="N154" s="130"/>
      <c r="O154" s="130"/>
      <c r="P154" s="130"/>
      <c r="Q154" s="117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9"/>
      <c r="AC154" s="139"/>
      <c r="AD154" s="139"/>
      <c r="AE154" s="139"/>
      <c r="AF154" s="139"/>
      <c r="AG154" s="151"/>
    </row>
    <row r="155" ht="30.0" customHeight="1">
      <c r="B155" s="135" t="s">
        <v>430</v>
      </c>
      <c r="C155" s="117"/>
      <c r="D155" s="133"/>
      <c r="E155" s="133"/>
      <c r="F155" s="133"/>
      <c r="G155" s="133"/>
      <c r="H155" s="133"/>
      <c r="I155" s="133"/>
      <c r="J155" s="10" t="s">
        <v>6</v>
      </c>
      <c r="K155" s="133"/>
      <c r="L155" s="133"/>
      <c r="M155" s="133"/>
      <c r="N155" s="133"/>
      <c r="O155" s="133"/>
      <c r="P155" s="10" t="s">
        <v>6</v>
      </c>
      <c r="Q155" s="117"/>
      <c r="R155" s="133"/>
      <c r="S155" s="10" t="s">
        <v>6</v>
      </c>
      <c r="T155" s="133"/>
      <c r="U155" s="133"/>
      <c r="V155" s="133"/>
      <c r="W155" s="10" t="s">
        <v>6</v>
      </c>
      <c r="X155" s="10" t="s">
        <v>6</v>
      </c>
      <c r="Y155" s="133"/>
      <c r="Z155" s="10" t="s">
        <v>6</v>
      </c>
      <c r="AA155" s="133"/>
      <c r="AB155" s="133"/>
      <c r="AC155" s="133"/>
      <c r="AD155" s="10" t="s">
        <v>6</v>
      </c>
      <c r="AE155" s="133"/>
      <c r="AF155" s="133"/>
      <c r="AG155" s="128"/>
    </row>
    <row r="156" ht="30.0" customHeight="1">
      <c r="B156" s="129"/>
      <c r="C156" s="117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17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9"/>
      <c r="AC156" s="139"/>
      <c r="AD156" s="139"/>
      <c r="AE156" s="139"/>
      <c r="AF156" s="139"/>
      <c r="AG156" s="131"/>
    </row>
    <row r="157" ht="30.0" customHeight="1">
      <c r="B157" s="135"/>
      <c r="C157" s="117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17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28"/>
    </row>
    <row r="158" ht="30.0" customHeight="1">
      <c r="B158" s="129"/>
      <c r="C158" s="175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75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1"/>
    </row>
    <row r="159" ht="30.0" customHeight="1">
      <c r="B159" s="135"/>
      <c r="C159" s="175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75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4"/>
    </row>
    <row r="160" ht="30.0" customHeight="1">
      <c r="B160" s="140"/>
      <c r="C160" s="175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75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1"/>
    </row>
    <row r="161" ht="30.0" customHeight="1">
      <c r="B161" s="127"/>
      <c r="C161" s="175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75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4"/>
    </row>
    <row r="162" ht="30.0" customHeight="1">
      <c r="B162" s="140" t="str">
        <f>Noviembre!MonthName&amp;" Total"</f>
        <v>Noviembre Total</v>
      </c>
      <c r="C162" s="175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75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1"/>
    </row>
    <row r="163" ht="30.0" customHeight="1">
      <c r="B163" s="14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148"/>
      <c r="AE163" s="148"/>
      <c r="AF163" s="148"/>
      <c r="AG163" s="134"/>
    </row>
    <row r="164" ht="30.0" customHeight="1">
      <c r="B164" s="38" t="s">
        <v>408</v>
      </c>
      <c r="C164" s="101" t="s">
        <v>346</v>
      </c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31"/>
    </row>
    <row r="165" ht="30.0" customHeight="1">
      <c r="B165" s="32"/>
      <c r="C165" s="133" t="str">
        <f>TEXT(WEEKDAY(DATE(CalendarioAño,8,9),1),"ddd")</f>
        <v>sáb</v>
      </c>
      <c r="D165" s="162" t="s">
        <v>367</v>
      </c>
      <c r="E165" s="162" t="s">
        <v>364</v>
      </c>
      <c r="F165" s="162" t="s">
        <v>365</v>
      </c>
      <c r="G165" s="133" t="str">
        <f>TEXT(WEEKDAY(DATE(CalendarioAño,8,6),1),"ddd")</f>
        <v>mié</v>
      </c>
      <c r="H165" s="133" t="str">
        <f>TEXT(WEEKDAY(DATE(CalendarioAño,8,7),1),"ddd")</f>
        <v>jue</v>
      </c>
      <c r="I165" s="162" t="s">
        <v>366</v>
      </c>
      <c r="J165" s="133" t="str">
        <f>TEXT(WEEKDAY(DATE(CalendarioAño,8,9),1),"ddd")</f>
        <v>sáb</v>
      </c>
      <c r="K165" s="162" t="s">
        <v>367</v>
      </c>
      <c r="L165" s="162" t="s">
        <v>364</v>
      </c>
      <c r="M165" s="162" t="s">
        <v>365</v>
      </c>
      <c r="N165" s="133" t="str">
        <f>TEXT(WEEKDAY(DATE(CalendarioAño,8,6),1),"ddd")</f>
        <v>mié</v>
      </c>
      <c r="O165" s="133" t="str">
        <f>TEXT(WEEKDAY(DATE(CalendarioAño,8,7),1),"ddd")</f>
        <v>jue</v>
      </c>
      <c r="P165" s="162" t="s">
        <v>366</v>
      </c>
      <c r="Q165" s="133" t="str">
        <f>TEXT(WEEKDAY(DATE(CalendarioAño,8,9),1),"ddd")</f>
        <v>sáb</v>
      </c>
      <c r="R165" s="162" t="s">
        <v>367</v>
      </c>
      <c r="S165" s="162" t="s">
        <v>364</v>
      </c>
      <c r="T165" s="162" t="s">
        <v>365</v>
      </c>
      <c r="U165" s="133" t="str">
        <f>TEXT(WEEKDAY(DATE(CalendarioAño,8,6),1),"ddd")</f>
        <v>mié</v>
      </c>
      <c r="V165" s="133" t="str">
        <f>TEXT(WEEKDAY(DATE(CalendarioAño,8,7),1),"ddd")</f>
        <v>jue</v>
      </c>
      <c r="W165" s="162" t="s">
        <v>366</v>
      </c>
      <c r="X165" s="133" t="str">
        <f>TEXT(WEEKDAY(DATE(CalendarioAño,8,9),1),"ddd")</f>
        <v>sáb</v>
      </c>
      <c r="Y165" s="162" t="s">
        <v>367</v>
      </c>
      <c r="Z165" s="162" t="s">
        <v>364</v>
      </c>
      <c r="AA165" s="162" t="s">
        <v>365</v>
      </c>
      <c r="AB165" s="133" t="str">
        <f>TEXT(WEEKDAY(DATE(CalendarioAño,8,6),1),"ddd")</f>
        <v>mié</v>
      </c>
      <c r="AC165" s="133" t="str">
        <f>TEXT(WEEKDAY(DATE(CalendarioAño,8,7),1),"ddd")</f>
        <v>jue</v>
      </c>
      <c r="AD165" s="162" t="s">
        <v>366</v>
      </c>
      <c r="AE165" s="133" t="str">
        <f>TEXT(WEEKDAY(DATE(CalendarioAño,8,9),1),"ddd")</f>
        <v>sáb</v>
      </c>
      <c r="AF165" s="162" t="s">
        <v>367</v>
      </c>
      <c r="AG165" s="134"/>
    </row>
    <row r="166" ht="30.0" customHeight="1">
      <c r="A166" s="115"/>
      <c r="B166" s="116" t="s">
        <v>202</v>
      </c>
      <c r="C166" s="117" t="s">
        <v>15</v>
      </c>
      <c r="D166" s="117" t="s">
        <v>16</v>
      </c>
      <c r="E166" s="117" t="s">
        <v>17</v>
      </c>
      <c r="F166" s="117" t="s">
        <v>18</v>
      </c>
      <c r="G166" s="117" t="s">
        <v>19</v>
      </c>
      <c r="H166" s="117" t="s">
        <v>20</v>
      </c>
      <c r="I166" s="117" t="s">
        <v>21</v>
      </c>
      <c r="J166" s="117" t="s">
        <v>22</v>
      </c>
      <c r="K166" s="117" t="s">
        <v>23</v>
      </c>
      <c r="L166" s="117" t="s">
        <v>24</v>
      </c>
      <c r="M166" s="117" t="s">
        <v>25</v>
      </c>
      <c r="N166" s="117" t="s">
        <v>26</v>
      </c>
      <c r="O166" s="117" t="s">
        <v>27</v>
      </c>
      <c r="P166" s="117" t="s">
        <v>28</v>
      </c>
      <c r="Q166" s="117" t="s">
        <v>29</v>
      </c>
      <c r="R166" s="117" t="s">
        <v>30</v>
      </c>
      <c r="S166" s="117" t="s">
        <v>31</v>
      </c>
      <c r="T166" s="117" t="s">
        <v>32</v>
      </c>
      <c r="U166" s="117" t="s">
        <v>33</v>
      </c>
      <c r="V166" s="117" t="s">
        <v>34</v>
      </c>
      <c r="W166" s="117" t="s">
        <v>35</v>
      </c>
      <c r="X166" s="117" t="s">
        <v>36</v>
      </c>
      <c r="Y166" s="117" t="s">
        <v>37</v>
      </c>
      <c r="Z166" s="117" t="s">
        <v>38</v>
      </c>
      <c r="AA166" s="117" t="s">
        <v>39</v>
      </c>
      <c r="AB166" s="117" t="s">
        <v>40</v>
      </c>
      <c r="AC166" s="117" t="s">
        <v>41</v>
      </c>
      <c r="AD166" s="117" t="s">
        <v>42</v>
      </c>
      <c r="AE166" s="117" t="s">
        <v>43</v>
      </c>
      <c r="AF166" s="117" t="s">
        <v>44</v>
      </c>
      <c r="AG166" s="131"/>
    </row>
    <row r="167" ht="30.0" customHeight="1">
      <c r="B167" s="132" t="s">
        <v>385</v>
      </c>
      <c r="C167" s="117"/>
      <c r="D167" s="133"/>
      <c r="E167" s="133"/>
      <c r="F167" s="10" t="s">
        <v>6</v>
      </c>
      <c r="G167" s="133"/>
      <c r="H167" s="10" t="s">
        <v>6</v>
      </c>
      <c r="I167" s="133"/>
      <c r="J167" s="133"/>
      <c r="K167" s="133"/>
      <c r="L167" s="133"/>
      <c r="M167" s="10" t="s">
        <v>6</v>
      </c>
      <c r="N167" s="133"/>
      <c r="O167" s="133"/>
      <c r="P167" s="133"/>
      <c r="Q167" s="117"/>
      <c r="R167" s="133"/>
      <c r="S167" s="133"/>
      <c r="T167" s="10" t="s">
        <v>6</v>
      </c>
      <c r="U167" s="133"/>
      <c r="V167" s="10" t="s">
        <v>6</v>
      </c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28"/>
    </row>
    <row r="168" ht="30.0" customHeight="1">
      <c r="B168" s="129"/>
      <c r="C168" s="117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17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1"/>
    </row>
    <row r="169" ht="30.0" customHeight="1">
      <c r="B169" s="152"/>
      <c r="C169" s="117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17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4"/>
    </row>
    <row r="170" ht="30.0" customHeight="1">
      <c r="B170" s="136"/>
      <c r="C170" s="117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17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1"/>
    </row>
    <row r="171" ht="30.0" customHeight="1">
      <c r="B171" s="152"/>
      <c r="C171" s="117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17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4"/>
    </row>
    <row r="172" ht="30.0" customHeight="1">
      <c r="B172" s="140" t="str">
        <f>Noviembre!MonthName&amp;" Total"</f>
        <v>Noviembre Total</v>
      </c>
      <c r="C172" s="175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75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1"/>
    </row>
    <row r="173" ht="30.0" customHeight="1">
      <c r="B173" s="136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4"/>
    </row>
    <row r="174" ht="30.0" customHeight="1">
      <c r="B174" s="136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1"/>
    </row>
    <row r="175" ht="30.0" customHeight="1">
      <c r="B175" s="136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4"/>
    </row>
    <row r="176" ht="30.0" customHeight="1">
      <c r="B176" s="136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1"/>
    </row>
    <row r="177" ht="30.0" customHeight="1">
      <c r="B177" s="136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4"/>
    </row>
    <row r="178" ht="30.0" customHeight="1">
      <c r="B178" s="136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1"/>
    </row>
    <row r="179" ht="30.0" customHeight="1">
      <c r="B179" s="136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4"/>
    </row>
    <row r="180" ht="30.0" customHeight="1">
      <c r="B180" s="136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1"/>
    </row>
    <row r="181" ht="30.0" customHeight="1">
      <c r="B181" s="136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4"/>
    </row>
    <row r="182" ht="30.0" customHeight="1">
      <c r="B182" s="140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53"/>
    </row>
    <row r="183" ht="30.0" customHeight="1"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</row>
    <row r="184" ht="30.0" customHeight="1">
      <c r="B184" s="155"/>
      <c r="C184" s="156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32"/>
    </row>
    <row r="185" ht="30.0" customHeight="1">
      <c r="B185" s="155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32"/>
    </row>
    <row r="186" ht="30.0" customHeight="1">
      <c r="B186" s="157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58"/>
    </row>
    <row r="187" ht="30.0" customHeight="1">
      <c r="B187" s="136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25"/>
    </row>
    <row r="188" ht="30.0" customHeight="1">
      <c r="B188" s="136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25"/>
    </row>
    <row r="189" ht="30.0" customHeight="1">
      <c r="B189" s="136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25"/>
    </row>
    <row r="190" ht="30.0" customHeight="1">
      <c r="B190" s="136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25"/>
    </row>
    <row r="191" ht="30.0" customHeight="1">
      <c r="B191" s="136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25"/>
    </row>
    <row r="192" ht="30.0" customHeight="1">
      <c r="B192" s="136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25"/>
    </row>
    <row r="193" ht="30.0" customHeight="1">
      <c r="B193" s="140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27"/>
    </row>
    <row r="194" ht="30.0" customHeight="1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</row>
    <row r="195" ht="30.0" customHeight="1">
      <c r="B195" s="155"/>
      <c r="C195" s="156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32"/>
    </row>
    <row r="196" ht="30.0" customHeight="1">
      <c r="B196" s="155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32"/>
    </row>
    <row r="197" ht="30.0" customHeight="1">
      <c r="B197" s="157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58"/>
    </row>
    <row r="198" ht="30.0" customHeight="1">
      <c r="B198" s="136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25"/>
    </row>
    <row r="199" ht="30.0" customHeight="1">
      <c r="B199" s="136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25"/>
    </row>
    <row r="200" ht="30.0" customHeight="1">
      <c r="B200" s="136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25"/>
    </row>
    <row r="201" ht="30.0" customHeight="1">
      <c r="B201" s="136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25"/>
    </row>
    <row r="202" ht="30.0" customHeight="1">
      <c r="B202" s="136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25"/>
    </row>
    <row r="203" ht="30.0" customHeight="1">
      <c r="B203" s="140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27"/>
    </row>
    <row r="204" ht="30.0" customHeight="1"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</row>
    <row r="205" ht="30.0" customHeight="1">
      <c r="B205" s="155"/>
      <c r="C205" s="156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32"/>
    </row>
    <row r="206" ht="30.0" customHeight="1">
      <c r="B206" s="155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32"/>
    </row>
    <row r="207" ht="30.0" customHeight="1">
      <c r="B207" s="157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58"/>
    </row>
    <row r="208" ht="30.0" customHeight="1">
      <c r="B208" s="136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25"/>
    </row>
    <row r="209" ht="30.0" customHeight="1">
      <c r="B209" s="136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25"/>
    </row>
    <row r="210" ht="30.0" customHeight="1">
      <c r="B210" s="136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25"/>
    </row>
    <row r="211" ht="30.0" customHeight="1">
      <c r="B211" s="136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25"/>
    </row>
    <row r="212" ht="30.0" customHeight="1">
      <c r="B212" s="136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25"/>
    </row>
    <row r="213" ht="30.0" customHeight="1">
      <c r="B213" s="140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27"/>
    </row>
    <row r="214" ht="30.0" customHeight="1"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</row>
    <row r="215" ht="30.0" customHeight="1">
      <c r="B215" s="155"/>
      <c r="C215" s="156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32"/>
    </row>
    <row r="216" ht="30.0" customHeight="1">
      <c r="B216" s="155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32"/>
    </row>
    <row r="217" ht="30.0" customHeight="1">
      <c r="B217" s="157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58"/>
    </row>
    <row r="218" ht="30.0" customHeight="1">
      <c r="B218" s="136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25"/>
    </row>
    <row r="219" ht="30.0" customHeight="1">
      <c r="B219" s="136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25"/>
    </row>
    <row r="220" ht="30.0" customHeight="1">
      <c r="B220" s="136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25"/>
    </row>
    <row r="221" ht="30.0" customHeight="1">
      <c r="B221" s="136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25"/>
    </row>
    <row r="222" ht="30.0" customHeight="1">
      <c r="B222" s="136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25"/>
    </row>
    <row r="223" ht="30.0" customHeight="1">
      <c r="B223" s="140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27"/>
    </row>
    <row r="224" ht="30.0" customHeight="1"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</row>
    <row r="225" ht="30.0" customHeight="1"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</row>
    <row r="226" ht="30.0" customHeight="1"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</row>
    <row r="227" ht="30.0" customHeight="1"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</row>
    <row r="228" ht="30.0" customHeight="1"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</row>
    <row r="229" ht="30.0" customHeight="1"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</row>
    <row r="230" ht="30.0" customHeight="1"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</row>
    <row r="231" ht="30.0" customHeight="1"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</row>
    <row r="232" ht="30.0" customHeight="1"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</row>
    <row r="233" ht="30.0" customHeight="1"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</row>
    <row r="234" ht="30.0" customHeight="1"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</row>
    <row r="235" ht="30.0" customHeight="1"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</row>
    <row r="236" ht="30.0" customHeight="1"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</row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  <row r="1023" ht="30.0" customHeight="1"/>
    <row r="1024" ht="30.0" customHeight="1"/>
    <row r="1025" ht="30.0" customHeight="1"/>
    <row r="1026" ht="30.0" customHeight="1"/>
    <row r="1027" ht="30.0" customHeight="1"/>
    <row r="1028" ht="30.0" customHeight="1"/>
    <row r="1029" ht="30.0" customHeight="1"/>
    <row r="1030" ht="30.0" customHeight="1"/>
    <row r="1031" ht="30.0" customHeight="1"/>
    <row r="1032" ht="30.0" customHeight="1"/>
    <row r="1033" ht="30.0" customHeight="1"/>
    <row r="1034" ht="30.0" customHeight="1"/>
    <row r="1035" ht="30.0" customHeight="1"/>
    <row r="1036" ht="30.0" customHeight="1"/>
    <row r="1037" ht="30.0" customHeight="1"/>
    <row r="1038" ht="30.0" customHeight="1"/>
    <row r="1039" ht="30.0" customHeight="1"/>
    <row r="1040" ht="30.0" customHeight="1"/>
    <row r="1041" ht="30.0" customHeight="1"/>
    <row r="1042" ht="30.0" customHeight="1"/>
    <row r="1043" ht="30.0" customHeight="1"/>
    <row r="1044" ht="30.0" customHeight="1"/>
    <row r="1045" ht="30.0" customHeight="1"/>
    <row r="1046" ht="30.0" customHeight="1"/>
    <row r="1047" ht="30.0" customHeight="1"/>
    <row r="1048" ht="30.0" customHeight="1"/>
    <row r="1049" ht="30.0" customHeight="1"/>
    <row r="1050" ht="30.0" customHeight="1"/>
    <row r="1051" ht="30.0" customHeight="1"/>
    <row r="1052" ht="30.0" customHeight="1"/>
    <row r="1053" ht="30.0" customHeight="1"/>
    <row r="1054" ht="30.0" customHeight="1"/>
    <row r="1055" ht="30.0" customHeight="1"/>
    <row r="1056" ht="30.0" customHeight="1"/>
    <row r="1057" ht="30.0" customHeight="1"/>
    <row r="1058" ht="30.0" customHeight="1"/>
    <row r="1059" ht="30.0" customHeight="1"/>
    <row r="1060" ht="30.0" customHeight="1"/>
    <row r="1061" ht="30.0" customHeight="1"/>
    <row r="1062" ht="30.0" customHeight="1"/>
    <row r="1063" ht="30.0" customHeight="1"/>
    <row r="1064" ht="30.0" customHeight="1"/>
    <row r="1065" ht="30.0" customHeight="1"/>
    <row r="1066" ht="30.0" customHeight="1"/>
    <row r="1067" ht="30.0" customHeight="1"/>
    <row r="1068" ht="30.0" customHeight="1"/>
    <row r="1069" ht="30.0" customHeight="1"/>
    <row r="1070" ht="30.0" customHeight="1"/>
    <row r="1071" ht="30.0" customHeight="1"/>
    <row r="1072" ht="30.0" customHeight="1"/>
    <row r="1073" ht="30.0" customHeight="1"/>
    <row r="1074" ht="30.0" customHeight="1"/>
    <row r="1075" ht="30.0" customHeight="1"/>
    <row r="1076" ht="30.0" customHeight="1"/>
    <row r="1077" ht="30.0" customHeight="1"/>
    <row r="1078" ht="30.0" customHeight="1"/>
    <row r="1079" ht="30.0" customHeight="1"/>
    <row r="1080" ht="30.0" customHeight="1"/>
    <row r="1081" ht="30.0" customHeight="1"/>
    <row r="1082" ht="30.0" customHeight="1"/>
    <row r="1083" ht="30.0" customHeight="1"/>
    <row r="1084" ht="30.0" customHeight="1"/>
    <row r="1085" ht="30.0" customHeight="1"/>
    <row r="1086" ht="30.0" customHeight="1"/>
    <row r="1087" ht="30.0" customHeight="1"/>
    <row r="1088" ht="30.0" customHeight="1"/>
    <row r="1089" ht="30.0" customHeight="1"/>
    <row r="1090" ht="30.0" customHeight="1"/>
    <row r="1091" ht="30.0" customHeight="1"/>
    <row r="1092" ht="30.0" customHeight="1"/>
    <row r="1093" ht="30.0" customHeight="1"/>
    <row r="1094" ht="30.0" customHeight="1"/>
    <row r="1095" ht="30.0" customHeight="1"/>
    <row r="1096" ht="30.0" customHeight="1"/>
    <row r="1097" ht="30.0" customHeight="1"/>
    <row r="1098" ht="30.0" customHeight="1"/>
    <row r="1099" ht="30.0" customHeight="1"/>
    <row r="1100" ht="30.0" customHeight="1"/>
    <row r="1101" ht="30.0" customHeight="1"/>
    <row r="1102" ht="30.0" customHeight="1"/>
    <row r="1103" ht="30.0" customHeight="1"/>
    <row r="1104" ht="30.0" customHeight="1"/>
    <row r="1105" ht="30.0" customHeight="1"/>
    <row r="1106" ht="30.0" customHeight="1"/>
    <row r="1107" ht="30.0" customHeight="1"/>
    <row r="1108" ht="30.0" customHeight="1"/>
    <row r="1109" ht="30.0" customHeight="1"/>
    <row r="1110" ht="30.0" customHeight="1"/>
    <row r="1111" ht="30.0" customHeight="1"/>
    <row r="1112" ht="30.0" customHeight="1"/>
    <row r="1113" ht="30.0" customHeight="1"/>
    <row r="1114" ht="30.0" customHeight="1"/>
    <row r="1115" ht="30.0" customHeight="1"/>
    <row r="1116" ht="30.0" customHeight="1"/>
    <row r="1117" ht="30.0" customHeight="1"/>
    <row r="1118" ht="30.0" customHeight="1"/>
    <row r="1119" ht="30.0" customHeight="1"/>
    <row r="1120" ht="30.0" customHeight="1"/>
    <row r="1121" ht="30.0" customHeight="1"/>
    <row r="1122" ht="30.0" customHeight="1"/>
    <row r="1123" ht="30.0" customHeight="1"/>
    <row r="1124" ht="30.0" customHeight="1"/>
    <row r="1125" ht="30.0" customHeight="1"/>
    <row r="1126" ht="30.0" customHeight="1"/>
    <row r="1127" ht="30.0" customHeight="1"/>
    <row r="1128" ht="30.0" customHeight="1"/>
    <row r="1129" ht="30.0" customHeight="1"/>
    <row r="1130" ht="30.0" customHeight="1"/>
    <row r="1131" ht="30.0" customHeight="1"/>
    <row r="1132" ht="30.0" customHeight="1"/>
    <row r="1133" ht="30.0" customHeight="1"/>
    <row r="1134" ht="30.0" customHeight="1"/>
    <row r="1135" ht="30.0" customHeight="1"/>
    <row r="1136" ht="30.0" customHeight="1"/>
    <row r="1137" ht="30.0" customHeight="1"/>
    <row r="1138" ht="30.0" customHeight="1"/>
    <row r="1139" ht="30.0" customHeight="1"/>
    <row r="1140" ht="30.0" customHeight="1"/>
    <row r="1141" ht="30.0" customHeight="1"/>
  </sheetData>
  <mergeCells count="19">
    <mergeCell ref="B1:N1"/>
    <mergeCell ref="D2:F2"/>
    <mergeCell ref="H2:J2"/>
    <mergeCell ref="L2:N2"/>
    <mergeCell ref="P2:S2"/>
    <mergeCell ref="U2:X2"/>
    <mergeCell ref="C4:AF4"/>
    <mergeCell ref="C164:AF164"/>
    <mergeCell ref="C184:AF184"/>
    <mergeCell ref="C195:AF195"/>
    <mergeCell ref="C205:AF205"/>
    <mergeCell ref="C215:AF215"/>
    <mergeCell ref="C14:AF14"/>
    <mergeCell ref="C32:AF32"/>
    <mergeCell ref="C59:AF59"/>
    <mergeCell ref="C82:AF82"/>
    <mergeCell ref="C108:AF108"/>
    <mergeCell ref="C131:AF131"/>
    <mergeCell ref="C149:AF149"/>
  </mergeCells>
  <conditionalFormatting sqref="C7:AF12 C17:AF31 B21 B23 B25 B27 C35:AF58 AG41 C62:AF81 C85:AF107 AG97:AG103 C111:AF130 AG112 AG114 AG116 AG118 AG120 C134:C147 D134:AF148 AG135 AG137 AG139 AG141 C152:AF163 AG153 AG155 AG157 C166:AF181 AG167 C187:AF192 C198:AF202 C208:AF212 C218:AF222">
    <cfRule type="expression" dxfId="5" priority="1" stopIfTrue="1">
      <formula>C7=""</formula>
    </cfRule>
  </conditionalFormatting>
  <dataValidations>
    <dataValidation type="list" allowBlank="1" showErrorMessage="1" sqref="B7:B11 B17:B27 B35:B55 B62:B77 B85:B103 B111:B126 B134:B145 B152:B159 B167:B171 B173:B181 B187:B192 B198:B200">
      <formula1>'Nombres de los alumnos '!$B$4:$B$1014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53.57"/>
    <col customWidth="1" min="3" max="3" width="28.43"/>
    <col customWidth="1" min="4" max="4" width="14.29"/>
    <col customWidth="1" min="5" max="6" width="9.14"/>
    <col customWidth="1" min="7" max="7" width="16.43"/>
    <col customWidth="1" min="8" max="8" width="21.14"/>
    <col customWidth="1" min="9" max="9" width="17.86"/>
    <col customWidth="1" min="10" max="10" width="9.14"/>
    <col customWidth="1" min="11" max="11" width="11.57"/>
    <col customWidth="1" min="12" max="26" width="9.14"/>
  </cols>
  <sheetData>
    <row r="1" ht="49.5" customHeight="1">
      <c r="B1" s="2" t="s">
        <v>431</v>
      </c>
      <c r="C1" s="3"/>
      <c r="D1" s="3"/>
      <c r="E1" s="3"/>
      <c r="F1" s="4"/>
    </row>
    <row r="2" ht="15.0" customHeight="1"/>
    <row r="3" ht="30.0" customHeight="1">
      <c r="B3" s="178" t="s">
        <v>219</v>
      </c>
      <c r="C3" s="179" t="s">
        <v>432</v>
      </c>
      <c r="D3" s="180"/>
      <c r="E3" s="180"/>
      <c r="G3" s="181"/>
    </row>
    <row r="4" ht="30.0" customHeight="1">
      <c r="B4" s="182" t="s">
        <v>302</v>
      </c>
      <c r="C4" s="183"/>
      <c r="D4" s="184"/>
      <c r="E4" s="185"/>
    </row>
    <row r="5" ht="30.0" customHeight="1">
      <c r="B5" s="186" t="s">
        <v>147</v>
      </c>
      <c r="C5" s="187"/>
      <c r="E5" s="188"/>
    </row>
    <row r="6" ht="30.0" customHeight="1">
      <c r="B6" s="182" t="s">
        <v>59</v>
      </c>
      <c r="C6" s="183"/>
      <c r="E6" s="185"/>
    </row>
    <row r="7" ht="30.0" customHeight="1">
      <c r="B7" s="186" t="s">
        <v>47</v>
      </c>
      <c r="C7" s="187"/>
      <c r="E7" s="188"/>
    </row>
    <row r="8" ht="30.0" customHeight="1">
      <c r="B8" s="182" t="s">
        <v>279</v>
      </c>
      <c r="C8" s="183"/>
      <c r="E8" s="185"/>
    </row>
    <row r="9" ht="30.0" customHeight="1">
      <c r="B9" s="186" t="s">
        <v>433</v>
      </c>
      <c r="C9" s="187"/>
      <c r="E9" s="188"/>
    </row>
    <row r="10" ht="30.0" customHeight="1">
      <c r="B10" s="182" t="s">
        <v>284</v>
      </c>
      <c r="C10" s="183"/>
      <c r="E10" s="185"/>
    </row>
    <row r="11" ht="30.0" customHeight="1">
      <c r="B11" s="186" t="s">
        <v>358</v>
      </c>
      <c r="C11" s="187"/>
      <c r="E11" s="188"/>
      <c r="G11" s="189" t="s">
        <v>434</v>
      </c>
      <c r="H11" s="190" t="s">
        <v>435</v>
      </c>
      <c r="I11" s="190" t="s">
        <v>436</v>
      </c>
      <c r="J11" s="190" t="s">
        <v>437</v>
      </c>
      <c r="K11" s="190" t="s">
        <v>438</v>
      </c>
    </row>
    <row r="12" ht="30.0" customHeight="1">
      <c r="B12" s="182" t="s">
        <v>67</v>
      </c>
      <c r="C12" s="183"/>
      <c r="E12" s="185"/>
      <c r="G12" s="189"/>
      <c r="H12" s="190" t="s">
        <v>439</v>
      </c>
      <c r="I12" s="191">
        <v>0.625</v>
      </c>
      <c r="J12" s="191">
        <v>0.375</v>
      </c>
      <c r="K12" s="192"/>
    </row>
    <row r="13" ht="30.0" customHeight="1">
      <c r="B13" s="186" t="s">
        <v>297</v>
      </c>
      <c r="C13" s="187"/>
      <c r="E13" s="188"/>
      <c r="G13" s="192"/>
      <c r="H13" s="190" t="s">
        <v>440</v>
      </c>
      <c r="I13" s="191">
        <v>0.6458333333333334</v>
      </c>
      <c r="J13" s="191">
        <v>0.3958333333333333</v>
      </c>
      <c r="K13" s="192"/>
    </row>
    <row r="14" ht="30.0" customHeight="1">
      <c r="B14" s="182" t="s">
        <v>333</v>
      </c>
      <c r="C14" s="183"/>
      <c r="E14" s="185"/>
      <c r="G14" s="192"/>
      <c r="H14" s="190" t="s">
        <v>440</v>
      </c>
      <c r="I14" s="191">
        <v>0.6666666666666666</v>
      </c>
      <c r="J14" s="191">
        <v>0.4166666666666667</v>
      </c>
      <c r="K14" s="192"/>
    </row>
    <row r="15" ht="30.0" customHeight="1">
      <c r="B15" s="186" t="s">
        <v>278</v>
      </c>
      <c r="C15" s="193"/>
      <c r="E15" s="194"/>
      <c r="G15" s="190" t="s">
        <v>441</v>
      </c>
      <c r="H15" s="190" t="s">
        <v>442</v>
      </c>
      <c r="I15" s="195">
        <v>0.1875</v>
      </c>
      <c r="J15" s="191">
        <v>0.4375</v>
      </c>
      <c r="K15" s="192"/>
    </row>
    <row r="16" ht="30.0" customHeight="1">
      <c r="B16" s="182" t="s">
        <v>315</v>
      </c>
      <c r="C16" s="196"/>
      <c r="E16" s="197"/>
      <c r="G16" s="190" t="s">
        <v>443</v>
      </c>
      <c r="H16" s="190" t="s">
        <v>442</v>
      </c>
      <c r="I16" s="195">
        <v>0.20833333333333334</v>
      </c>
      <c r="J16" s="191">
        <v>0.4583333333333333</v>
      </c>
      <c r="K16" s="192"/>
    </row>
    <row r="17" ht="30.0" customHeight="1">
      <c r="B17" s="198" t="s">
        <v>268</v>
      </c>
      <c r="C17" s="199"/>
      <c r="E17" s="188"/>
      <c r="G17" s="190" t="s">
        <v>444</v>
      </c>
      <c r="H17" s="190" t="s">
        <v>445</v>
      </c>
      <c r="I17" s="195">
        <v>0.22916666666666666</v>
      </c>
      <c r="J17" s="191">
        <v>0.4791666666666667</v>
      </c>
      <c r="K17" s="192"/>
    </row>
    <row r="18" ht="30.0" customHeight="1">
      <c r="B18" s="182" t="s">
        <v>105</v>
      </c>
      <c r="C18" s="183"/>
      <c r="E18" s="185"/>
      <c r="G18" s="192"/>
      <c r="H18" s="190" t="s">
        <v>445</v>
      </c>
      <c r="I18" s="195">
        <v>0.25</v>
      </c>
      <c r="J18" s="191">
        <v>0.0</v>
      </c>
      <c r="K18" s="192"/>
    </row>
    <row r="19" ht="30.0" customHeight="1">
      <c r="B19" s="186" t="s">
        <v>327</v>
      </c>
      <c r="C19" s="199"/>
      <c r="E19" s="188"/>
      <c r="G19" s="192"/>
      <c r="H19" s="190" t="s">
        <v>446</v>
      </c>
      <c r="I19" s="195">
        <v>0.2708333333333333</v>
      </c>
      <c r="J19" s="191">
        <v>0.020833333333333332</v>
      </c>
      <c r="K19" s="192"/>
    </row>
    <row r="20" ht="30.0" customHeight="1">
      <c r="B20" s="182" t="s">
        <v>227</v>
      </c>
      <c r="C20" s="183"/>
      <c r="E20" s="185"/>
      <c r="G20" s="190" t="s">
        <v>447</v>
      </c>
      <c r="H20" s="190" t="s">
        <v>448</v>
      </c>
      <c r="I20" s="195">
        <v>0.3125</v>
      </c>
      <c r="J20" s="191">
        <v>0.5625</v>
      </c>
      <c r="K20" s="192"/>
    </row>
    <row r="21" ht="30.0" customHeight="1">
      <c r="B21" s="186" t="s">
        <v>296</v>
      </c>
      <c r="C21" s="199"/>
      <c r="E21" s="188"/>
      <c r="G21" s="192"/>
      <c r="H21" s="190" t="s">
        <v>449</v>
      </c>
      <c r="I21" s="195">
        <v>0.3541666666666667</v>
      </c>
      <c r="J21" s="191">
        <v>0.6041666666666666</v>
      </c>
      <c r="K21" s="192"/>
    </row>
    <row r="22" ht="30.0" customHeight="1">
      <c r="B22" s="182" t="s">
        <v>64</v>
      </c>
      <c r="C22" s="196"/>
      <c r="E22" s="197"/>
    </row>
    <row r="23" ht="30.0" customHeight="1">
      <c r="B23" s="200" t="s">
        <v>294</v>
      </c>
      <c r="C23" s="193"/>
      <c r="E23" s="194"/>
    </row>
    <row r="24" ht="30.0" customHeight="1">
      <c r="B24" s="182" t="s">
        <v>373</v>
      </c>
      <c r="C24" s="196"/>
      <c r="E24" s="197"/>
    </row>
    <row r="25" ht="30.0" customHeight="1">
      <c r="B25" s="186" t="s">
        <v>106</v>
      </c>
      <c r="C25" s="193"/>
      <c r="E25" s="194"/>
      <c r="H25" s="201"/>
      <c r="I25" s="201"/>
    </row>
    <row r="26" ht="30.0" customHeight="1">
      <c r="B26" s="182" t="s">
        <v>321</v>
      </c>
      <c r="C26" s="196"/>
      <c r="E26" s="197"/>
      <c r="H26" s="201"/>
      <c r="I26" s="201"/>
    </row>
    <row r="27" ht="30.0" customHeight="1">
      <c r="B27" s="186" t="s">
        <v>208</v>
      </c>
      <c r="C27" s="193"/>
      <c r="E27" s="194"/>
      <c r="H27" s="201"/>
      <c r="I27" s="201"/>
    </row>
    <row r="28" ht="30.0" customHeight="1">
      <c r="B28" s="182" t="s">
        <v>295</v>
      </c>
      <c r="C28" s="202"/>
      <c r="E28" s="197"/>
      <c r="H28" s="203"/>
      <c r="I28" s="201"/>
    </row>
    <row r="29" ht="30.0" customHeight="1">
      <c r="B29" s="186" t="s">
        <v>450</v>
      </c>
      <c r="C29" s="193"/>
      <c r="E29" s="194"/>
      <c r="H29" s="203"/>
      <c r="I29" s="201"/>
    </row>
    <row r="30" ht="30.0" customHeight="1">
      <c r="B30" s="196" t="s">
        <v>326</v>
      </c>
      <c r="C30" s="196"/>
      <c r="E30" s="197"/>
      <c r="H30" s="203"/>
      <c r="I30" s="201"/>
    </row>
    <row r="31" ht="30.0" customHeight="1">
      <c r="B31" s="186" t="s">
        <v>293</v>
      </c>
      <c r="C31" s="193"/>
      <c r="E31" s="194"/>
      <c r="H31" s="203"/>
      <c r="I31" s="201"/>
    </row>
    <row r="32" ht="30.0" customHeight="1">
      <c r="B32" s="182" t="s">
        <v>300</v>
      </c>
      <c r="C32" s="196"/>
      <c r="D32" s="204"/>
      <c r="E32" s="197"/>
      <c r="H32" s="203"/>
      <c r="I32" s="201"/>
    </row>
    <row r="33" ht="30.0" customHeight="1">
      <c r="B33" s="186" t="s">
        <v>263</v>
      </c>
      <c r="C33" s="193"/>
      <c r="E33" s="194"/>
      <c r="H33" s="203"/>
      <c r="I33" s="201"/>
    </row>
    <row r="34" ht="30.0" customHeight="1">
      <c r="B34" s="205" t="s">
        <v>288</v>
      </c>
      <c r="C34" s="196"/>
      <c r="E34" s="197"/>
      <c r="H34" s="203"/>
      <c r="I34" s="201"/>
    </row>
    <row r="35" ht="30.0" customHeight="1">
      <c r="B35" s="200" t="s">
        <v>280</v>
      </c>
      <c r="C35" s="206"/>
      <c r="E35" s="207"/>
    </row>
    <row r="36" ht="30.0" customHeight="1">
      <c r="B36" s="182" t="s">
        <v>260</v>
      </c>
      <c r="C36" s="196"/>
      <c r="E36" s="197"/>
    </row>
    <row r="37" ht="30.0" customHeight="1">
      <c r="B37" s="186" t="s">
        <v>215</v>
      </c>
      <c r="C37" s="208"/>
      <c r="E37" s="194"/>
    </row>
    <row r="38" ht="30.0" customHeight="1">
      <c r="B38" s="182" t="s">
        <v>306</v>
      </c>
      <c r="C38" s="196"/>
      <c r="E38" s="197"/>
    </row>
    <row r="39" ht="30.0" customHeight="1">
      <c r="B39" s="186" t="s">
        <v>317</v>
      </c>
      <c r="C39" s="193"/>
      <c r="E39" s="194"/>
    </row>
    <row r="40" ht="30.0" customHeight="1">
      <c r="B40" s="182" t="s">
        <v>314</v>
      </c>
      <c r="C40" s="202"/>
      <c r="D40" s="204"/>
      <c r="E40" s="197"/>
      <c r="I40" s="201"/>
      <c r="J40" s="201"/>
    </row>
    <row r="41" ht="30.0" customHeight="1">
      <c r="B41" s="200" t="s">
        <v>285</v>
      </c>
      <c r="C41" s="193"/>
      <c r="D41" s="209"/>
      <c r="E41" s="194"/>
      <c r="I41" s="201"/>
      <c r="J41" s="201"/>
    </row>
    <row r="42" ht="30.0" customHeight="1">
      <c r="B42" s="182" t="s">
        <v>184</v>
      </c>
      <c r="C42" s="196"/>
      <c r="D42" s="204"/>
      <c r="E42" s="197"/>
      <c r="I42" s="201"/>
      <c r="J42" s="201"/>
    </row>
    <row r="43" ht="30.0" customHeight="1">
      <c r="B43" s="186" t="s">
        <v>121</v>
      </c>
      <c r="C43" s="193"/>
      <c r="D43" s="209"/>
      <c r="E43" s="194"/>
      <c r="I43" s="203"/>
      <c r="J43" s="201"/>
    </row>
    <row r="44" ht="30.0" customHeight="1">
      <c r="B44" s="182" t="s">
        <v>308</v>
      </c>
      <c r="C44" s="196"/>
      <c r="D44" s="204"/>
      <c r="E44" s="197"/>
      <c r="I44" s="203"/>
      <c r="J44" s="201"/>
    </row>
    <row r="45" ht="30.0" customHeight="1">
      <c r="B45" s="186" t="s">
        <v>115</v>
      </c>
      <c r="C45" s="208"/>
      <c r="D45" s="209"/>
      <c r="E45" s="194"/>
      <c r="I45" s="203"/>
      <c r="J45" s="201"/>
    </row>
    <row r="46" ht="30.0" customHeight="1">
      <c r="B46" s="182" t="s">
        <v>251</v>
      </c>
      <c r="C46" s="196"/>
      <c r="D46" s="204"/>
      <c r="E46" s="197"/>
      <c r="I46" s="203"/>
      <c r="J46" s="201"/>
    </row>
    <row r="47" ht="30.0" customHeight="1">
      <c r="B47" s="186" t="s">
        <v>298</v>
      </c>
      <c r="C47" s="193"/>
      <c r="D47" s="209"/>
      <c r="E47" s="194"/>
      <c r="I47" s="203"/>
      <c r="J47" s="201"/>
    </row>
    <row r="48" ht="30.0" customHeight="1">
      <c r="B48" s="182" t="s">
        <v>316</v>
      </c>
      <c r="C48" s="196"/>
      <c r="D48" s="204"/>
      <c r="E48" s="197"/>
      <c r="I48" s="203"/>
      <c r="J48" s="201"/>
    </row>
    <row r="49" ht="30.0" customHeight="1">
      <c r="B49" s="186" t="s">
        <v>241</v>
      </c>
      <c r="C49" s="193"/>
      <c r="D49" s="209"/>
      <c r="E49" s="194"/>
      <c r="I49" s="203"/>
      <c r="J49" s="201"/>
    </row>
    <row r="50" ht="30.0" customHeight="1">
      <c r="B50" s="182" t="s">
        <v>255</v>
      </c>
      <c r="C50" s="196"/>
      <c r="D50" s="204"/>
      <c r="E50" s="197"/>
    </row>
    <row r="51" ht="30.0" customHeight="1">
      <c r="B51" s="186" t="s">
        <v>281</v>
      </c>
      <c r="C51" s="193"/>
      <c r="D51" s="209"/>
      <c r="E51" s="194"/>
    </row>
    <row r="52" ht="30.0" customHeight="1">
      <c r="B52" s="182" t="s">
        <v>299</v>
      </c>
      <c r="C52" s="196"/>
      <c r="D52" s="204"/>
      <c r="E52" s="197"/>
    </row>
    <row r="53" ht="30.0" customHeight="1">
      <c r="B53" s="186" t="s">
        <v>262</v>
      </c>
      <c r="C53" s="193"/>
      <c r="D53" s="209"/>
      <c r="E53" s="194"/>
    </row>
    <row r="54" ht="30.0" customHeight="1">
      <c r="B54" s="182" t="s">
        <v>292</v>
      </c>
      <c r="C54" s="196"/>
      <c r="E54" s="197"/>
    </row>
    <row r="55" ht="30.0" customHeight="1">
      <c r="B55" s="186" t="s">
        <v>242</v>
      </c>
      <c r="C55" s="208"/>
      <c r="E55" s="194"/>
    </row>
    <row r="56" ht="30.0" customHeight="1">
      <c r="B56" s="182" t="s">
        <v>382</v>
      </c>
      <c r="C56" s="202"/>
      <c r="E56" s="197"/>
    </row>
    <row r="57" ht="30.0" customHeight="1">
      <c r="B57" s="186" t="s">
        <v>178</v>
      </c>
      <c r="C57" s="193"/>
      <c r="E57" s="194"/>
    </row>
    <row r="58" ht="30.0" customHeight="1">
      <c r="B58" s="182" t="s">
        <v>82</v>
      </c>
      <c r="C58" s="202"/>
      <c r="E58" s="197"/>
    </row>
    <row r="59" ht="30.0" customHeight="1">
      <c r="B59" s="186" t="s">
        <v>269</v>
      </c>
      <c r="C59" s="193"/>
      <c r="E59" s="194"/>
    </row>
    <row r="60" ht="30.0" customHeight="1">
      <c r="B60" s="182" t="s">
        <v>304</v>
      </c>
      <c r="C60" s="196"/>
      <c r="D60" s="204"/>
      <c r="E60" s="197"/>
    </row>
    <row r="61" ht="30.0" customHeight="1">
      <c r="B61" s="186" t="s">
        <v>63</v>
      </c>
      <c r="C61" s="193"/>
      <c r="E61" s="194"/>
    </row>
    <row r="62" ht="30.0" customHeight="1">
      <c r="B62" s="182" t="s">
        <v>270</v>
      </c>
      <c r="C62" s="196"/>
      <c r="E62" s="197"/>
    </row>
    <row r="63" ht="30.0" customHeight="1">
      <c r="B63" s="186" t="s">
        <v>222</v>
      </c>
      <c r="C63" s="193"/>
      <c r="E63" s="194"/>
    </row>
    <row r="64" ht="30.0" customHeight="1">
      <c r="B64" s="182" t="s">
        <v>324</v>
      </c>
      <c r="C64" s="196"/>
      <c r="E64" s="197"/>
    </row>
    <row r="65" ht="30.0" customHeight="1">
      <c r="B65" s="186" t="s">
        <v>322</v>
      </c>
      <c r="C65" s="193"/>
      <c r="E65" s="194"/>
    </row>
    <row r="66" ht="30.0" customHeight="1">
      <c r="B66" s="182" t="s">
        <v>282</v>
      </c>
      <c r="C66" s="196"/>
      <c r="E66" s="197"/>
    </row>
    <row r="67" ht="30.0" customHeight="1">
      <c r="B67" s="186" t="s">
        <v>307</v>
      </c>
      <c r="C67" s="193"/>
      <c r="E67" s="194"/>
    </row>
    <row r="68" ht="30.0" customHeight="1">
      <c r="B68" s="182" t="s">
        <v>274</v>
      </c>
      <c r="C68" s="202"/>
      <c r="E68" s="197"/>
    </row>
    <row r="69" ht="30.0" customHeight="1">
      <c r="B69" s="186" t="s">
        <v>138</v>
      </c>
      <c r="C69" s="193"/>
      <c r="E69" s="194"/>
    </row>
    <row r="70" ht="30.0" customHeight="1">
      <c r="B70" s="182" t="s">
        <v>70</v>
      </c>
      <c r="C70" s="196"/>
      <c r="E70" s="197"/>
    </row>
    <row r="71" ht="30.0" customHeight="1">
      <c r="B71" s="186" t="s">
        <v>116</v>
      </c>
      <c r="C71" s="193"/>
      <c r="D71" s="210"/>
      <c r="E71" s="194"/>
    </row>
    <row r="72" ht="30.0" customHeight="1">
      <c r="B72" s="182" t="s">
        <v>102</v>
      </c>
      <c r="C72" s="196"/>
      <c r="E72" s="197"/>
    </row>
    <row r="73" ht="30.0" customHeight="1">
      <c r="B73" s="186" t="s">
        <v>79</v>
      </c>
      <c r="C73" s="193"/>
      <c r="D73" s="194"/>
      <c r="E73" s="194"/>
    </row>
    <row r="74" ht="30.0" customHeight="1">
      <c r="B74" s="182" t="s">
        <v>61</v>
      </c>
      <c r="C74" s="196"/>
      <c r="D74" s="197"/>
      <c r="E74" s="197"/>
    </row>
    <row r="75" ht="30.0" customHeight="1">
      <c r="B75" s="186" t="s">
        <v>152</v>
      </c>
      <c r="C75" s="208"/>
      <c r="D75" s="194"/>
      <c r="E75" s="194"/>
    </row>
    <row r="76" ht="30.0" customHeight="1">
      <c r="B76" s="182" t="s">
        <v>189</v>
      </c>
      <c r="C76" s="196"/>
      <c r="D76" s="197"/>
      <c r="E76" s="197"/>
    </row>
    <row r="77" ht="30.0" customHeight="1">
      <c r="B77" s="186" t="s">
        <v>305</v>
      </c>
      <c r="C77" s="193"/>
      <c r="D77" s="194"/>
      <c r="E77" s="194"/>
    </row>
    <row r="78" ht="30.0" customHeight="1">
      <c r="B78" s="182" t="s">
        <v>451</v>
      </c>
      <c r="C78" s="202"/>
      <c r="D78" s="197"/>
      <c r="E78" s="197"/>
    </row>
    <row r="79" ht="30.0" customHeight="1">
      <c r="B79" s="186" t="s">
        <v>133</v>
      </c>
      <c r="C79" s="193"/>
      <c r="D79" s="194"/>
      <c r="E79" s="194"/>
    </row>
    <row r="80" ht="30.0" customHeight="1">
      <c r="B80" s="182" t="s">
        <v>452</v>
      </c>
      <c r="C80" s="196"/>
      <c r="D80" s="197"/>
      <c r="E80" s="197"/>
    </row>
    <row r="81" ht="30.0" customHeight="1">
      <c r="B81" s="200" t="s">
        <v>453</v>
      </c>
      <c r="C81" s="193"/>
      <c r="D81" s="194"/>
      <c r="E81" s="194"/>
    </row>
    <row r="82" ht="30.0" customHeight="1">
      <c r="B82" s="182" t="s">
        <v>187</v>
      </c>
      <c r="C82" s="196"/>
      <c r="D82" s="197"/>
      <c r="E82" s="197"/>
    </row>
    <row r="83" ht="30.0" customHeight="1">
      <c r="B83" s="186" t="s">
        <v>264</v>
      </c>
      <c r="C83" s="193"/>
      <c r="D83" s="194"/>
      <c r="E83" s="194"/>
    </row>
    <row r="84" ht="30.0" customHeight="1">
      <c r="B84" s="182" t="s">
        <v>109</v>
      </c>
      <c r="C84" s="196"/>
      <c r="D84" s="197"/>
      <c r="E84" s="197"/>
    </row>
    <row r="85" ht="30.0" customHeight="1">
      <c r="B85" s="186" t="s">
        <v>454</v>
      </c>
      <c r="C85" s="211"/>
      <c r="D85" s="194"/>
      <c r="E85" s="194"/>
    </row>
    <row r="86" ht="30.0" customHeight="1">
      <c r="B86" s="182" t="s">
        <v>111</v>
      </c>
      <c r="C86" s="202"/>
      <c r="D86" s="197"/>
      <c r="E86" s="197"/>
    </row>
    <row r="87" ht="30.0" customHeight="1">
      <c r="B87" s="186" t="s">
        <v>271</v>
      </c>
      <c r="C87" s="193"/>
      <c r="D87" s="194"/>
      <c r="E87" s="194"/>
    </row>
    <row r="88" ht="30.0" customHeight="1">
      <c r="B88" s="182" t="s">
        <v>272</v>
      </c>
      <c r="C88" s="196"/>
      <c r="D88" s="197"/>
      <c r="E88" s="197"/>
    </row>
    <row r="89" ht="30.0" customHeight="1">
      <c r="B89" s="186" t="s">
        <v>276</v>
      </c>
      <c r="C89" s="193"/>
      <c r="D89" s="194"/>
      <c r="E89" s="194"/>
    </row>
    <row r="90" ht="30.0" customHeight="1">
      <c r="B90" s="182" t="s">
        <v>313</v>
      </c>
      <c r="C90" s="202"/>
      <c r="D90" s="197"/>
      <c r="E90" s="197"/>
    </row>
    <row r="91" ht="30.0" customHeight="1">
      <c r="B91" s="186" t="s">
        <v>283</v>
      </c>
      <c r="C91" s="193"/>
      <c r="D91" s="194"/>
      <c r="E91" s="194"/>
    </row>
    <row r="92" ht="30.0" customHeight="1">
      <c r="B92" s="182" t="s">
        <v>320</v>
      </c>
      <c r="C92" s="212"/>
      <c r="D92" s="197"/>
      <c r="E92" s="197"/>
    </row>
    <row r="93" ht="30.0" customHeight="1">
      <c r="B93" s="186" t="s">
        <v>290</v>
      </c>
      <c r="C93" s="193"/>
      <c r="D93" s="194"/>
      <c r="E93" s="194"/>
    </row>
    <row r="94" ht="30.0" customHeight="1">
      <c r="B94" s="182" t="s">
        <v>314</v>
      </c>
      <c r="C94" s="196"/>
      <c r="D94" s="197"/>
      <c r="E94" s="197"/>
    </row>
    <row r="95" ht="30.0" customHeight="1">
      <c r="B95" s="193" t="s">
        <v>211</v>
      </c>
      <c r="C95" s="208"/>
      <c r="D95" s="194"/>
      <c r="E95" s="194"/>
    </row>
    <row r="96" ht="30.0" customHeight="1">
      <c r="B96" s="196" t="s">
        <v>455</v>
      </c>
      <c r="C96" s="212"/>
      <c r="D96" s="197"/>
      <c r="E96" s="197"/>
    </row>
    <row r="97" ht="30.0" customHeight="1">
      <c r="B97" s="193" t="s">
        <v>265</v>
      </c>
      <c r="C97" s="193"/>
      <c r="D97" s="194"/>
      <c r="E97" s="194"/>
    </row>
    <row r="98" ht="30.0" customHeight="1">
      <c r="B98" s="196" t="s">
        <v>287</v>
      </c>
      <c r="C98" s="196"/>
      <c r="D98" s="197"/>
      <c r="E98" s="197"/>
    </row>
    <row r="99" ht="30.0" customHeight="1">
      <c r="B99" s="193" t="s">
        <v>273</v>
      </c>
      <c r="C99" s="193"/>
      <c r="D99" s="194"/>
      <c r="E99" s="194"/>
      <c r="G99" s="213"/>
      <c r="H99" s="213"/>
    </row>
    <row r="100" ht="30.0" customHeight="1">
      <c r="B100" s="196" t="s">
        <v>301</v>
      </c>
      <c r="C100" s="196"/>
      <c r="D100" s="197"/>
      <c r="E100" s="197"/>
      <c r="G100" s="213"/>
      <c r="H100" s="213"/>
    </row>
    <row r="101" ht="30.0" customHeight="1">
      <c r="B101" s="193" t="s">
        <v>323</v>
      </c>
      <c r="C101" s="193"/>
      <c r="D101" s="194"/>
      <c r="E101" s="194"/>
      <c r="F101" s="213"/>
      <c r="G101" s="213"/>
      <c r="H101" s="213"/>
    </row>
    <row r="102" ht="30.0" customHeight="1">
      <c r="B102" s="196" t="s">
        <v>205</v>
      </c>
      <c r="C102" s="196"/>
      <c r="D102" s="197"/>
      <c r="E102" s="197"/>
      <c r="F102" s="214"/>
      <c r="G102" s="214"/>
      <c r="H102" s="213"/>
    </row>
    <row r="103" ht="29.25" customHeight="1">
      <c r="B103" s="193" t="s">
        <v>286</v>
      </c>
      <c r="C103" s="193"/>
      <c r="D103" s="194"/>
      <c r="E103" s="194"/>
      <c r="F103" s="213"/>
      <c r="G103" s="213"/>
      <c r="H103" s="213"/>
    </row>
    <row r="104" ht="30.0" customHeight="1">
      <c r="B104" s="215" t="s">
        <v>275</v>
      </c>
      <c r="C104" s="196"/>
      <c r="D104" s="197"/>
      <c r="E104" s="197"/>
      <c r="F104" s="213"/>
      <c r="G104" s="213"/>
      <c r="H104" s="213"/>
    </row>
    <row r="105" ht="29.25" customHeight="1">
      <c r="B105" s="193" t="s">
        <v>309</v>
      </c>
      <c r="C105" s="208"/>
      <c r="D105" s="194"/>
      <c r="E105" s="194"/>
      <c r="F105" s="213"/>
      <c r="G105" s="213"/>
    </row>
    <row r="106" ht="29.25" customHeight="1">
      <c r="B106" s="196" t="s">
        <v>310</v>
      </c>
      <c r="C106" s="212"/>
      <c r="D106" s="197"/>
      <c r="E106" s="197"/>
      <c r="F106" s="213"/>
      <c r="G106" s="213"/>
    </row>
    <row r="107" ht="30.0" customHeight="1">
      <c r="B107" s="193" t="s">
        <v>289</v>
      </c>
      <c r="C107" s="193"/>
      <c r="D107" s="194"/>
      <c r="E107" s="194"/>
      <c r="F107" s="213"/>
      <c r="G107" s="213"/>
    </row>
    <row r="108" ht="30.0" customHeight="1">
      <c r="B108" s="196" t="s">
        <v>283</v>
      </c>
      <c r="C108" s="202"/>
      <c r="D108" s="197"/>
      <c r="E108" s="197"/>
      <c r="F108" s="213"/>
      <c r="G108" s="213"/>
    </row>
    <row r="109" ht="30.0" customHeight="1">
      <c r="B109" s="193" t="s">
        <v>187</v>
      </c>
      <c r="C109" s="208"/>
      <c r="D109" s="194"/>
      <c r="E109" s="194"/>
      <c r="F109" s="213"/>
      <c r="G109" s="213"/>
    </row>
    <row r="110" ht="30.0" customHeight="1">
      <c r="B110" s="196" t="s">
        <v>266</v>
      </c>
      <c r="C110" s="196"/>
      <c r="D110" s="197"/>
      <c r="E110" s="197"/>
      <c r="F110" s="213"/>
      <c r="G110" s="213"/>
    </row>
    <row r="111" ht="30.0" customHeight="1">
      <c r="B111" s="193" t="s">
        <v>318</v>
      </c>
      <c r="C111" s="193"/>
      <c r="D111" s="194"/>
      <c r="E111" s="194"/>
      <c r="F111" s="213"/>
      <c r="G111" s="214"/>
    </row>
    <row r="112" ht="30.0" customHeight="1">
      <c r="B112" s="196" t="s">
        <v>360</v>
      </c>
      <c r="C112" s="202"/>
      <c r="D112" s="197"/>
      <c r="E112" s="197"/>
      <c r="F112" s="213"/>
      <c r="G112" s="214"/>
    </row>
    <row r="113" ht="30.0" customHeight="1">
      <c r="B113" s="193" t="s">
        <v>311</v>
      </c>
      <c r="C113" s="193"/>
      <c r="D113" s="194"/>
      <c r="E113" s="194"/>
      <c r="F113" s="214"/>
      <c r="G113" s="214"/>
    </row>
    <row r="114" ht="30.0" customHeight="1">
      <c r="B114" s="216" t="s">
        <v>349</v>
      </c>
      <c r="C114" s="217"/>
      <c r="D114" s="218"/>
      <c r="E114" s="218"/>
      <c r="F114" s="213"/>
      <c r="G114" s="213"/>
    </row>
    <row r="115" ht="30.0" customHeight="1">
      <c r="B115" s="219" t="s">
        <v>337</v>
      </c>
      <c r="C115" s="220"/>
      <c r="D115" s="207"/>
      <c r="E115" s="207"/>
      <c r="F115" s="213"/>
      <c r="G115" s="213"/>
    </row>
    <row r="116" ht="30.0" customHeight="1">
      <c r="B116" s="216" t="s">
        <v>339</v>
      </c>
      <c r="C116" s="221"/>
      <c r="D116" s="222"/>
      <c r="E116" s="222"/>
      <c r="F116" s="213"/>
      <c r="G116" s="213"/>
    </row>
    <row r="117" ht="30.0" customHeight="1">
      <c r="B117" s="193" t="s">
        <v>334</v>
      </c>
      <c r="C117" s="223"/>
      <c r="D117" s="224"/>
      <c r="E117" s="224"/>
    </row>
    <row r="118" ht="30.0" customHeight="1">
      <c r="B118" s="196" t="s">
        <v>344</v>
      </c>
      <c r="C118" s="221"/>
      <c r="D118" s="222"/>
      <c r="E118" s="222"/>
    </row>
    <row r="119" ht="30.0" customHeight="1">
      <c r="B119" s="193" t="s">
        <v>335</v>
      </c>
      <c r="C119" s="225"/>
      <c r="D119" s="194"/>
      <c r="E119" s="194"/>
    </row>
    <row r="120" ht="30.0" customHeight="1">
      <c r="B120" s="196" t="s">
        <v>343</v>
      </c>
      <c r="C120" s="221"/>
      <c r="D120" s="197"/>
      <c r="E120" s="197"/>
    </row>
    <row r="121" ht="30.0" customHeight="1">
      <c r="B121" s="193" t="s">
        <v>340</v>
      </c>
      <c r="C121" s="226"/>
      <c r="D121" s="227"/>
      <c r="E121" s="227"/>
    </row>
    <row r="122" ht="30.0" customHeight="1">
      <c r="B122" s="216" t="s">
        <v>341</v>
      </c>
      <c r="C122" s="138"/>
      <c r="D122" s="218"/>
      <c r="E122" s="218"/>
    </row>
    <row r="123" ht="30.0" customHeight="1">
      <c r="B123" s="219" t="s">
        <v>352</v>
      </c>
      <c r="C123" s="135"/>
      <c r="D123" s="207"/>
      <c r="E123" s="207"/>
    </row>
    <row r="124" ht="30.0" customHeight="1">
      <c r="B124" s="216" t="s">
        <v>353</v>
      </c>
      <c r="C124" s="138"/>
      <c r="D124" s="218"/>
      <c r="E124" s="218"/>
    </row>
    <row r="125" ht="30.0" customHeight="1">
      <c r="B125" s="219" t="s">
        <v>456</v>
      </c>
      <c r="C125" s="135"/>
      <c r="D125" s="207"/>
      <c r="E125" s="207"/>
    </row>
    <row r="126" ht="30.0" customHeight="1">
      <c r="B126" s="216" t="s">
        <v>384</v>
      </c>
      <c r="C126" s="196"/>
      <c r="D126" s="197"/>
      <c r="E126" s="197"/>
    </row>
    <row r="127" ht="30.0" customHeight="1">
      <c r="B127" s="228" t="s">
        <v>354</v>
      </c>
      <c r="C127" s="193"/>
      <c r="D127" s="194"/>
      <c r="E127" s="194"/>
    </row>
    <row r="128" ht="30.0" customHeight="1">
      <c r="B128" s="216" t="s">
        <v>362</v>
      </c>
      <c r="C128" s="138"/>
      <c r="D128" s="218"/>
      <c r="E128" s="218"/>
    </row>
    <row r="129" ht="30.0" customHeight="1">
      <c r="B129" s="219" t="s">
        <v>355</v>
      </c>
      <c r="C129" s="135"/>
      <c r="D129" s="207"/>
      <c r="E129" s="207"/>
    </row>
    <row r="130" ht="30.0" customHeight="1">
      <c r="B130" s="216" t="s">
        <v>350</v>
      </c>
      <c r="C130" s="138"/>
      <c r="D130" s="218"/>
      <c r="E130" s="218"/>
    </row>
    <row r="131" ht="30.0" customHeight="1">
      <c r="B131" s="219" t="s">
        <v>357</v>
      </c>
      <c r="C131" s="193"/>
      <c r="D131" s="194"/>
      <c r="E131" s="194"/>
    </row>
    <row r="132" ht="30.0" customHeight="1">
      <c r="B132" s="196" t="s">
        <v>368</v>
      </c>
      <c r="C132" s="229"/>
      <c r="D132" s="222"/>
      <c r="E132" s="222"/>
    </row>
    <row r="133" ht="30.0" customHeight="1">
      <c r="B133" s="193" t="s">
        <v>351</v>
      </c>
      <c r="C133" s="230"/>
      <c r="D133" s="224"/>
      <c r="E133" s="224"/>
    </row>
    <row r="134" ht="30.0" customHeight="1">
      <c r="B134" s="196" t="s">
        <v>376</v>
      </c>
      <c r="C134" s="229"/>
      <c r="D134" s="222"/>
      <c r="E134" s="222"/>
    </row>
    <row r="135" ht="30.0" customHeight="1">
      <c r="B135" s="193" t="s">
        <v>377</v>
      </c>
      <c r="C135" s="230"/>
      <c r="D135" s="224"/>
      <c r="E135" s="224"/>
    </row>
    <row r="136" ht="30.0" customHeight="1">
      <c r="B136" s="196" t="s">
        <v>370</v>
      </c>
      <c r="C136" s="229"/>
      <c r="D136" s="222"/>
      <c r="E136" s="222"/>
    </row>
    <row r="137" ht="30.0" customHeight="1">
      <c r="B137" s="193" t="s">
        <v>369</v>
      </c>
      <c r="C137" s="230"/>
      <c r="D137" s="224"/>
      <c r="E137" s="224"/>
    </row>
    <row r="138" ht="30.0" customHeight="1">
      <c r="B138" s="216" t="s">
        <v>378</v>
      </c>
      <c r="C138" s="231"/>
      <c r="D138" s="232"/>
      <c r="E138" s="232"/>
    </row>
    <row r="139" ht="30.0" customHeight="1">
      <c r="B139" s="219" t="s">
        <v>379</v>
      </c>
      <c r="C139" s="233"/>
      <c r="D139" s="234"/>
      <c r="E139" s="234"/>
    </row>
    <row r="140" ht="30.0" customHeight="1">
      <c r="B140" s="216" t="s">
        <v>374</v>
      </c>
      <c r="C140" s="231"/>
      <c r="D140" s="232"/>
      <c r="E140" s="232"/>
    </row>
    <row r="141" ht="30.0" customHeight="1">
      <c r="B141" s="219" t="s">
        <v>380</v>
      </c>
      <c r="C141" s="233"/>
      <c r="D141" s="234"/>
      <c r="E141" s="234"/>
    </row>
    <row r="142" ht="30.0" customHeight="1">
      <c r="B142" s="216" t="s">
        <v>371</v>
      </c>
      <c r="C142" s="231"/>
      <c r="D142" s="232"/>
      <c r="E142" s="232"/>
    </row>
    <row r="143" ht="30.0" customHeight="1">
      <c r="B143" s="219" t="s">
        <v>372</v>
      </c>
      <c r="C143" s="235"/>
      <c r="D143" s="234"/>
      <c r="E143" s="234"/>
    </row>
    <row r="144" ht="30.0" customHeight="1">
      <c r="B144" s="216" t="s">
        <v>395</v>
      </c>
      <c r="C144" s="236"/>
      <c r="D144" s="232"/>
      <c r="E144" s="232"/>
    </row>
    <row r="145" ht="30.0" customHeight="1">
      <c r="B145" s="219" t="s">
        <v>375</v>
      </c>
      <c r="C145" s="235"/>
      <c r="D145" s="234"/>
      <c r="E145" s="234"/>
    </row>
    <row r="146" ht="30.0" customHeight="1">
      <c r="B146" s="216" t="s">
        <v>385</v>
      </c>
      <c r="C146" s="232"/>
      <c r="D146" s="232"/>
      <c r="E146" s="232"/>
    </row>
    <row r="147" ht="30.0" customHeight="1">
      <c r="B147" s="135" t="s">
        <v>383</v>
      </c>
      <c r="C147" s="234"/>
      <c r="D147" s="234"/>
      <c r="E147" s="234"/>
    </row>
    <row r="148" ht="30.0" customHeight="1">
      <c r="B148" s="138" t="s">
        <v>387</v>
      </c>
      <c r="C148" s="232"/>
      <c r="D148" s="232"/>
      <c r="E148" s="232"/>
    </row>
    <row r="149" ht="30.0" customHeight="1">
      <c r="B149" s="135" t="s">
        <v>392</v>
      </c>
      <c r="C149" s="234"/>
      <c r="D149" s="234"/>
      <c r="E149" s="234"/>
    </row>
    <row r="150" ht="30.0" customHeight="1">
      <c r="B150" s="138" t="s">
        <v>396</v>
      </c>
      <c r="C150" s="232"/>
      <c r="D150" s="232"/>
      <c r="E150" s="232"/>
    </row>
    <row r="151" ht="30.0" customHeight="1">
      <c r="B151" s="135" t="s">
        <v>397</v>
      </c>
      <c r="C151" s="234"/>
      <c r="D151" s="234"/>
      <c r="E151" s="234"/>
    </row>
    <row r="152" ht="30.0" customHeight="1">
      <c r="B152" s="138" t="s">
        <v>405</v>
      </c>
      <c r="C152" s="232"/>
      <c r="D152" s="232"/>
      <c r="E152" s="232"/>
    </row>
    <row r="153" ht="30.0" customHeight="1">
      <c r="B153" s="135" t="s">
        <v>388</v>
      </c>
      <c r="C153" s="234"/>
      <c r="D153" s="234"/>
      <c r="E153" s="234"/>
    </row>
    <row r="154" ht="30.0" customHeight="1">
      <c r="B154" s="138" t="s">
        <v>389</v>
      </c>
      <c r="C154" s="232"/>
      <c r="D154" s="232"/>
      <c r="E154" s="232"/>
    </row>
    <row r="155" ht="30.0" customHeight="1">
      <c r="B155" s="135" t="s">
        <v>393</v>
      </c>
      <c r="C155" s="234"/>
      <c r="D155" s="234"/>
      <c r="E155" s="234"/>
    </row>
    <row r="156" ht="30.0" customHeight="1">
      <c r="B156" s="138" t="s">
        <v>398</v>
      </c>
      <c r="C156" s="232"/>
      <c r="D156" s="232"/>
      <c r="E156" s="232"/>
    </row>
    <row r="157" ht="30.0" customHeight="1">
      <c r="B157" s="135" t="s">
        <v>404</v>
      </c>
      <c r="C157" s="234"/>
      <c r="D157" s="234"/>
      <c r="E157" s="234"/>
    </row>
    <row r="158" ht="30.0" customHeight="1">
      <c r="B158" s="138" t="s">
        <v>406</v>
      </c>
      <c r="C158" s="232"/>
      <c r="D158" s="232"/>
      <c r="E158" s="232"/>
    </row>
    <row r="159" ht="30.0" customHeight="1">
      <c r="B159" s="135" t="s">
        <v>399</v>
      </c>
      <c r="C159" s="234"/>
      <c r="D159" s="234"/>
      <c r="E159" s="234"/>
    </row>
    <row r="160" ht="30.0" customHeight="1">
      <c r="B160" s="138" t="s">
        <v>402</v>
      </c>
      <c r="C160" s="232"/>
      <c r="D160" s="232"/>
      <c r="E160" s="232"/>
    </row>
    <row r="161" ht="30.0" customHeight="1">
      <c r="B161" s="135" t="s">
        <v>394</v>
      </c>
      <c r="C161" s="234"/>
      <c r="D161" s="234"/>
      <c r="E161" s="234"/>
    </row>
    <row r="162" ht="30.0" customHeight="1">
      <c r="B162" s="138" t="s">
        <v>390</v>
      </c>
      <c r="C162" s="232"/>
      <c r="D162" s="232"/>
      <c r="E162" s="232"/>
    </row>
    <row r="163" ht="30.0" customHeight="1">
      <c r="B163" s="135" t="s">
        <v>400</v>
      </c>
      <c r="C163" s="234"/>
      <c r="D163" s="234"/>
      <c r="E163" s="234"/>
    </row>
    <row r="164" ht="30.0" customHeight="1">
      <c r="B164" s="138" t="s">
        <v>401</v>
      </c>
      <c r="C164" s="232"/>
      <c r="D164" s="232"/>
      <c r="E164" s="232"/>
    </row>
    <row r="165" ht="30.0" customHeight="1">
      <c r="B165" s="135" t="s">
        <v>403</v>
      </c>
      <c r="C165" s="234"/>
      <c r="D165" s="234"/>
      <c r="E165" s="234"/>
    </row>
    <row r="166" ht="30.0" customHeight="1">
      <c r="B166" s="138" t="s">
        <v>430</v>
      </c>
      <c r="C166" s="232"/>
      <c r="D166" s="232"/>
      <c r="E166" s="232"/>
    </row>
    <row r="167" ht="30.0" customHeight="1">
      <c r="B167" s="135" t="s">
        <v>391</v>
      </c>
      <c r="C167" s="234"/>
      <c r="D167" s="234"/>
      <c r="E167" s="234"/>
    </row>
    <row r="168" ht="30.0" customHeight="1">
      <c r="B168" s="138" t="s">
        <v>409</v>
      </c>
      <c r="C168" s="232"/>
      <c r="D168" s="232"/>
      <c r="E168" s="232"/>
    </row>
    <row r="169" ht="30.0" customHeight="1">
      <c r="B169" s="135" t="s">
        <v>415</v>
      </c>
      <c r="C169" s="234"/>
      <c r="D169" s="234"/>
      <c r="E169" s="234"/>
    </row>
    <row r="170" ht="30.0" customHeight="1">
      <c r="B170" s="138" t="s">
        <v>422</v>
      </c>
      <c r="C170" s="232"/>
      <c r="D170" s="232"/>
      <c r="E170" s="232"/>
    </row>
    <row r="171" ht="30.0" customHeight="1">
      <c r="B171" s="135" t="s">
        <v>423</v>
      </c>
      <c r="C171" s="234"/>
      <c r="D171" s="234"/>
      <c r="E171" s="234"/>
    </row>
    <row r="172" ht="30.0" customHeight="1">
      <c r="B172" s="138" t="s">
        <v>416</v>
      </c>
      <c r="C172" s="232"/>
      <c r="D172" s="232"/>
      <c r="E172" s="232"/>
    </row>
    <row r="173" ht="30.0" customHeight="1">
      <c r="B173" s="135" t="s">
        <v>424</v>
      </c>
      <c r="C173" s="234"/>
      <c r="D173" s="234"/>
      <c r="E173" s="234"/>
    </row>
    <row r="174" ht="30.0" customHeight="1">
      <c r="B174" s="138" t="s">
        <v>410</v>
      </c>
      <c r="C174" s="232"/>
      <c r="D174" s="232"/>
      <c r="E174" s="232"/>
    </row>
    <row r="175" ht="30.0" customHeight="1">
      <c r="B175" s="135" t="s">
        <v>417</v>
      </c>
      <c r="C175" s="234"/>
      <c r="D175" s="234"/>
      <c r="E175" s="234"/>
    </row>
    <row r="176" ht="30.0" customHeight="1">
      <c r="B176" s="138" t="s">
        <v>411</v>
      </c>
      <c r="C176" s="232"/>
      <c r="D176" s="232"/>
      <c r="E176" s="232"/>
    </row>
    <row r="177" ht="30.0" customHeight="1">
      <c r="B177" s="135" t="s">
        <v>412</v>
      </c>
      <c r="C177" s="234"/>
      <c r="D177" s="234"/>
      <c r="E177" s="234"/>
    </row>
    <row r="178" ht="30.0" customHeight="1">
      <c r="B178" s="138" t="s">
        <v>413</v>
      </c>
      <c r="C178" s="232"/>
      <c r="D178" s="232"/>
      <c r="E178" s="232"/>
    </row>
    <row r="179" ht="30.0" customHeight="1">
      <c r="B179" s="237" t="s">
        <v>414</v>
      </c>
      <c r="C179" s="234"/>
      <c r="D179" s="234"/>
      <c r="E179" s="234"/>
    </row>
    <row r="180" ht="30.0" customHeight="1">
      <c r="B180" s="238" t="s">
        <v>428</v>
      </c>
      <c r="C180" s="232"/>
      <c r="D180" s="232"/>
      <c r="E180" s="232"/>
    </row>
    <row r="181" ht="30.0" customHeight="1">
      <c r="B181" s="237" t="s">
        <v>425</v>
      </c>
      <c r="C181" s="234"/>
      <c r="D181" s="234"/>
      <c r="E181" s="234"/>
    </row>
    <row r="182" ht="30.0" customHeight="1">
      <c r="B182" s="238" t="s">
        <v>429</v>
      </c>
      <c r="C182" s="232"/>
      <c r="D182" s="232"/>
      <c r="E182" s="232"/>
    </row>
    <row r="183" ht="30.0" customHeight="1">
      <c r="B183" s="237" t="s">
        <v>419</v>
      </c>
      <c r="C183" s="234"/>
      <c r="D183" s="234"/>
      <c r="E183" s="234"/>
    </row>
    <row r="184" ht="30.0" customHeight="1">
      <c r="B184" s="238" t="s">
        <v>420</v>
      </c>
      <c r="C184" s="232"/>
      <c r="D184" s="232"/>
      <c r="E184" s="232"/>
    </row>
    <row r="185" ht="30.0" customHeight="1">
      <c r="B185" s="237" t="s">
        <v>426</v>
      </c>
      <c r="C185" s="234"/>
      <c r="D185" s="234"/>
      <c r="E185" s="234"/>
    </row>
    <row r="186" ht="30.0" customHeight="1">
      <c r="B186" s="238" t="s">
        <v>421</v>
      </c>
      <c r="C186" s="232"/>
      <c r="D186" s="232"/>
      <c r="E186" s="232"/>
    </row>
    <row r="187" ht="30.0" customHeight="1">
      <c r="B187" s="237" t="s">
        <v>427</v>
      </c>
      <c r="C187" s="234"/>
      <c r="D187" s="234"/>
      <c r="E187" s="234"/>
    </row>
    <row r="188" ht="30.0" customHeight="1">
      <c r="B188" s="238" t="s">
        <v>457</v>
      </c>
      <c r="C188" s="232"/>
      <c r="D188" s="232"/>
      <c r="E188" s="232"/>
    </row>
    <row r="189" ht="30.0" customHeight="1">
      <c r="B189" s="237" t="s">
        <v>418</v>
      </c>
      <c r="C189" s="234"/>
      <c r="D189" s="234"/>
      <c r="E189" s="234"/>
    </row>
    <row r="190" ht="30.0" customHeight="1">
      <c r="B190" s="238" t="s">
        <v>458</v>
      </c>
      <c r="C190" s="232"/>
      <c r="D190" s="232"/>
      <c r="E190" s="232"/>
    </row>
    <row r="191" ht="30.0" customHeight="1">
      <c r="B191" s="237" t="s">
        <v>459</v>
      </c>
      <c r="C191" s="234"/>
      <c r="D191" s="234"/>
      <c r="E191" s="234"/>
    </row>
    <row r="192" ht="30.0" customHeight="1">
      <c r="B192" s="238" t="s">
        <v>460</v>
      </c>
      <c r="C192" s="232"/>
      <c r="D192" s="232"/>
      <c r="E192" s="232"/>
    </row>
    <row r="193" ht="30.0" customHeight="1">
      <c r="B193" s="237" t="s">
        <v>461</v>
      </c>
      <c r="C193" s="234"/>
      <c r="D193" s="234"/>
      <c r="E193" s="234"/>
    </row>
    <row r="194" ht="30.0" customHeight="1">
      <c r="B194" s="238" t="s">
        <v>462</v>
      </c>
      <c r="C194" s="232"/>
      <c r="D194" s="232"/>
      <c r="E194" s="232"/>
    </row>
    <row r="195" ht="30.0" customHeight="1">
      <c r="B195" s="237" t="s">
        <v>463</v>
      </c>
      <c r="C195" s="234"/>
      <c r="D195" s="234"/>
      <c r="E195" s="234"/>
    </row>
    <row r="196" ht="30.0" customHeight="1">
      <c r="B196" s="238" t="s">
        <v>464</v>
      </c>
      <c r="C196" s="232"/>
      <c r="D196" s="232"/>
      <c r="E196" s="232"/>
    </row>
    <row r="197" ht="30.0" customHeight="1">
      <c r="B197" s="237" t="s">
        <v>465</v>
      </c>
      <c r="C197" s="234"/>
      <c r="D197" s="234"/>
      <c r="E197" s="234"/>
    </row>
    <row r="198" ht="30.0" customHeight="1">
      <c r="B198" s="238" t="s">
        <v>466</v>
      </c>
      <c r="C198" s="232"/>
      <c r="D198" s="232"/>
      <c r="E198" s="232"/>
    </row>
    <row r="199" ht="30.0" customHeight="1">
      <c r="B199" s="237" t="s">
        <v>467</v>
      </c>
      <c r="C199" s="234"/>
      <c r="D199" s="234"/>
      <c r="E199" s="234"/>
    </row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  <row r="1023" ht="30.0" customHeight="1"/>
    <row r="1024" ht="30.0" customHeight="1"/>
    <row r="1025" ht="30.0" customHeight="1"/>
    <row r="1026" ht="30.0" customHeight="1"/>
    <row r="1027" ht="30.0" customHeight="1"/>
    <row r="1028" ht="30.0" customHeight="1"/>
    <row r="1029" ht="30.0" customHeight="1"/>
    <row r="1030" ht="30.0" customHeight="1"/>
    <row r="1031" ht="30.0" customHeight="1"/>
    <row r="1032" ht="30.0" customHeight="1"/>
    <row r="1033" ht="30.0" customHeight="1"/>
    <row r="1034" ht="30.0" customHeight="1"/>
    <row r="1035" ht="30.0" customHeight="1"/>
    <row r="1036" ht="30.0" customHeight="1"/>
    <row r="1037" ht="30.0" customHeight="1"/>
    <row r="1038" ht="30.0" customHeight="1"/>
    <row r="1039" ht="30.0" customHeight="1"/>
    <row r="1040" ht="30.0" customHeight="1"/>
    <row r="1041" ht="30.0" customHeight="1"/>
    <row r="1042" ht="30.0" customHeight="1"/>
    <row r="1043" ht="30.0" customHeight="1"/>
    <row r="1044" ht="30.0" customHeight="1"/>
    <row r="1045" ht="30.0" customHeight="1"/>
    <row r="1046" ht="30.0" customHeight="1"/>
    <row r="1047" ht="30.0" customHeight="1"/>
    <row r="1048" ht="30.0" customHeight="1"/>
    <row r="1049" ht="30.0" customHeight="1"/>
    <row r="1050" ht="30.0" customHeight="1"/>
  </sheetData>
  <autoFilter ref="$B$3:$C$199">
    <sortState ref="B3:C199">
      <sortCondition ref="C3:C199"/>
    </sortState>
  </autoFilter>
  <mergeCells count="6">
    <mergeCell ref="B1:F1"/>
    <mergeCell ref="D4:D31"/>
    <mergeCell ref="D32:D39"/>
    <mergeCell ref="D53:D59"/>
    <mergeCell ref="D60:D70"/>
    <mergeCell ref="D71:D72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4B2A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B1" s="87" t="s">
        <v>0</v>
      </c>
    </row>
    <row r="2" ht="15.0" customHeight="1">
      <c r="B2" s="72" t="s">
        <v>1</v>
      </c>
      <c r="C2" s="73" t="s">
        <v>193</v>
      </c>
      <c r="D2" s="74" t="s">
        <v>194</v>
      </c>
      <c r="E2" s="75"/>
      <c r="F2" s="75"/>
      <c r="G2" s="76" t="s">
        <v>195</v>
      </c>
      <c r="H2" s="74" t="s">
        <v>196</v>
      </c>
      <c r="I2" s="75"/>
      <c r="J2" s="75"/>
      <c r="K2" s="77" t="s">
        <v>6</v>
      </c>
      <c r="L2" s="74" t="s">
        <v>89</v>
      </c>
      <c r="M2" s="75"/>
      <c r="N2" s="75"/>
      <c r="O2" s="78" t="s">
        <v>8</v>
      </c>
      <c r="P2" s="74" t="s">
        <v>198</v>
      </c>
      <c r="Q2" s="75"/>
      <c r="R2" s="75"/>
      <c r="S2" s="75"/>
      <c r="T2" s="79" t="s">
        <v>10</v>
      </c>
      <c r="U2" s="74" t="s">
        <v>199</v>
      </c>
      <c r="V2" s="75"/>
      <c r="W2" s="75"/>
      <c r="X2" s="75"/>
    </row>
    <row r="3" ht="15.0" customHeight="1">
      <c r="B3" s="87"/>
    </row>
    <row r="4" ht="30.0" customHeight="1">
      <c r="B4" s="38" t="s">
        <v>468</v>
      </c>
      <c r="C4" s="80" t="s">
        <v>329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80"/>
      <c r="AH4" s="32">
        <f>CalendarioAño</f>
        <v>2025</v>
      </c>
    </row>
    <row r="5" ht="15.0" customHeight="1">
      <c r="B5" s="32"/>
      <c r="C5" s="159" t="s">
        <v>364</v>
      </c>
      <c r="D5" s="159" t="s">
        <v>365</v>
      </c>
      <c r="E5" s="16" t="str">
        <f>TEXT(WEEKDAY(DATE(CalendarioAño,8,6),1),"ddd")</f>
        <v>mié</v>
      </c>
      <c r="F5" s="16" t="str">
        <f>TEXT(WEEKDAY(DATE(CalendarioAño,8,7),1),"ddd")</f>
        <v>jue</v>
      </c>
      <c r="G5" s="159" t="s">
        <v>366</v>
      </c>
      <c r="H5" s="16" t="str">
        <f>TEXT(WEEKDAY(DATE(CalendarioAño,8,9),1),"ddd")</f>
        <v>sáb</v>
      </c>
      <c r="I5" s="159" t="s">
        <v>367</v>
      </c>
      <c r="J5" s="159" t="s">
        <v>364</v>
      </c>
      <c r="K5" s="159" t="s">
        <v>365</v>
      </c>
      <c r="L5" s="16" t="str">
        <f>TEXT(WEEKDAY(DATE(CalendarioAño,8,6),1),"ddd")</f>
        <v>mié</v>
      </c>
      <c r="M5" s="16" t="str">
        <f>TEXT(WEEKDAY(DATE(CalendarioAño,8,7),1),"ddd")</f>
        <v>jue</v>
      </c>
      <c r="N5" s="159" t="s">
        <v>366</v>
      </c>
      <c r="O5" s="16" t="str">
        <f>TEXT(WEEKDAY(DATE(CalendarioAño,8,9),1),"ddd")</f>
        <v>sáb</v>
      </c>
      <c r="P5" s="159" t="s">
        <v>367</v>
      </c>
      <c r="Q5" s="159" t="s">
        <v>364</v>
      </c>
      <c r="R5" s="159" t="s">
        <v>365</v>
      </c>
      <c r="S5" s="16" t="str">
        <f>TEXT(WEEKDAY(DATE(CalendarioAño,8,6),1),"ddd")</f>
        <v>mié</v>
      </c>
      <c r="T5" s="16" t="str">
        <f>TEXT(WEEKDAY(DATE(CalendarioAño,8,7),1),"ddd")</f>
        <v>jue</v>
      </c>
      <c r="U5" s="159" t="s">
        <v>366</v>
      </c>
      <c r="V5" s="16" t="str">
        <f>TEXT(WEEKDAY(DATE(CalendarioAño,8,9),1),"ddd")</f>
        <v>sáb</v>
      </c>
      <c r="W5" s="159" t="s">
        <v>367</v>
      </c>
      <c r="X5" s="159" t="s">
        <v>364</v>
      </c>
      <c r="Y5" s="159" t="s">
        <v>365</v>
      </c>
      <c r="Z5" s="16" t="str">
        <f>TEXT(WEEKDAY(DATE(CalendarioAño,8,6),1),"ddd")</f>
        <v>mié</v>
      </c>
      <c r="AA5" s="16" t="str">
        <f>TEXT(WEEKDAY(DATE(CalendarioAño,8,7),1),"ddd")</f>
        <v>jue</v>
      </c>
      <c r="AB5" s="159" t="s">
        <v>366</v>
      </c>
      <c r="AC5" s="16" t="str">
        <f>TEXT(WEEKDAY(DATE(CalendarioAño,8,9),1),"ddd")</f>
        <v>sáb</v>
      </c>
      <c r="AD5" s="159" t="s">
        <v>367</v>
      </c>
      <c r="AE5" s="159" t="s">
        <v>364</v>
      </c>
      <c r="AF5" s="159" t="s">
        <v>365</v>
      </c>
      <c r="AG5" s="16" t="str">
        <f>TEXT(WEEKDAY(DATE(CalendarioAño,8,6),1),"ddd")</f>
        <v>mié</v>
      </c>
      <c r="AH5" s="16"/>
    </row>
    <row r="6" ht="15.0" customHeight="1">
      <c r="A6" s="115"/>
      <c r="B6" s="116" t="s">
        <v>202</v>
      </c>
      <c r="C6" s="164">
        <v>1.0</v>
      </c>
      <c r="D6" s="164">
        <v>2.0</v>
      </c>
      <c r="E6" s="164">
        <v>3.0</v>
      </c>
      <c r="F6" s="164">
        <v>4.0</v>
      </c>
      <c r="G6" s="164">
        <v>5.0</v>
      </c>
      <c r="H6" s="164">
        <v>6.0</v>
      </c>
      <c r="I6" s="164">
        <v>7.0</v>
      </c>
      <c r="J6" s="164">
        <v>8.0</v>
      </c>
      <c r="K6" s="164">
        <v>9.0</v>
      </c>
      <c r="L6" s="164">
        <v>10.0</v>
      </c>
      <c r="M6" s="117" t="s">
        <v>25</v>
      </c>
      <c r="N6" s="117" t="s">
        <v>26</v>
      </c>
      <c r="O6" s="117" t="s">
        <v>27</v>
      </c>
      <c r="P6" s="117" t="s">
        <v>28</v>
      </c>
      <c r="Q6" s="117" t="s">
        <v>29</v>
      </c>
      <c r="R6" s="117" t="s">
        <v>30</v>
      </c>
      <c r="S6" s="117" t="s">
        <v>31</v>
      </c>
      <c r="T6" s="117" t="s">
        <v>32</v>
      </c>
      <c r="U6" s="117" t="s">
        <v>33</v>
      </c>
      <c r="V6" s="117" t="s">
        <v>34</v>
      </c>
      <c r="W6" s="117" t="s">
        <v>35</v>
      </c>
      <c r="X6" s="117" t="s">
        <v>36</v>
      </c>
      <c r="Y6" s="117" t="s">
        <v>37</v>
      </c>
      <c r="Z6" s="117" t="s">
        <v>38</v>
      </c>
      <c r="AA6" s="117" t="s">
        <v>39</v>
      </c>
      <c r="AB6" s="117" t="s">
        <v>40</v>
      </c>
      <c r="AC6" s="117" t="s">
        <v>41</v>
      </c>
      <c r="AD6" s="117" t="s">
        <v>42</v>
      </c>
      <c r="AE6" s="117" t="s">
        <v>43</v>
      </c>
      <c r="AF6" s="117" t="s">
        <v>44</v>
      </c>
      <c r="AG6" s="164">
        <v>31.0</v>
      </c>
      <c r="AH6" s="117" t="s">
        <v>46</v>
      </c>
    </row>
    <row r="7" ht="30.0" customHeight="1">
      <c r="B7" s="119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5"/>
    </row>
    <row r="8" ht="30.0" customHeight="1">
      <c r="B8" s="119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5"/>
    </row>
    <row r="9" ht="30.0" customHeight="1">
      <c r="B9" s="119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5"/>
    </row>
    <row r="10" ht="30.0" customHeight="1">
      <c r="B10" s="8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5"/>
    </row>
    <row r="11" ht="30.0" customHeight="1">
      <c r="B11" s="8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5"/>
    </row>
    <row r="12" ht="30.0" customHeight="1">
      <c r="B12" s="127" t="str">
        <f>Diciembre!MonthName&amp;" Total"</f>
        <v>Diciembre Total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27"/>
    </row>
    <row r="13" ht="30.0" customHeight="1"/>
    <row r="14" ht="30.0" customHeight="1">
      <c r="B14" s="38" t="s">
        <v>468</v>
      </c>
      <c r="C14" s="80" t="s">
        <v>330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80"/>
      <c r="AH14" s="32">
        <f>CalendarioAño</f>
        <v>2025</v>
      </c>
    </row>
    <row r="15" ht="30.0" customHeight="1">
      <c r="B15" s="32"/>
      <c r="C15" s="159" t="s">
        <v>364</v>
      </c>
      <c r="D15" s="159" t="s">
        <v>365</v>
      </c>
      <c r="E15" s="16" t="str">
        <f>TEXT(WEEKDAY(DATE(CalendarioAño,8,6),1),"ddd")</f>
        <v>mié</v>
      </c>
      <c r="F15" s="16" t="str">
        <f>TEXT(WEEKDAY(DATE(CalendarioAño,8,7),1),"ddd")</f>
        <v>jue</v>
      </c>
      <c r="G15" s="159" t="s">
        <v>366</v>
      </c>
      <c r="H15" s="16" t="str">
        <f>TEXT(WEEKDAY(DATE(CalendarioAño,8,9),1),"ddd")</f>
        <v>sáb</v>
      </c>
      <c r="I15" s="159" t="s">
        <v>367</v>
      </c>
      <c r="J15" s="159" t="s">
        <v>364</v>
      </c>
      <c r="K15" s="159" t="s">
        <v>365</v>
      </c>
      <c r="L15" s="16" t="str">
        <f>TEXT(WEEKDAY(DATE(CalendarioAño,8,6),1),"ddd")</f>
        <v>mié</v>
      </c>
      <c r="M15" s="16" t="str">
        <f>TEXT(WEEKDAY(DATE(CalendarioAño,8,7),1),"ddd")</f>
        <v>jue</v>
      </c>
      <c r="N15" s="159" t="s">
        <v>366</v>
      </c>
      <c r="O15" s="16" t="str">
        <f>TEXT(WEEKDAY(DATE(CalendarioAño,8,9),1),"ddd")</f>
        <v>sáb</v>
      </c>
      <c r="P15" s="159" t="s">
        <v>367</v>
      </c>
      <c r="Q15" s="159" t="s">
        <v>364</v>
      </c>
      <c r="R15" s="159" t="s">
        <v>365</v>
      </c>
      <c r="S15" s="16" t="str">
        <f>TEXT(WEEKDAY(DATE(CalendarioAño,8,6),1),"ddd")</f>
        <v>mié</v>
      </c>
      <c r="T15" s="16" t="str">
        <f>TEXT(WEEKDAY(DATE(CalendarioAño,8,7),1),"ddd")</f>
        <v>jue</v>
      </c>
      <c r="U15" s="159" t="s">
        <v>366</v>
      </c>
      <c r="V15" s="16" t="str">
        <f>TEXT(WEEKDAY(DATE(CalendarioAño,8,9),1),"ddd")</f>
        <v>sáb</v>
      </c>
      <c r="W15" s="159" t="s">
        <v>367</v>
      </c>
      <c r="X15" s="159" t="s">
        <v>364</v>
      </c>
      <c r="Y15" s="159" t="s">
        <v>365</v>
      </c>
      <c r="Z15" s="16" t="str">
        <f>TEXT(WEEKDAY(DATE(CalendarioAño,8,6),1),"ddd")</f>
        <v>mié</v>
      </c>
      <c r="AA15" s="16" t="str">
        <f>TEXT(WEEKDAY(DATE(CalendarioAño,8,7),1),"ddd")</f>
        <v>jue</v>
      </c>
      <c r="AB15" s="159" t="s">
        <v>366</v>
      </c>
      <c r="AC15" s="16" t="str">
        <f>TEXT(WEEKDAY(DATE(CalendarioAño,8,9),1),"ddd")</f>
        <v>sáb</v>
      </c>
      <c r="AD15" s="159" t="s">
        <v>367</v>
      </c>
      <c r="AE15" s="159" t="s">
        <v>364</v>
      </c>
      <c r="AF15" s="159" t="s">
        <v>365</v>
      </c>
      <c r="AG15" s="16" t="str">
        <f>TEXT(WEEKDAY(DATE(CalendarioAño,8,6),1),"ddd")</f>
        <v>mié</v>
      </c>
      <c r="AH15" s="32"/>
    </row>
    <row r="16" ht="30.0" customHeight="1">
      <c r="A16" s="115"/>
      <c r="B16" s="116" t="s">
        <v>202</v>
      </c>
      <c r="C16" s="164">
        <v>1.0</v>
      </c>
      <c r="D16" s="164">
        <v>2.0</v>
      </c>
      <c r="E16" s="164">
        <v>3.0</v>
      </c>
      <c r="F16" s="164">
        <v>4.0</v>
      </c>
      <c r="G16" s="164">
        <v>5.0</v>
      </c>
      <c r="H16" s="164">
        <v>6.0</v>
      </c>
      <c r="I16" s="164">
        <v>7.0</v>
      </c>
      <c r="J16" s="164">
        <v>8.0</v>
      </c>
      <c r="K16" s="164">
        <v>9.0</v>
      </c>
      <c r="L16" s="164">
        <v>10.0</v>
      </c>
      <c r="M16" s="117" t="s">
        <v>25</v>
      </c>
      <c r="N16" s="117" t="s">
        <v>26</v>
      </c>
      <c r="O16" s="117" t="s">
        <v>27</v>
      </c>
      <c r="P16" s="117" t="s">
        <v>28</v>
      </c>
      <c r="Q16" s="117" t="s">
        <v>29</v>
      </c>
      <c r="R16" s="117" t="s">
        <v>30</v>
      </c>
      <c r="S16" s="117" t="s">
        <v>31</v>
      </c>
      <c r="T16" s="117" t="s">
        <v>32</v>
      </c>
      <c r="U16" s="117" t="s">
        <v>33</v>
      </c>
      <c r="V16" s="117" t="s">
        <v>34</v>
      </c>
      <c r="W16" s="117" t="s">
        <v>35</v>
      </c>
      <c r="X16" s="117" t="s">
        <v>36</v>
      </c>
      <c r="Y16" s="117" t="s">
        <v>37</v>
      </c>
      <c r="Z16" s="117" t="s">
        <v>38</v>
      </c>
      <c r="AA16" s="117" t="s">
        <v>39</v>
      </c>
      <c r="AB16" s="117" t="s">
        <v>40</v>
      </c>
      <c r="AC16" s="117" t="s">
        <v>41</v>
      </c>
      <c r="AD16" s="117" t="s">
        <v>42</v>
      </c>
      <c r="AE16" s="117" t="s">
        <v>43</v>
      </c>
      <c r="AF16" s="117" t="s">
        <v>44</v>
      </c>
      <c r="AG16" s="164">
        <v>31.0</v>
      </c>
      <c r="AH16" s="117" t="s">
        <v>46</v>
      </c>
    </row>
    <row r="17" ht="30.0" customHeight="1">
      <c r="B17" s="129" t="s">
        <v>390</v>
      </c>
      <c r="C17" s="10" t="s">
        <v>6</v>
      </c>
      <c r="D17" s="130"/>
      <c r="E17" s="10" t="s">
        <v>6</v>
      </c>
      <c r="F17" s="130"/>
      <c r="G17" s="130"/>
      <c r="H17" s="130"/>
      <c r="I17" s="130"/>
      <c r="J17" s="239"/>
      <c r="K17" s="239"/>
      <c r="L17" s="130"/>
      <c r="M17" s="10" t="s">
        <v>6</v>
      </c>
      <c r="N17" s="130"/>
      <c r="O17" s="130"/>
      <c r="P17" s="10" t="s">
        <v>6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9"/>
      <c r="AD17" s="139"/>
      <c r="AE17" s="139"/>
      <c r="AF17" s="139"/>
      <c r="AG17" s="139"/>
      <c r="AH17" s="131"/>
    </row>
    <row r="18" ht="30.0" customHeight="1">
      <c r="B18" s="132" t="s">
        <v>391</v>
      </c>
      <c r="C18" s="10" t="s">
        <v>6</v>
      </c>
      <c r="D18" s="133"/>
      <c r="E18" s="133"/>
      <c r="F18" s="10" t="s">
        <v>6</v>
      </c>
      <c r="G18" s="133"/>
      <c r="H18" s="133"/>
      <c r="I18" s="133"/>
      <c r="J18" s="239"/>
      <c r="K18" s="239"/>
      <c r="L18" s="133"/>
      <c r="M18" s="10" t="s">
        <v>6</v>
      </c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28"/>
      <c r="AG18" s="128"/>
      <c r="AH18" s="134"/>
    </row>
    <row r="19" ht="30.0" customHeight="1">
      <c r="B19" s="129" t="s">
        <v>389</v>
      </c>
      <c r="C19" s="139"/>
      <c r="D19" s="10" t="s">
        <v>6</v>
      </c>
      <c r="E19" s="139"/>
      <c r="F19" s="139"/>
      <c r="G19" s="139"/>
      <c r="H19" s="139"/>
      <c r="I19" s="139"/>
      <c r="J19" s="240"/>
      <c r="K19" s="240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1"/>
    </row>
    <row r="20" ht="30.0" customHeight="1">
      <c r="B20" s="135" t="s">
        <v>388</v>
      </c>
      <c r="C20" s="128"/>
      <c r="D20" s="10" t="s">
        <v>6</v>
      </c>
      <c r="E20" s="128"/>
      <c r="F20" s="128"/>
      <c r="G20" s="128"/>
      <c r="H20" s="128"/>
      <c r="I20" s="128"/>
      <c r="J20" s="240"/>
      <c r="K20" s="240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34"/>
    </row>
    <row r="21" ht="30.0" customHeight="1">
      <c r="B21" s="138" t="s">
        <v>387</v>
      </c>
      <c r="C21" s="130"/>
      <c r="D21" s="10" t="s">
        <v>6</v>
      </c>
      <c r="E21" s="130"/>
      <c r="F21" s="130"/>
      <c r="G21" s="130"/>
      <c r="H21" s="130"/>
      <c r="I21" s="130"/>
      <c r="J21" s="239"/>
      <c r="K21" s="239"/>
      <c r="L21" s="130"/>
      <c r="M21" s="10" t="s">
        <v>6</v>
      </c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1"/>
    </row>
    <row r="22" ht="30.0" customHeight="1">
      <c r="B22" s="135" t="s">
        <v>412</v>
      </c>
      <c r="C22" s="128"/>
      <c r="D22" s="10" t="s">
        <v>6</v>
      </c>
      <c r="E22" s="128"/>
      <c r="F22" s="128"/>
      <c r="G22" s="10" t="s">
        <v>6</v>
      </c>
      <c r="H22" s="10" t="s">
        <v>6</v>
      </c>
      <c r="I22" s="128"/>
      <c r="J22" s="240"/>
      <c r="K22" s="240"/>
      <c r="L22" s="128"/>
      <c r="M22" s="128"/>
      <c r="N22" s="128"/>
      <c r="O22" s="128"/>
      <c r="P22" s="128"/>
      <c r="Q22" s="128"/>
      <c r="R22" s="128"/>
      <c r="S22" s="128"/>
      <c r="T22" s="128"/>
      <c r="U22" s="10" t="s">
        <v>6</v>
      </c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</row>
    <row r="23" ht="30.0" customHeight="1">
      <c r="B23" s="138" t="s">
        <v>413</v>
      </c>
      <c r="C23" s="139"/>
      <c r="D23" s="10" t="s">
        <v>6</v>
      </c>
      <c r="E23" s="10" t="s">
        <v>6</v>
      </c>
      <c r="F23" s="139"/>
      <c r="G23" s="10" t="s">
        <v>6</v>
      </c>
      <c r="H23" s="139"/>
      <c r="I23" s="139"/>
      <c r="J23" s="240"/>
      <c r="K23" s="240"/>
      <c r="L23" s="139"/>
      <c r="M23" s="139"/>
      <c r="N23" s="139"/>
      <c r="O23" s="139"/>
      <c r="P23" s="139"/>
      <c r="Q23" s="10" t="s">
        <v>6</v>
      </c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</row>
    <row r="24" ht="30.0" customHeight="1">
      <c r="B24" s="135" t="s">
        <v>411</v>
      </c>
      <c r="C24" s="128"/>
      <c r="D24" s="128"/>
      <c r="E24" s="10" t="s">
        <v>6</v>
      </c>
      <c r="F24" s="128"/>
      <c r="G24" s="10" t="s">
        <v>6</v>
      </c>
      <c r="H24" s="128"/>
      <c r="I24" s="128"/>
      <c r="J24" s="240"/>
      <c r="K24" s="240"/>
      <c r="L24" s="10" t="s">
        <v>6</v>
      </c>
      <c r="M24" s="128"/>
      <c r="N24" s="128"/>
      <c r="O24" s="128"/>
      <c r="P24" s="128"/>
      <c r="Q24" s="10" t="s">
        <v>6</v>
      </c>
      <c r="R24" s="128"/>
      <c r="S24" s="128"/>
      <c r="T24" s="128"/>
      <c r="U24" s="10" t="s">
        <v>6</v>
      </c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</row>
    <row r="25" ht="30.0" customHeight="1">
      <c r="B25" s="138" t="s">
        <v>414</v>
      </c>
      <c r="C25" s="139"/>
      <c r="D25" s="139"/>
      <c r="E25" s="10" t="s">
        <v>6</v>
      </c>
      <c r="F25" s="139"/>
      <c r="G25" s="139"/>
      <c r="H25" s="10" t="s">
        <v>6</v>
      </c>
      <c r="I25" s="139"/>
      <c r="J25" s="240"/>
      <c r="K25" s="240"/>
      <c r="L25" s="10" t="s">
        <v>6</v>
      </c>
      <c r="M25" s="139"/>
      <c r="N25" s="139"/>
      <c r="O25" s="139"/>
      <c r="P25" s="10" t="s">
        <v>6</v>
      </c>
      <c r="Q25" s="139"/>
      <c r="R25" s="139"/>
      <c r="S25" s="139"/>
      <c r="T25" s="139"/>
      <c r="U25" s="10" t="s">
        <v>6</v>
      </c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</row>
    <row r="26" ht="30.0" customHeight="1">
      <c r="B26" s="135" t="s">
        <v>467</v>
      </c>
      <c r="C26" s="128"/>
      <c r="D26" s="128"/>
      <c r="E26" s="128"/>
      <c r="F26" s="128"/>
      <c r="G26" s="128"/>
      <c r="H26" s="10" t="s">
        <v>6</v>
      </c>
      <c r="I26" s="128"/>
      <c r="J26" s="240"/>
      <c r="K26" s="240"/>
      <c r="L26" s="128"/>
      <c r="M26" s="128"/>
      <c r="N26" s="128"/>
      <c r="O26" s="128"/>
      <c r="P26" s="10" t="s">
        <v>6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</row>
    <row r="27" ht="30.0" customHeight="1">
      <c r="B27" s="138" t="s">
        <v>461</v>
      </c>
      <c r="C27" s="139"/>
      <c r="D27" s="139"/>
      <c r="E27" s="139"/>
      <c r="F27" s="139"/>
      <c r="G27" s="139"/>
      <c r="H27" s="139"/>
      <c r="I27" s="139"/>
      <c r="J27" s="240"/>
      <c r="K27" s="240"/>
      <c r="L27" s="139"/>
      <c r="M27" s="10" t="s">
        <v>6</v>
      </c>
      <c r="N27" s="139"/>
      <c r="O27" s="139"/>
      <c r="P27" s="10" t="s">
        <v>6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</row>
    <row r="28" ht="30.0" customHeight="1">
      <c r="B28" s="135" t="s">
        <v>410</v>
      </c>
      <c r="C28" s="128"/>
      <c r="D28" s="128"/>
      <c r="E28" s="128"/>
      <c r="F28" s="128"/>
      <c r="G28" s="128"/>
      <c r="H28" s="128"/>
      <c r="I28" s="128"/>
      <c r="J28" s="240"/>
      <c r="K28" s="240"/>
      <c r="L28" s="128"/>
      <c r="M28" s="128"/>
      <c r="N28" s="128"/>
      <c r="O28" s="128"/>
      <c r="P28" s="10" t="s">
        <v>6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</row>
    <row r="29" ht="30.0" customHeight="1">
      <c r="B29" s="138" t="s">
        <v>462</v>
      </c>
      <c r="C29" s="139"/>
      <c r="D29" s="139"/>
      <c r="E29" s="139"/>
      <c r="F29" s="139"/>
      <c r="G29" s="139"/>
      <c r="H29" s="139"/>
      <c r="I29" s="139"/>
      <c r="J29" s="240"/>
      <c r="K29" s="240"/>
      <c r="L29" s="139"/>
      <c r="M29" s="139"/>
      <c r="N29" s="139"/>
      <c r="O29" s="139"/>
      <c r="P29" s="10" t="s">
        <v>6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</row>
    <row r="30" ht="30.0" customHeight="1">
      <c r="B30" s="135" t="s">
        <v>460</v>
      </c>
      <c r="C30" s="128"/>
      <c r="D30" s="128"/>
      <c r="E30" s="128"/>
      <c r="F30" s="128"/>
      <c r="G30" s="128"/>
      <c r="H30" s="128"/>
      <c r="I30" s="128"/>
      <c r="J30" s="240"/>
      <c r="K30" s="240"/>
      <c r="L30" s="128"/>
      <c r="M30" s="128"/>
      <c r="N30" s="128"/>
      <c r="O30" s="128"/>
      <c r="P30" s="241"/>
      <c r="Q30" s="10" t="s">
        <v>6</v>
      </c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</row>
    <row r="31" ht="30.0" customHeight="1">
      <c r="B31" s="140" t="str">
        <f>Diciembre!MonthName&amp;" Total"</f>
        <v>Diciembre Total</v>
      </c>
      <c r="C31" s="139"/>
      <c r="D31" s="139"/>
      <c r="E31" s="139"/>
      <c r="F31" s="139"/>
      <c r="G31" s="139"/>
      <c r="H31" s="139"/>
      <c r="I31" s="139"/>
      <c r="J31" s="240"/>
      <c r="K31" s="240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</row>
    <row r="32" ht="30.0" customHeight="1"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4"/>
    </row>
    <row r="33" ht="30.0" customHeight="1">
      <c r="B33" s="38" t="s">
        <v>468</v>
      </c>
      <c r="C33" s="80" t="s">
        <v>331</v>
      </c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80"/>
      <c r="AH33" s="32">
        <f>CalendarioAño</f>
        <v>2025</v>
      </c>
    </row>
    <row r="34" ht="30.0" customHeight="1">
      <c r="B34" s="32"/>
      <c r="C34" s="162" t="s">
        <v>364</v>
      </c>
      <c r="D34" s="162" t="s">
        <v>365</v>
      </c>
      <c r="E34" s="133" t="str">
        <f>TEXT(WEEKDAY(DATE(CalendarioAño,8,6),1),"ddd")</f>
        <v>mié</v>
      </c>
      <c r="F34" s="133" t="str">
        <f>TEXT(WEEKDAY(DATE(CalendarioAño,8,7),1),"ddd")</f>
        <v>jue</v>
      </c>
      <c r="G34" s="162" t="s">
        <v>366</v>
      </c>
      <c r="H34" s="133" t="str">
        <f>TEXT(WEEKDAY(DATE(CalendarioAño,8,9),1),"ddd")</f>
        <v>sáb</v>
      </c>
      <c r="I34" s="162" t="s">
        <v>367</v>
      </c>
      <c r="J34" s="162" t="s">
        <v>364</v>
      </c>
      <c r="K34" s="162" t="s">
        <v>365</v>
      </c>
      <c r="L34" s="133" t="str">
        <f>TEXT(WEEKDAY(DATE(CalendarioAño,8,6),1),"ddd")</f>
        <v>mié</v>
      </c>
      <c r="M34" s="133" t="str">
        <f>TEXT(WEEKDAY(DATE(CalendarioAño,8,7),1),"ddd")</f>
        <v>jue</v>
      </c>
      <c r="N34" s="162" t="s">
        <v>366</v>
      </c>
      <c r="O34" s="133" t="str">
        <f>TEXT(WEEKDAY(DATE(CalendarioAño,8,9),1),"ddd")</f>
        <v>sáb</v>
      </c>
      <c r="P34" s="162" t="s">
        <v>367</v>
      </c>
      <c r="Q34" s="162" t="s">
        <v>364</v>
      </c>
      <c r="R34" s="162" t="s">
        <v>365</v>
      </c>
      <c r="S34" s="133" t="str">
        <f>TEXT(WEEKDAY(DATE(CalendarioAño,8,6),1),"ddd")</f>
        <v>mié</v>
      </c>
      <c r="T34" s="133" t="str">
        <f>TEXT(WEEKDAY(DATE(CalendarioAño,8,7),1),"ddd")</f>
        <v>jue</v>
      </c>
      <c r="U34" s="162" t="s">
        <v>366</v>
      </c>
      <c r="V34" s="133" t="str">
        <f>TEXT(WEEKDAY(DATE(CalendarioAño,8,9),1),"ddd")</f>
        <v>sáb</v>
      </c>
      <c r="W34" s="162" t="s">
        <v>367</v>
      </c>
      <c r="X34" s="162" t="s">
        <v>364</v>
      </c>
      <c r="Y34" s="162" t="s">
        <v>365</v>
      </c>
      <c r="Z34" s="133" t="str">
        <f>TEXT(WEEKDAY(DATE(CalendarioAño,8,6),1),"ddd")</f>
        <v>mié</v>
      </c>
      <c r="AA34" s="133" t="str">
        <f>TEXT(WEEKDAY(DATE(CalendarioAño,8,7),1),"ddd")</f>
        <v>jue</v>
      </c>
      <c r="AB34" s="162" t="s">
        <v>366</v>
      </c>
      <c r="AC34" s="133" t="str">
        <f>TEXT(WEEKDAY(DATE(CalendarioAño,8,9),1),"ddd")</f>
        <v>sáb</v>
      </c>
      <c r="AD34" s="162" t="s">
        <v>367</v>
      </c>
      <c r="AE34" s="162" t="s">
        <v>364</v>
      </c>
      <c r="AF34" s="162" t="s">
        <v>365</v>
      </c>
      <c r="AG34" s="133" t="str">
        <f>TEXT(WEEKDAY(DATE(CalendarioAño,8,6),1),"ddd")</f>
        <v>mié</v>
      </c>
      <c r="AH34" s="32"/>
    </row>
    <row r="35" ht="30.0" customHeight="1">
      <c r="A35" s="115"/>
      <c r="B35" s="116" t="s">
        <v>202</v>
      </c>
      <c r="C35" s="164">
        <v>1.0</v>
      </c>
      <c r="D35" s="164">
        <v>2.0</v>
      </c>
      <c r="E35" s="164">
        <v>3.0</v>
      </c>
      <c r="F35" s="164">
        <v>4.0</v>
      </c>
      <c r="G35" s="164">
        <v>5.0</v>
      </c>
      <c r="H35" s="164">
        <v>6.0</v>
      </c>
      <c r="I35" s="164">
        <v>7.0</v>
      </c>
      <c r="J35" s="164">
        <v>8.0</v>
      </c>
      <c r="K35" s="164">
        <v>9.0</v>
      </c>
      <c r="L35" s="164">
        <v>10.0</v>
      </c>
      <c r="M35" s="117" t="s">
        <v>25</v>
      </c>
      <c r="N35" s="117" t="s">
        <v>26</v>
      </c>
      <c r="O35" s="117" t="s">
        <v>27</v>
      </c>
      <c r="P35" s="117" t="s">
        <v>28</v>
      </c>
      <c r="Q35" s="117" t="s">
        <v>29</v>
      </c>
      <c r="R35" s="117" t="s">
        <v>30</v>
      </c>
      <c r="S35" s="117" t="s">
        <v>31</v>
      </c>
      <c r="T35" s="117" t="s">
        <v>32</v>
      </c>
      <c r="U35" s="117" t="s">
        <v>33</v>
      </c>
      <c r="V35" s="117" t="s">
        <v>34</v>
      </c>
      <c r="W35" s="117" t="s">
        <v>35</v>
      </c>
      <c r="X35" s="117" t="s">
        <v>36</v>
      </c>
      <c r="Y35" s="117" t="s">
        <v>37</v>
      </c>
      <c r="Z35" s="117" t="s">
        <v>38</v>
      </c>
      <c r="AA35" s="117" t="s">
        <v>39</v>
      </c>
      <c r="AB35" s="117" t="s">
        <v>40</v>
      </c>
      <c r="AC35" s="117" t="s">
        <v>41</v>
      </c>
      <c r="AD35" s="117" t="s">
        <v>42</v>
      </c>
      <c r="AE35" s="117" t="s">
        <v>43</v>
      </c>
      <c r="AF35" s="117" t="s">
        <v>44</v>
      </c>
      <c r="AG35" s="164">
        <v>31.0</v>
      </c>
      <c r="AH35" s="117" t="s">
        <v>46</v>
      </c>
    </row>
    <row r="36" ht="30.0" customHeight="1">
      <c r="B36" s="132" t="s">
        <v>458</v>
      </c>
      <c r="C36" s="10" t="s">
        <v>6</v>
      </c>
      <c r="D36" s="133"/>
      <c r="E36" s="133"/>
      <c r="F36" s="10" t="s">
        <v>6</v>
      </c>
      <c r="G36" s="133"/>
      <c r="H36" s="133"/>
      <c r="I36" s="133"/>
      <c r="J36" s="239"/>
      <c r="K36" s="239"/>
      <c r="L36" s="133"/>
      <c r="M36" s="133"/>
      <c r="N36" s="133"/>
      <c r="O36" s="133"/>
      <c r="P36" s="133"/>
      <c r="Q36" s="10" t="s">
        <v>6</v>
      </c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9"/>
      <c r="AD36" s="139"/>
      <c r="AE36" s="139"/>
      <c r="AF36" s="139"/>
      <c r="AG36" s="139"/>
      <c r="AH36" s="134"/>
    </row>
    <row r="37" ht="30.0" customHeight="1">
      <c r="B37" s="129" t="s">
        <v>416</v>
      </c>
      <c r="C37" s="10" t="s">
        <v>6</v>
      </c>
      <c r="D37" s="130"/>
      <c r="E37" s="10" t="s">
        <v>6</v>
      </c>
      <c r="F37" s="130"/>
      <c r="G37" s="10" t="s">
        <v>6</v>
      </c>
      <c r="H37" s="130"/>
      <c r="I37" s="130"/>
      <c r="J37" s="239"/>
      <c r="K37" s="239"/>
      <c r="L37" s="10" t="s">
        <v>6</v>
      </c>
      <c r="M37" s="10" t="s">
        <v>6</v>
      </c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9"/>
      <c r="AG37" s="139"/>
      <c r="AH37" s="131"/>
    </row>
    <row r="38" ht="30.0" customHeight="1">
      <c r="B38" s="132" t="s">
        <v>266</v>
      </c>
      <c r="C38" s="10" t="s">
        <v>6</v>
      </c>
      <c r="D38" s="133"/>
      <c r="E38" s="133"/>
      <c r="F38" s="133"/>
      <c r="G38" s="10" t="s">
        <v>6</v>
      </c>
      <c r="H38" s="133"/>
      <c r="I38" s="133"/>
      <c r="J38" s="239"/>
      <c r="K38" s="239"/>
      <c r="L38" s="10" t="s">
        <v>6</v>
      </c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9"/>
      <c r="AD38" s="139"/>
      <c r="AE38" s="139"/>
      <c r="AF38" s="139"/>
      <c r="AG38" s="139"/>
      <c r="AH38" s="134"/>
    </row>
    <row r="39" ht="30.0" customHeight="1">
      <c r="B39" s="138" t="s">
        <v>417</v>
      </c>
      <c r="C39" s="10" t="s">
        <v>6</v>
      </c>
      <c r="D39" s="130"/>
      <c r="E39" s="10" t="s">
        <v>6</v>
      </c>
      <c r="F39" s="130"/>
      <c r="G39" s="130"/>
      <c r="H39" s="130"/>
      <c r="I39" s="130"/>
      <c r="J39" s="239"/>
      <c r="K39" s="239"/>
      <c r="L39" s="10" t="s">
        <v>6</v>
      </c>
      <c r="M39" s="10" t="s">
        <v>6</v>
      </c>
      <c r="N39" s="130"/>
      <c r="O39" s="10" t="s">
        <v>6</v>
      </c>
      <c r="P39" s="130"/>
      <c r="Q39" s="10" t="s">
        <v>6</v>
      </c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9"/>
      <c r="AG39" s="139"/>
      <c r="AH39" s="131"/>
    </row>
    <row r="40" ht="30.0" customHeight="1">
      <c r="B40" s="135" t="s">
        <v>369</v>
      </c>
      <c r="C40" s="10" t="s">
        <v>6</v>
      </c>
      <c r="D40" s="133"/>
      <c r="E40" s="133"/>
      <c r="F40" s="133"/>
      <c r="G40" s="133"/>
      <c r="H40" s="133"/>
      <c r="I40" s="133"/>
      <c r="J40" s="239"/>
      <c r="K40" s="239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9"/>
      <c r="AD40" s="139"/>
      <c r="AE40" s="139"/>
      <c r="AF40" s="139"/>
      <c r="AG40" s="139"/>
      <c r="AH40" s="134"/>
    </row>
    <row r="41" ht="30.0" customHeight="1">
      <c r="B41" s="138" t="s">
        <v>421</v>
      </c>
      <c r="C41" s="130"/>
      <c r="D41" s="10" t="s">
        <v>6</v>
      </c>
      <c r="E41" s="130"/>
      <c r="F41" s="10" t="s">
        <v>6</v>
      </c>
      <c r="G41" s="130"/>
      <c r="H41" s="130"/>
      <c r="I41" s="130"/>
      <c r="J41" s="239"/>
      <c r="K41" s="239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9"/>
      <c r="AG41" s="139"/>
      <c r="AH41" s="131"/>
    </row>
    <row r="42" ht="30.0" customHeight="1">
      <c r="B42" s="135" t="s">
        <v>420</v>
      </c>
      <c r="C42" s="139"/>
      <c r="D42" s="10" t="s">
        <v>6</v>
      </c>
      <c r="E42" s="133"/>
      <c r="F42" s="10" t="s">
        <v>6</v>
      </c>
      <c r="G42" s="133"/>
      <c r="H42" s="133"/>
      <c r="I42" s="133"/>
      <c r="J42" s="239"/>
      <c r="K42" s="239"/>
      <c r="L42" s="133"/>
      <c r="M42" s="10" t="s">
        <v>6</v>
      </c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9"/>
      <c r="AD42" s="139"/>
      <c r="AE42" s="139"/>
      <c r="AF42" s="139"/>
      <c r="AG42" s="139"/>
      <c r="AH42" s="134"/>
    </row>
    <row r="43" ht="30.0" customHeight="1">
      <c r="B43" s="138" t="s">
        <v>415</v>
      </c>
      <c r="C43" s="130"/>
      <c r="D43" s="10" t="s">
        <v>6</v>
      </c>
      <c r="E43" s="130"/>
      <c r="F43" s="10" t="s">
        <v>6</v>
      </c>
      <c r="G43" s="130"/>
      <c r="H43" s="130"/>
      <c r="I43" s="130"/>
      <c r="J43" s="239"/>
      <c r="K43" s="239"/>
      <c r="L43" s="130"/>
      <c r="M43" s="10" t="s">
        <v>6</v>
      </c>
      <c r="N43" s="130"/>
      <c r="O43" s="130"/>
      <c r="P43" s="130"/>
      <c r="Q43" s="130"/>
      <c r="R43" s="130"/>
      <c r="S43" s="130"/>
      <c r="T43" s="130"/>
      <c r="U43" s="10" t="s">
        <v>6</v>
      </c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9"/>
      <c r="AG43" s="139"/>
      <c r="AH43" s="139"/>
    </row>
    <row r="44" ht="30.0" customHeight="1">
      <c r="B44" s="135" t="s">
        <v>372</v>
      </c>
      <c r="C44" s="128"/>
      <c r="D44" s="10" t="s">
        <v>6</v>
      </c>
      <c r="E44" s="133"/>
      <c r="F44" s="10" t="s">
        <v>6</v>
      </c>
      <c r="G44" s="133"/>
      <c r="H44" s="133"/>
      <c r="I44" s="133"/>
      <c r="J44" s="239"/>
      <c r="K44" s="239"/>
      <c r="L44" s="10" t="s">
        <v>6</v>
      </c>
      <c r="M44" s="133"/>
      <c r="N44" s="133"/>
      <c r="O44" s="133"/>
      <c r="P44" s="133"/>
      <c r="Q44" s="10" t="s">
        <v>6</v>
      </c>
      <c r="R44" s="133"/>
      <c r="S44" s="133"/>
      <c r="T44" s="133"/>
      <c r="U44" s="10" t="s">
        <v>6</v>
      </c>
      <c r="V44" s="133"/>
      <c r="W44" s="133"/>
      <c r="X44" s="133"/>
      <c r="Y44" s="133"/>
      <c r="Z44" s="133"/>
      <c r="AA44" s="133"/>
      <c r="AB44" s="133"/>
      <c r="AC44" s="128"/>
      <c r="AD44" s="128"/>
      <c r="AE44" s="128"/>
      <c r="AF44" s="128"/>
      <c r="AG44" s="128"/>
      <c r="AH44" s="128"/>
    </row>
    <row r="45" ht="30.0" customHeight="1">
      <c r="B45" s="138" t="s">
        <v>398</v>
      </c>
      <c r="C45" s="130"/>
      <c r="D45" s="130"/>
      <c r="E45" s="10" t="s">
        <v>6</v>
      </c>
      <c r="F45" s="130"/>
      <c r="G45" s="130"/>
      <c r="H45" s="130"/>
      <c r="I45" s="130"/>
      <c r="J45" s="239"/>
      <c r="K45" s="239"/>
      <c r="L45" s="10" t="s">
        <v>6</v>
      </c>
      <c r="M45" s="130"/>
      <c r="N45" s="242"/>
      <c r="O45" s="10" t="s">
        <v>6</v>
      </c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9"/>
      <c r="AG45" s="139"/>
      <c r="AH45" s="139"/>
    </row>
    <row r="46" ht="30.0" customHeight="1">
      <c r="B46" s="135" t="s">
        <v>368</v>
      </c>
      <c r="C46" s="128"/>
      <c r="D46" s="133"/>
      <c r="E46" s="10" t="s">
        <v>6</v>
      </c>
      <c r="F46" s="133"/>
      <c r="G46" s="10" t="s">
        <v>6</v>
      </c>
      <c r="H46" s="133"/>
      <c r="I46" s="133"/>
      <c r="J46" s="239"/>
      <c r="K46" s="239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28"/>
      <c r="AD46" s="128"/>
      <c r="AE46" s="128"/>
      <c r="AF46" s="128"/>
      <c r="AG46" s="128"/>
      <c r="AH46" s="128"/>
    </row>
    <row r="47" ht="30.0" customHeight="1">
      <c r="B47" s="138" t="s">
        <v>460</v>
      </c>
      <c r="C47" s="130"/>
      <c r="D47" s="130"/>
      <c r="E47" s="130"/>
      <c r="F47" s="10" t="s">
        <v>6</v>
      </c>
      <c r="G47" s="130"/>
      <c r="H47" s="130"/>
      <c r="I47" s="130"/>
      <c r="J47" s="239"/>
      <c r="K47" s="239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9"/>
      <c r="AG47" s="139"/>
      <c r="AH47" s="139"/>
    </row>
    <row r="48" ht="30.0" customHeight="1">
      <c r="B48" s="135" t="s">
        <v>466</v>
      </c>
      <c r="C48" s="128"/>
      <c r="D48" s="133"/>
      <c r="E48" s="133"/>
      <c r="F48" s="133"/>
      <c r="G48" s="10" t="s">
        <v>6</v>
      </c>
      <c r="H48" s="10" t="s">
        <v>6</v>
      </c>
      <c r="I48" s="133"/>
      <c r="J48" s="239"/>
      <c r="K48" s="239"/>
      <c r="L48" s="10" t="s">
        <v>6</v>
      </c>
      <c r="M48" s="133"/>
      <c r="N48" s="241"/>
      <c r="O48" s="10" t="s">
        <v>6</v>
      </c>
      <c r="P48" s="133"/>
      <c r="Q48" s="10" t="s">
        <v>6</v>
      </c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28"/>
      <c r="AD48" s="128"/>
      <c r="AE48" s="128"/>
      <c r="AF48" s="128"/>
      <c r="AG48" s="128"/>
      <c r="AH48" s="128"/>
    </row>
    <row r="49" ht="30.0" customHeight="1">
      <c r="B49" s="138" t="s">
        <v>400</v>
      </c>
      <c r="C49" s="130"/>
      <c r="D49" s="130"/>
      <c r="E49" s="130"/>
      <c r="F49" s="130"/>
      <c r="G49" s="130"/>
      <c r="H49" s="10" t="s">
        <v>6</v>
      </c>
      <c r="I49" s="130"/>
      <c r="J49" s="239"/>
      <c r="K49" s="239"/>
      <c r="L49" s="130"/>
      <c r="M49" s="10" t="s">
        <v>6</v>
      </c>
      <c r="N49" s="242"/>
      <c r="O49" s="10" t="s">
        <v>6</v>
      </c>
      <c r="P49" s="130"/>
      <c r="Q49" s="130"/>
      <c r="R49" s="130"/>
      <c r="S49" s="130"/>
      <c r="T49" s="130"/>
      <c r="U49" s="10" t="s">
        <v>6</v>
      </c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9"/>
      <c r="AG49" s="139"/>
      <c r="AH49" s="139"/>
    </row>
    <row r="50" ht="30.0" customHeight="1">
      <c r="B50" s="135" t="s">
        <v>463</v>
      </c>
      <c r="C50" s="128"/>
      <c r="D50" s="128"/>
      <c r="E50" s="128"/>
      <c r="F50" s="128"/>
      <c r="G50" s="128"/>
      <c r="H50" s="128"/>
      <c r="I50" s="128"/>
      <c r="J50" s="240"/>
      <c r="K50" s="240"/>
      <c r="L50" s="128"/>
      <c r="M50" s="128"/>
      <c r="N50" s="128"/>
      <c r="O50" s="10" t="s">
        <v>6</v>
      </c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</row>
    <row r="51" ht="30.0" customHeight="1">
      <c r="B51" s="138" t="s">
        <v>419</v>
      </c>
      <c r="C51" s="139"/>
      <c r="D51" s="139"/>
      <c r="E51" s="139"/>
      <c r="F51" s="139"/>
      <c r="G51" s="139"/>
      <c r="H51" s="139"/>
      <c r="I51" s="139"/>
      <c r="J51" s="240"/>
      <c r="K51" s="240"/>
      <c r="L51" s="139"/>
      <c r="M51" s="139"/>
      <c r="N51" s="139"/>
      <c r="O51" s="139"/>
      <c r="P51" s="139"/>
      <c r="Q51" s="10" t="s">
        <v>6</v>
      </c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</row>
    <row r="52" ht="30.0" customHeight="1">
      <c r="B52" s="135" t="s">
        <v>265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0" t="s">
        <v>6</v>
      </c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</row>
    <row r="53" ht="30.0" customHeight="1">
      <c r="B53" s="140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</row>
    <row r="54" ht="30.0" customHeight="1">
      <c r="B54" s="127" t="str">
        <f>Diciembre!MonthName&amp;" Total"</f>
        <v>Diciembre Total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</row>
    <row r="55" ht="30.0" customHeight="1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4"/>
    </row>
    <row r="56" ht="30.0" customHeight="1">
      <c r="B56" s="38" t="s">
        <v>468</v>
      </c>
      <c r="C56" s="80" t="s">
        <v>332</v>
      </c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80"/>
      <c r="AH56" s="32">
        <f>CalendarioAño</f>
        <v>2025</v>
      </c>
    </row>
    <row r="57" ht="30.0" customHeight="1">
      <c r="B57" s="32"/>
      <c r="C57" s="161" t="s">
        <v>364</v>
      </c>
      <c r="D57" s="161" t="s">
        <v>365</v>
      </c>
      <c r="E57" s="130" t="str">
        <f>TEXT(WEEKDAY(DATE(CalendarioAño,8,6),1),"ddd")</f>
        <v>mié</v>
      </c>
      <c r="F57" s="130" t="str">
        <f>TEXT(WEEKDAY(DATE(CalendarioAño,8,7),1),"ddd")</f>
        <v>jue</v>
      </c>
      <c r="G57" s="161" t="s">
        <v>366</v>
      </c>
      <c r="H57" s="130" t="str">
        <f>TEXT(WEEKDAY(DATE(CalendarioAño,8,9),1),"ddd")</f>
        <v>sáb</v>
      </c>
      <c r="I57" s="161" t="s">
        <v>367</v>
      </c>
      <c r="J57" s="161" t="s">
        <v>364</v>
      </c>
      <c r="K57" s="161" t="s">
        <v>365</v>
      </c>
      <c r="L57" s="130" t="str">
        <f>TEXT(WEEKDAY(DATE(CalendarioAño,8,6),1),"ddd")</f>
        <v>mié</v>
      </c>
      <c r="M57" s="130" t="str">
        <f>TEXT(WEEKDAY(DATE(CalendarioAño,8,7),1),"ddd")</f>
        <v>jue</v>
      </c>
      <c r="N57" s="161" t="s">
        <v>366</v>
      </c>
      <c r="O57" s="130" t="str">
        <f>TEXT(WEEKDAY(DATE(CalendarioAño,8,9),1),"ddd")</f>
        <v>sáb</v>
      </c>
      <c r="P57" s="161" t="s">
        <v>367</v>
      </c>
      <c r="Q57" s="161" t="s">
        <v>364</v>
      </c>
      <c r="R57" s="161" t="s">
        <v>365</v>
      </c>
      <c r="S57" s="130" t="str">
        <f>TEXT(WEEKDAY(DATE(CalendarioAño,8,6),1),"ddd")</f>
        <v>mié</v>
      </c>
      <c r="T57" s="130" t="str">
        <f>TEXT(WEEKDAY(DATE(CalendarioAño,8,7),1),"ddd")</f>
        <v>jue</v>
      </c>
      <c r="U57" s="161" t="s">
        <v>366</v>
      </c>
      <c r="V57" s="130" t="str">
        <f>TEXT(WEEKDAY(DATE(CalendarioAño,8,9),1),"ddd")</f>
        <v>sáb</v>
      </c>
      <c r="W57" s="161" t="s">
        <v>367</v>
      </c>
      <c r="X57" s="161" t="s">
        <v>364</v>
      </c>
      <c r="Y57" s="161" t="s">
        <v>365</v>
      </c>
      <c r="Z57" s="130" t="str">
        <f>TEXT(WEEKDAY(DATE(CalendarioAño,8,6),1),"ddd")</f>
        <v>mié</v>
      </c>
      <c r="AA57" s="130" t="str">
        <f>TEXT(WEEKDAY(DATE(CalendarioAño,8,7),1),"ddd")</f>
        <v>jue</v>
      </c>
      <c r="AB57" s="161" t="s">
        <v>366</v>
      </c>
      <c r="AC57" s="130" t="str">
        <f>TEXT(WEEKDAY(DATE(CalendarioAño,8,9),1),"ddd")</f>
        <v>sáb</v>
      </c>
      <c r="AD57" s="161" t="s">
        <v>367</v>
      </c>
      <c r="AE57" s="161" t="s">
        <v>364</v>
      </c>
      <c r="AF57" s="161" t="s">
        <v>365</v>
      </c>
      <c r="AG57" s="130" t="str">
        <f>TEXT(WEEKDAY(DATE(CalendarioAño,8,6),1),"ddd")</f>
        <v>mié</v>
      </c>
      <c r="AH57" s="32"/>
    </row>
    <row r="58" ht="30.0" customHeight="1">
      <c r="A58" s="115"/>
      <c r="B58" s="116" t="s">
        <v>202</v>
      </c>
      <c r="C58" s="164">
        <v>1.0</v>
      </c>
      <c r="D58" s="164">
        <v>2.0</v>
      </c>
      <c r="E58" s="164">
        <v>3.0</v>
      </c>
      <c r="F58" s="164">
        <v>4.0</v>
      </c>
      <c r="G58" s="164">
        <v>5.0</v>
      </c>
      <c r="H58" s="164">
        <v>6.0</v>
      </c>
      <c r="I58" s="164">
        <v>7.0</v>
      </c>
      <c r="J58" s="164">
        <v>8.0</v>
      </c>
      <c r="K58" s="164">
        <v>9.0</v>
      </c>
      <c r="L58" s="164">
        <v>10.0</v>
      </c>
      <c r="M58" s="117" t="s">
        <v>25</v>
      </c>
      <c r="N58" s="117" t="s">
        <v>26</v>
      </c>
      <c r="O58" s="117" t="s">
        <v>27</v>
      </c>
      <c r="P58" s="117" t="s">
        <v>28</v>
      </c>
      <c r="Q58" s="117" t="s">
        <v>29</v>
      </c>
      <c r="R58" s="117" t="s">
        <v>30</v>
      </c>
      <c r="S58" s="117" t="s">
        <v>31</v>
      </c>
      <c r="T58" s="117" t="s">
        <v>32</v>
      </c>
      <c r="U58" s="117" t="s">
        <v>33</v>
      </c>
      <c r="V58" s="117" t="s">
        <v>34</v>
      </c>
      <c r="W58" s="117" t="s">
        <v>35</v>
      </c>
      <c r="X58" s="117" t="s">
        <v>36</v>
      </c>
      <c r="Y58" s="117" t="s">
        <v>37</v>
      </c>
      <c r="Z58" s="117" t="s">
        <v>38</v>
      </c>
      <c r="AA58" s="117" t="s">
        <v>39</v>
      </c>
      <c r="AB58" s="117" t="s">
        <v>40</v>
      </c>
      <c r="AC58" s="117" t="s">
        <v>41</v>
      </c>
      <c r="AD58" s="117" t="s">
        <v>42</v>
      </c>
      <c r="AE58" s="117" t="s">
        <v>43</v>
      </c>
      <c r="AF58" s="117" t="s">
        <v>44</v>
      </c>
      <c r="AG58" s="164">
        <v>31.0</v>
      </c>
      <c r="AH58" s="117" t="s">
        <v>46</v>
      </c>
    </row>
    <row r="59" ht="30.0" customHeight="1">
      <c r="B59" s="129" t="s">
        <v>211</v>
      </c>
      <c r="C59" s="10" t="s">
        <v>6</v>
      </c>
      <c r="D59" s="130"/>
      <c r="E59" s="130"/>
      <c r="F59" s="10" t="s">
        <v>6</v>
      </c>
      <c r="G59" s="130"/>
      <c r="H59" s="130"/>
      <c r="I59" s="130"/>
      <c r="J59" s="130"/>
      <c r="K59" s="130"/>
      <c r="L59" s="130"/>
      <c r="M59" s="10" t="s">
        <v>6</v>
      </c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9"/>
      <c r="AD59" s="139"/>
      <c r="AE59" s="139"/>
      <c r="AF59" s="139"/>
      <c r="AG59" s="139"/>
      <c r="AH59" s="131"/>
    </row>
    <row r="60" ht="30.0" customHeight="1">
      <c r="B60" s="132" t="s">
        <v>274</v>
      </c>
      <c r="C60" s="10" t="s">
        <v>6</v>
      </c>
      <c r="D60" s="133"/>
      <c r="E60" s="10" t="s">
        <v>6</v>
      </c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0" t="s">
        <v>6</v>
      </c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28"/>
      <c r="AG60" s="128"/>
      <c r="AH60" s="134"/>
    </row>
    <row r="61" ht="30.0" customHeight="1">
      <c r="B61" s="119" t="s">
        <v>67</v>
      </c>
      <c r="C61" s="10" t="s">
        <v>6</v>
      </c>
      <c r="D61" s="21"/>
      <c r="E61" s="10" t="s">
        <v>6</v>
      </c>
      <c r="F61" s="21"/>
      <c r="G61" s="10" t="s">
        <v>6</v>
      </c>
      <c r="H61" s="21"/>
      <c r="I61" s="21"/>
      <c r="J61" s="21"/>
      <c r="K61" s="21"/>
      <c r="L61" s="10" t="s">
        <v>6</v>
      </c>
      <c r="M61" s="21"/>
      <c r="N61" s="21"/>
      <c r="O61" s="21"/>
      <c r="P61" s="21"/>
      <c r="Q61" s="10" t="s">
        <v>6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139"/>
      <c r="AD61" s="139"/>
      <c r="AE61" s="139"/>
      <c r="AF61" s="139"/>
      <c r="AG61" s="139"/>
      <c r="AH61" s="131"/>
    </row>
    <row r="62" ht="30.0" customHeight="1">
      <c r="B62" s="135" t="s">
        <v>374</v>
      </c>
      <c r="C62" s="21"/>
      <c r="D62" s="10" t="s">
        <v>6</v>
      </c>
      <c r="E62" s="10" t="s">
        <v>6</v>
      </c>
      <c r="F62" s="10" t="s">
        <v>6</v>
      </c>
      <c r="G62" s="21"/>
      <c r="H62" s="21"/>
      <c r="I62" s="21"/>
      <c r="J62" s="21"/>
      <c r="K62" s="21"/>
      <c r="L62" s="10" t="s">
        <v>6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7"/>
      <c r="AG62" s="128"/>
      <c r="AH62" s="134"/>
    </row>
    <row r="63" ht="30.0" customHeight="1">
      <c r="B63" s="143" t="s">
        <v>375</v>
      </c>
      <c r="C63" s="139"/>
      <c r="D63" s="10" t="s">
        <v>6</v>
      </c>
      <c r="E63" s="21"/>
      <c r="F63" s="10" t="s">
        <v>6</v>
      </c>
      <c r="G63" s="21"/>
      <c r="H63" s="21"/>
      <c r="I63" s="21"/>
      <c r="J63" s="21"/>
      <c r="K63" s="21"/>
      <c r="L63" s="10" t="s">
        <v>6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139"/>
      <c r="AD63" s="139"/>
      <c r="AE63" s="139"/>
      <c r="AF63" s="139"/>
      <c r="AG63" s="139"/>
      <c r="AH63" s="131"/>
    </row>
    <row r="64" ht="30.0" customHeight="1">
      <c r="B64" s="143" t="s">
        <v>289</v>
      </c>
      <c r="C64" s="21"/>
      <c r="D64" s="21"/>
      <c r="E64" s="10" t="s">
        <v>6</v>
      </c>
      <c r="F64" s="21"/>
      <c r="G64" s="21"/>
      <c r="H64" s="21"/>
      <c r="I64" s="21"/>
      <c r="J64" s="21"/>
      <c r="K64" s="21"/>
      <c r="L64" s="21"/>
      <c r="M64" s="10" t="s">
        <v>6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7"/>
      <c r="AG64" s="128"/>
      <c r="AH64" s="134"/>
    </row>
    <row r="65" ht="30.0" customHeight="1">
      <c r="B65" s="143" t="s">
        <v>333</v>
      </c>
      <c r="C65" s="139"/>
      <c r="D65" s="21"/>
      <c r="E65" s="10" t="s">
        <v>6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139"/>
      <c r="AD65" s="139"/>
      <c r="AE65" s="139"/>
      <c r="AF65" s="139"/>
      <c r="AG65" s="139"/>
      <c r="AH65" s="131"/>
    </row>
    <row r="66" ht="30.0" customHeight="1">
      <c r="B66" s="143" t="s">
        <v>350</v>
      </c>
      <c r="C66" s="21"/>
      <c r="D66" s="21"/>
      <c r="E66" s="10" t="s">
        <v>6</v>
      </c>
      <c r="F66" s="21"/>
      <c r="G66" s="10" t="s">
        <v>6</v>
      </c>
      <c r="H66" s="21"/>
      <c r="I66" s="21"/>
      <c r="J66" s="21"/>
      <c r="K66" s="21"/>
      <c r="L66" s="10" t="s">
        <v>6</v>
      </c>
      <c r="M66" s="21"/>
      <c r="N66" s="21"/>
      <c r="O66" s="21"/>
      <c r="P66" s="21"/>
      <c r="Q66" s="21"/>
      <c r="R66" s="21"/>
      <c r="S66" s="21"/>
      <c r="T66" s="21"/>
      <c r="U66" s="10" t="s">
        <v>6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7"/>
      <c r="AG66" s="128"/>
      <c r="AH66" s="134"/>
    </row>
    <row r="67" ht="30.0" customHeight="1">
      <c r="B67" s="143" t="s">
        <v>285</v>
      </c>
      <c r="C67" s="130"/>
      <c r="D67" s="130"/>
      <c r="E67" s="130"/>
      <c r="F67" s="10" t="s">
        <v>6</v>
      </c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9"/>
      <c r="AC67" s="139"/>
      <c r="AD67" s="139"/>
      <c r="AE67" s="139"/>
      <c r="AF67" s="139"/>
      <c r="AG67" s="139"/>
      <c r="AH67" s="131"/>
    </row>
    <row r="68" ht="30.0" customHeight="1">
      <c r="A68" s="176"/>
      <c r="B68" s="167" t="s">
        <v>397</v>
      </c>
      <c r="C68" s="165"/>
      <c r="D68" s="165"/>
      <c r="E68" s="165"/>
      <c r="F68" s="165"/>
      <c r="G68" s="10" t="s">
        <v>6</v>
      </c>
      <c r="H68" s="10" t="s">
        <v>6</v>
      </c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0" t="s">
        <v>6</v>
      </c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8"/>
      <c r="AG68" s="168"/>
      <c r="AH68" s="169"/>
    </row>
    <row r="69" ht="30.0" customHeight="1">
      <c r="B69" s="138" t="s">
        <v>268</v>
      </c>
      <c r="C69" s="130"/>
      <c r="D69" s="130"/>
      <c r="E69" s="130"/>
      <c r="F69" s="130"/>
      <c r="G69" s="130"/>
      <c r="H69" s="10" t="s">
        <v>6</v>
      </c>
      <c r="I69" s="130"/>
      <c r="J69" s="130"/>
      <c r="K69" s="130"/>
      <c r="L69" s="130"/>
      <c r="M69" s="130"/>
      <c r="N69" s="130"/>
      <c r="O69" s="10" t="s">
        <v>6</v>
      </c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9"/>
      <c r="AC69" s="139"/>
      <c r="AD69" s="139"/>
      <c r="AE69" s="139"/>
      <c r="AF69" s="139"/>
      <c r="AG69" s="139"/>
      <c r="AH69" s="139"/>
    </row>
    <row r="70" ht="30.0" customHeight="1">
      <c r="B70" s="135" t="s">
        <v>301</v>
      </c>
      <c r="C70" s="133"/>
      <c r="D70" s="133"/>
      <c r="E70" s="133"/>
      <c r="F70" s="133"/>
      <c r="G70" s="133"/>
      <c r="H70" s="10" t="s">
        <v>6</v>
      </c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28"/>
      <c r="AG70" s="128"/>
      <c r="AH70" s="128"/>
    </row>
    <row r="71" ht="30.0" customHeight="1">
      <c r="B71" s="138" t="s">
        <v>272</v>
      </c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0" t="s">
        <v>6</v>
      </c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9"/>
      <c r="AC71" s="139"/>
      <c r="AD71" s="139"/>
      <c r="AE71" s="139"/>
      <c r="AF71" s="139"/>
      <c r="AG71" s="139"/>
      <c r="AH71" s="139"/>
    </row>
    <row r="72" ht="30.0" customHeight="1">
      <c r="B72" s="135" t="s">
        <v>401</v>
      </c>
      <c r="C72" s="133"/>
      <c r="D72" s="133"/>
      <c r="E72" s="133"/>
      <c r="F72" s="133"/>
      <c r="G72" s="133"/>
      <c r="H72" s="133"/>
      <c r="I72" s="133"/>
      <c r="J72" s="133"/>
      <c r="K72" s="133"/>
      <c r="L72" s="83" t="s">
        <v>6</v>
      </c>
      <c r="M72" s="133"/>
      <c r="N72" s="133"/>
      <c r="O72" s="133"/>
      <c r="P72" s="133"/>
      <c r="Q72" s="10" t="s">
        <v>6</v>
      </c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28"/>
      <c r="AG72" s="128"/>
      <c r="AH72" s="128"/>
    </row>
    <row r="73" ht="30.0" customHeight="1">
      <c r="B73" s="138" t="s">
        <v>368</v>
      </c>
      <c r="C73" s="130"/>
      <c r="D73" s="130"/>
      <c r="E73" s="130"/>
      <c r="F73" s="130"/>
      <c r="G73" s="130"/>
      <c r="H73" s="130"/>
      <c r="I73" s="130"/>
      <c r="J73" s="130"/>
      <c r="K73" s="130"/>
      <c r="L73" s="83" t="s">
        <v>6</v>
      </c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9"/>
      <c r="AC73" s="139"/>
      <c r="AD73" s="139"/>
      <c r="AE73" s="139"/>
      <c r="AF73" s="139"/>
      <c r="AG73" s="139"/>
      <c r="AH73" s="139"/>
    </row>
    <row r="74" ht="30.0" customHeight="1">
      <c r="B74" s="135" t="s">
        <v>395</v>
      </c>
      <c r="C74" s="133"/>
      <c r="D74" s="133"/>
      <c r="E74" s="133"/>
      <c r="F74" s="133"/>
      <c r="G74" s="133"/>
      <c r="H74" s="133"/>
      <c r="I74" s="133"/>
      <c r="J74" s="133"/>
      <c r="K74" s="133"/>
      <c r="L74" s="83" t="s">
        <v>6</v>
      </c>
      <c r="M74" s="10" t="s">
        <v>6</v>
      </c>
      <c r="N74" s="133"/>
      <c r="O74" s="133"/>
      <c r="P74" s="133"/>
      <c r="Q74" s="133"/>
      <c r="R74" s="133"/>
      <c r="S74" s="133"/>
      <c r="T74" s="133"/>
      <c r="U74" s="10" t="s">
        <v>6</v>
      </c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28"/>
      <c r="AG74" s="128"/>
      <c r="AH74" s="128"/>
    </row>
    <row r="75" ht="30.0" customHeight="1">
      <c r="B75" s="138" t="s">
        <v>464</v>
      </c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0" t="s">
        <v>6</v>
      </c>
      <c r="P75" s="139"/>
      <c r="Q75" s="139"/>
      <c r="R75" s="139"/>
      <c r="S75" s="139"/>
      <c r="T75" s="139"/>
      <c r="U75" s="10" t="s">
        <v>6</v>
      </c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</row>
    <row r="76" ht="30.0" customHeight="1">
      <c r="B76" s="135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</row>
    <row r="77" ht="30.0" customHeight="1">
      <c r="B77" s="140" t="str">
        <f>Diciembre!MonthName&amp;" Total"</f>
        <v>Diciembre Total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</row>
    <row r="78" ht="30.0" customHeight="1"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4"/>
    </row>
    <row r="79" ht="30.0" customHeight="1">
      <c r="B79" s="38" t="s">
        <v>468</v>
      </c>
      <c r="C79" s="80" t="s">
        <v>356</v>
      </c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80"/>
      <c r="AH79" s="32">
        <f>CalendarioAño</f>
        <v>2025</v>
      </c>
    </row>
    <row r="80" ht="30.0" customHeight="1">
      <c r="B80" s="32"/>
      <c r="C80" s="162" t="s">
        <v>364</v>
      </c>
      <c r="D80" s="162" t="s">
        <v>365</v>
      </c>
      <c r="E80" s="133" t="str">
        <f>TEXT(WEEKDAY(DATE(CalendarioAño,8,6),1),"ddd")</f>
        <v>mié</v>
      </c>
      <c r="F80" s="133" t="str">
        <f>TEXT(WEEKDAY(DATE(CalendarioAño,8,7),1),"ddd")</f>
        <v>jue</v>
      </c>
      <c r="G80" s="162" t="s">
        <v>366</v>
      </c>
      <c r="H80" s="133" t="str">
        <f>TEXT(WEEKDAY(DATE(CalendarioAño,8,9),1),"ddd")</f>
        <v>sáb</v>
      </c>
      <c r="I80" s="162" t="s">
        <v>367</v>
      </c>
      <c r="J80" s="162" t="s">
        <v>364</v>
      </c>
      <c r="K80" s="162" t="s">
        <v>365</v>
      </c>
      <c r="L80" s="133" t="str">
        <f>TEXT(WEEKDAY(DATE(CalendarioAño,8,6),1),"ddd")</f>
        <v>mié</v>
      </c>
      <c r="M80" s="133" t="str">
        <f>TEXT(WEEKDAY(DATE(CalendarioAño,8,7),1),"ddd")</f>
        <v>jue</v>
      </c>
      <c r="N80" s="162" t="s">
        <v>366</v>
      </c>
      <c r="O80" s="133" t="str">
        <f>TEXT(WEEKDAY(DATE(CalendarioAño,8,9),1),"ddd")</f>
        <v>sáb</v>
      </c>
      <c r="P80" s="162" t="s">
        <v>367</v>
      </c>
      <c r="Q80" s="162" t="s">
        <v>364</v>
      </c>
      <c r="R80" s="162" t="s">
        <v>365</v>
      </c>
      <c r="S80" s="133" t="str">
        <f>TEXT(WEEKDAY(DATE(CalendarioAño,8,6),1),"ddd")</f>
        <v>mié</v>
      </c>
      <c r="T80" s="133" t="str">
        <f>TEXT(WEEKDAY(DATE(CalendarioAño,8,7),1),"ddd")</f>
        <v>jue</v>
      </c>
      <c r="U80" s="162" t="s">
        <v>366</v>
      </c>
      <c r="V80" s="133" t="str">
        <f>TEXT(WEEKDAY(DATE(CalendarioAño,8,9),1),"ddd")</f>
        <v>sáb</v>
      </c>
      <c r="W80" s="162" t="s">
        <v>367</v>
      </c>
      <c r="X80" s="162" t="s">
        <v>364</v>
      </c>
      <c r="Y80" s="162" t="s">
        <v>365</v>
      </c>
      <c r="Z80" s="133" t="str">
        <f>TEXT(WEEKDAY(DATE(CalendarioAño,8,6),1),"ddd")</f>
        <v>mié</v>
      </c>
      <c r="AA80" s="133" t="str">
        <f>TEXT(WEEKDAY(DATE(CalendarioAño,8,7),1),"ddd")</f>
        <v>jue</v>
      </c>
      <c r="AB80" s="162" t="s">
        <v>366</v>
      </c>
      <c r="AC80" s="133" t="str">
        <f>TEXT(WEEKDAY(DATE(CalendarioAño,8,9),1),"ddd")</f>
        <v>sáb</v>
      </c>
      <c r="AD80" s="162" t="s">
        <v>367</v>
      </c>
      <c r="AE80" s="162" t="s">
        <v>364</v>
      </c>
      <c r="AF80" s="162" t="s">
        <v>365</v>
      </c>
      <c r="AG80" s="133" t="str">
        <f>TEXT(WEEKDAY(DATE(CalendarioAño,8,6),1),"ddd")</f>
        <v>mié</v>
      </c>
      <c r="AH80" s="32"/>
    </row>
    <row r="81" ht="30.0" customHeight="1">
      <c r="A81" s="115"/>
      <c r="B81" s="116" t="s">
        <v>202</v>
      </c>
      <c r="C81" s="164">
        <v>1.0</v>
      </c>
      <c r="D81" s="164">
        <v>2.0</v>
      </c>
      <c r="E81" s="164">
        <v>3.0</v>
      </c>
      <c r="F81" s="164">
        <v>4.0</v>
      </c>
      <c r="G81" s="164">
        <v>5.0</v>
      </c>
      <c r="H81" s="164">
        <v>6.0</v>
      </c>
      <c r="I81" s="164">
        <v>7.0</v>
      </c>
      <c r="J81" s="164">
        <v>8.0</v>
      </c>
      <c r="K81" s="164">
        <v>9.0</v>
      </c>
      <c r="L81" s="164">
        <v>10.0</v>
      </c>
      <c r="M81" s="117" t="s">
        <v>25</v>
      </c>
      <c r="N81" s="117" t="s">
        <v>26</v>
      </c>
      <c r="O81" s="117" t="s">
        <v>27</v>
      </c>
      <c r="P81" s="117" t="s">
        <v>28</v>
      </c>
      <c r="Q81" s="117" t="s">
        <v>29</v>
      </c>
      <c r="R81" s="117" t="s">
        <v>30</v>
      </c>
      <c r="S81" s="117" t="s">
        <v>31</v>
      </c>
      <c r="T81" s="117" t="s">
        <v>32</v>
      </c>
      <c r="U81" s="117" t="s">
        <v>33</v>
      </c>
      <c r="V81" s="117" t="s">
        <v>34</v>
      </c>
      <c r="W81" s="117" t="s">
        <v>35</v>
      </c>
      <c r="X81" s="117" t="s">
        <v>36</v>
      </c>
      <c r="Y81" s="117" t="s">
        <v>37</v>
      </c>
      <c r="Z81" s="117" t="s">
        <v>38</v>
      </c>
      <c r="AA81" s="117" t="s">
        <v>39</v>
      </c>
      <c r="AB81" s="117" t="s">
        <v>40</v>
      </c>
      <c r="AC81" s="117" t="s">
        <v>41</v>
      </c>
      <c r="AD81" s="117" t="s">
        <v>42</v>
      </c>
      <c r="AE81" s="117" t="s">
        <v>43</v>
      </c>
      <c r="AF81" s="117" t="s">
        <v>44</v>
      </c>
      <c r="AG81" s="164">
        <v>31.0</v>
      </c>
      <c r="AH81" s="117" t="s">
        <v>46</v>
      </c>
    </row>
    <row r="82" ht="30.0" customHeight="1">
      <c r="B82" s="132" t="s">
        <v>294</v>
      </c>
      <c r="C82" s="10" t="s">
        <v>6</v>
      </c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28"/>
      <c r="AG82" s="128"/>
      <c r="AH82" s="134"/>
    </row>
    <row r="83" ht="30.0" customHeight="1">
      <c r="B83" s="129" t="s">
        <v>392</v>
      </c>
      <c r="C83" s="10" t="s">
        <v>6</v>
      </c>
      <c r="D83" s="130"/>
      <c r="E83" s="130"/>
      <c r="F83" s="130"/>
      <c r="G83" s="130"/>
      <c r="H83" s="130"/>
      <c r="I83" s="130"/>
      <c r="J83" s="130"/>
      <c r="K83" s="130"/>
      <c r="L83" s="10" t="s">
        <v>6</v>
      </c>
      <c r="M83" s="10" t="s">
        <v>6</v>
      </c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9"/>
      <c r="AC83" s="139"/>
      <c r="AD83" s="139"/>
      <c r="AE83" s="139"/>
      <c r="AF83" s="139"/>
      <c r="AG83" s="139"/>
      <c r="AH83" s="131"/>
    </row>
    <row r="84" ht="30.0" customHeight="1">
      <c r="B84" s="132" t="s">
        <v>79</v>
      </c>
      <c r="C84" s="133"/>
      <c r="D84" s="10" t="s">
        <v>6</v>
      </c>
      <c r="E84" s="10" t="s">
        <v>6</v>
      </c>
      <c r="F84" s="10" t="s">
        <v>6</v>
      </c>
      <c r="G84" s="133"/>
      <c r="H84" s="133"/>
      <c r="I84" s="133"/>
      <c r="J84" s="133"/>
      <c r="K84" s="133"/>
      <c r="L84" s="10" t="s">
        <v>6</v>
      </c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28"/>
      <c r="AG84" s="128"/>
      <c r="AH84" s="134"/>
    </row>
    <row r="85" ht="30.0" customHeight="1">
      <c r="B85" s="138" t="s">
        <v>426</v>
      </c>
      <c r="C85" s="130"/>
      <c r="D85" s="10" t="s">
        <v>6</v>
      </c>
      <c r="E85" s="130"/>
      <c r="F85" s="10" t="s">
        <v>6</v>
      </c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9"/>
      <c r="AC85" s="139"/>
      <c r="AD85" s="139"/>
      <c r="AE85" s="139"/>
      <c r="AF85" s="139"/>
      <c r="AG85" s="139"/>
      <c r="AH85" s="131"/>
    </row>
    <row r="86" ht="30.0" customHeight="1">
      <c r="B86" s="135" t="s">
        <v>297</v>
      </c>
      <c r="C86" s="133"/>
      <c r="D86" s="133"/>
      <c r="E86" s="10" t="s">
        <v>6</v>
      </c>
      <c r="F86" s="10" t="s">
        <v>6</v>
      </c>
      <c r="G86" s="133"/>
      <c r="H86" s="133"/>
      <c r="I86" s="133"/>
      <c r="J86" s="133"/>
      <c r="K86" s="133"/>
      <c r="L86" s="10" t="s">
        <v>6</v>
      </c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28"/>
      <c r="AG86" s="128"/>
      <c r="AH86" s="134"/>
    </row>
    <row r="87" ht="30.0" customHeight="1">
      <c r="B87" s="138" t="s">
        <v>399</v>
      </c>
      <c r="C87" s="130"/>
      <c r="D87" s="130"/>
      <c r="E87" s="10" t="s">
        <v>6</v>
      </c>
      <c r="F87" s="130"/>
      <c r="G87" s="130"/>
      <c r="H87" s="130"/>
      <c r="I87" s="130"/>
      <c r="J87" s="130"/>
      <c r="K87" s="130"/>
      <c r="L87" s="130"/>
      <c r="M87" s="10" t="s">
        <v>6</v>
      </c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9"/>
      <c r="AC87" s="139"/>
      <c r="AD87" s="139"/>
      <c r="AE87" s="139"/>
      <c r="AF87" s="139"/>
      <c r="AG87" s="139"/>
      <c r="AH87" s="131"/>
    </row>
    <row r="88" ht="30.0" customHeight="1">
      <c r="B88" s="135" t="s">
        <v>380</v>
      </c>
      <c r="C88" s="133"/>
      <c r="D88" s="133"/>
      <c r="E88" s="10" t="s">
        <v>6</v>
      </c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28"/>
      <c r="AG88" s="128"/>
      <c r="AH88" s="134"/>
    </row>
    <row r="89" ht="30.0" customHeight="1">
      <c r="B89" s="138" t="s">
        <v>82</v>
      </c>
      <c r="C89" s="130"/>
      <c r="D89" s="130"/>
      <c r="E89" s="130"/>
      <c r="F89" s="10" t="s">
        <v>6</v>
      </c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9"/>
      <c r="AC89" s="139"/>
      <c r="AD89" s="139"/>
      <c r="AE89" s="139"/>
      <c r="AF89" s="139"/>
      <c r="AG89" s="139"/>
      <c r="AH89" s="131"/>
    </row>
    <row r="90" ht="30.0" customHeight="1">
      <c r="B90" s="132" t="s">
        <v>422</v>
      </c>
      <c r="C90" s="133"/>
      <c r="D90" s="133"/>
      <c r="E90" s="133"/>
      <c r="F90" s="10" t="s">
        <v>6</v>
      </c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28"/>
      <c r="AG90" s="128"/>
      <c r="AH90" s="134"/>
    </row>
    <row r="91" ht="30.0" customHeight="1">
      <c r="B91" s="138" t="s">
        <v>227</v>
      </c>
      <c r="C91" s="130"/>
      <c r="D91" s="130"/>
      <c r="E91" s="130"/>
      <c r="F91" s="130"/>
      <c r="G91" s="10" t="s">
        <v>6</v>
      </c>
      <c r="H91" s="10" t="s">
        <v>6</v>
      </c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9"/>
      <c r="AC91" s="139"/>
      <c r="AD91" s="139"/>
      <c r="AE91" s="139"/>
      <c r="AF91" s="139"/>
      <c r="AG91" s="139"/>
      <c r="AH91" s="139"/>
    </row>
    <row r="92" ht="30.0" customHeight="1">
      <c r="B92" s="132" t="s">
        <v>425</v>
      </c>
      <c r="C92" s="133"/>
      <c r="D92" s="133"/>
      <c r="E92" s="133"/>
      <c r="F92" s="133"/>
      <c r="G92" s="133"/>
      <c r="H92" s="10" t="s">
        <v>6</v>
      </c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28"/>
      <c r="AG92" s="128"/>
      <c r="AH92" s="128"/>
    </row>
    <row r="93" ht="30.0" customHeight="1">
      <c r="B93" s="129" t="s">
        <v>59</v>
      </c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0" t="s">
        <v>6</v>
      </c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9"/>
      <c r="AC93" s="139"/>
      <c r="AD93" s="139"/>
      <c r="AE93" s="139"/>
      <c r="AF93" s="139"/>
      <c r="AG93" s="139"/>
      <c r="AH93" s="139"/>
    </row>
    <row r="94" ht="30.0" customHeight="1">
      <c r="B94" s="132" t="s">
        <v>282</v>
      </c>
      <c r="C94" s="133"/>
      <c r="D94" s="133"/>
      <c r="E94" s="133"/>
      <c r="F94" s="133"/>
      <c r="G94" s="133"/>
      <c r="H94" s="133"/>
      <c r="I94" s="133"/>
      <c r="J94" s="133"/>
      <c r="K94" s="133"/>
      <c r="L94" s="10" t="s">
        <v>6</v>
      </c>
      <c r="M94" s="133"/>
      <c r="N94" s="133"/>
      <c r="O94" s="133"/>
      <c r="P94" s="133"/>
      <c r="Q94" s="10" t="s">
        <v>6</v>
      </c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28"/>
    </row>
    <row r="95" ht="30.0" customHeight="1">
      <c r="B95" s="132" t="s">
        <v>289</v>
      </c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0" t="s">
        <v>6</v>
      </c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9"/>
    </row>
    <row r="96" ht="30.0" customHeight="1">
      <c r="B96" s="129" t="s">
        <v>422</v>
      </c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0" t="s">
        <v>6</v>
      </c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28"/>
    </row>
    <row r="97" ht="30.0" customHeight="1">
      <c r="B97" s="132" t="s">
        <v>377</v>
      </c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0" t="s">
        <v>6</v>
      </c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9"/>
    </row>
    <row r="98" ht="30.0" customHeight="1">
      <c r="B98" s="129" t="s">
        <v>465</v>
      </c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0" t="s">
        <v>6</v>
      </c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28"/>
    </row>
    <row r="99" ht="30.0" customHeight="1">
      <c r="B99" s="132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9"/>
    </row>
    <row r="100" ht="30.0" customHeight="1">
      <c r="B100" s="127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</row>
    <row r="101" ht="30.0" customHeight="1">
      <c r="B101" s="140" t="str">
        <f>Diciembre!MonthName&amp;" Total"</f>
        <v>Diciembre Total</v>
      </c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</row>
    <row r="102" ht="30.0" customHeight="1"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34"/>
    </row>
    <row r="103" ht="30.0" customHeight="1">
      <c r="B103" s="38" t="s">
        <v>468</v>
      </c>
      <c r="C103" s="80" t="s">
        <v>338</v>
      </c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5"/>
      <c r="AH103" s="131"/>
    </row>
    <row r="104" ht="30.0" customHeight="1">
      <c r="B104" s="32"/>
      <c r="C104" s="162" t="s">
        <v>364</v>
      </c>
      <c r="D104" s="162" t="s">
        <v>365</v>
      </c>
      <c r="E104" s="133" t="str">
        <f>TEXT(WEEKDAY(DATE(CalendarioAño,8,6),1),"ddd")</f>
        <v>mié</v>
      </c>
      <c r="F104" s="133" t="str">
        <f>TEXT(WEEKDAY(DATE(CalendarioAño,8,7),1),"ddd")</f>
        <v>jue</v>
      </c>
      <c r="G104" s="162" t="s">
        <v>366</v>
      </c>
      <c r="H104" s="133" t="str">
        <f>TEXT(WEEKDAY(DATE(CalendarioAño,8,9),1),"ddd")</f>
        <v>sáb</v>
      </c>
      <c r="I104" s="162" t="s">
        <v>367</v>
      </c>
      <c r="J104" s="162" t="s">
        <v>364</v>
      </c>
      <c r="K104" s="162" t="s">
        <v>365</v>
      </c>
      <c r="L104" s="133" t="str">
        <f>TEXT(WEEKDAY(DATE(CalendarioAño,8,6),1),"ddd")</f>
        <v>mié</v>
      </c>
      <c r="M104" s="133" t="str">
        <f>TEXT(WEEKDAY(DATE(CalendarioAño,8,7),1),"ddd")</f>
        <v>jue</v>
      </c>
      <c r="N104" s="162" t="s">
        <v>366</v>
      </c>
      <c r="O104" s="133" t="str">
        <f>TEXT(WEEKDAY(DATE(CalendarioAño,8,9),1),"ddd")</f>
        <v>sáb</v>
      </c>
      <c r="P104" s="162" t="s">
        <v>367</v>
      </c>
      <c r="Q104" s="162" t="s">
        <v>364</v>
      </c>
      <c r="R104" s="162" t="s">
        <v>365</v>
      </c>
      <c r="S104" s="133" t="str">
        <f>TEXT(WEEKDAY(DATE(CalendarioAño,8,6),1),"ddd")</f>
        <v>mié</v>
      </c>
      <c r="T104" s="133" t="str">
        <f>TEXT(WEEKDAY(DATE(CalendarioAño,8,7),1),"ddd")</f>
        <v>jue</v>
      </c>
      <c r="U104" s="162" t="s">
        <v>366</v>
      </c>
      <c r="V104" s="133" t="str">
        <f>TEXT(WEEKDAY(DATE(CalendarioAño,8,9),1),"ddd")</f>
        <v>sáb</v>
      </c>
      <c r="W104" s="162" t="s">
        <v>367</v>
      </c>
      <c r="X104" s="162" t="s">
        <v>364</v>
      </c>
      <c r="Y104" s="162" t="s">
        <v>365</v>
      </c>
      <c r="Z104" s="133" t="str">
        <f>TEXT(WEEKDAY(DATE(CalendarioAño,8,6),1),"ddd")</f>
        <v>mié</v>
      </c>
      <c r="AA104" s="133" t="str">
        <f>TEXT(WEEKDAY(DATE(CalendarioAño,8,7),1),"ddd")</f>
        <v>jue</v>
      </c>
      <c r="AB104" s="162" t="s">
        <v>366</v>
      </c>
      <c r="AC104" s="133" t="str">
        <f>TEXT(WEEKDAY(DATE(CalendarioAño,8,9),1),"ddd")</f>
        <v>sáb</v>
      </c>
      <c r="AD104" s="162" t="s">
        <v>367</v>
      </c>
      <c r="AE104" s="162" t="s">
        <v>364</v>
      </c>
      <c r="AF104" s="162" t="s">
        <v>365</v>
      </c>
      <c r="AG104" s="133" t="str">
        <f>TEXT(WEEKDAY(DATE(CalendarioAño,8,6),1),"ddd")</f>
        <v>mié</v>
      </c>
      <c r="AH104" s="134"/>
    </row>
    <row r="105" ht="30.0" customHeight="1">
      <c r="A105" s="115"/>
      <c r="B105" s="116" t="s">
        <v>202</v>
      </c>
      <c r="C105" s="164">
        <v>1.0</v>
      </c>
      <c r="D105" s="164">
        <v>2.0</v>
      </c>
      <c r="E105" s="164">
        <v>3.0</v>
      </c>
      <c r="F105" s="164">
        <v>4.0</v>
      </c>
      <c r="G105" s="164">
        <v>5.0</v>
      </c>
      <c r="H105" s="164">
        <v>6.0</v>
      </c>
      <c r="I105" s="164">
        <v>7.0</v>
      </c>
      <c r="J105" s="164">
        <v>8.0</v>
      </c>
      <c r="K105" s="164">
        <v>9.0</v>
      </c>
      <c r="L105" s="164">
        <v>10.0</v>
      </c>
      <c r="M105" s="117" t="s">
        <v>25</v>
      </c>
      <c r="N105" s="117" t="s">
        <v>26</v>
      </c>
      <c r="O105" s="117" t="s">
        <v>27</v>
      </c>
      <c r="P105" s="117" t="s">
        <v>28</v>
      </c>
      <c r="Q105" s="117" t="s">
        <v>29</v>
      </c>
      <c r="R105" s="117" t="s">
        <v>30</v>
      </c>
      <c r="S105" s="117" t="s">
        <v>31</v>
      </c>
      <c r="T105" s="117" t="s">
        <v>32</v>
      </c>
      <c r="U105" s="117" t="s">
        <v>33</v>
      </c>
      <c r="V105" s="117" t="s">
        <v>34</v>
      </c>
      <c r="W105" s="117" t="s">
        <v>35</v>
      </c>
      <c r="X105" s="117" t="s">
        <v>36</v>
      </c>
      <c r="Y105" s="117" t="s">
        <v>37</v>
      </c>
      <c r="Z105" s="117" t="s">
        <v>38</v>
      </c>
      <c r="AA105" s="117" t="s">
        <v>39</v>
      </c>
      <c r="AB105" s="117" t="s">
        <v>40</v>
      </c>
      <c r="AC105" s="117" t="s">
        <v>41</v>
      </c>
      <c r="AD105" s="117" t="s">
        <v>42</v>
      </c>
      <c r="AE105" s="117" t="s">
        <v>43</v>
      </c>
      <c r="AF105" s="117" t="s">
        <v>44</v>
      </c>
      <c r="AG105" s="164">
        <v>31.0</v>
      </c>
      <c r="AH105" s="131"/>
    </row>
    <row r="106" ht="30.0" customHeight="1">
      <c r="B106" s="132" t="s">
        <v>358</v>
      </c>
      <c r="C106" s="10" t="s">
        <v>6</v>
      </c>
      <c r="D106" s="133"/>
      <c r="E106" s="10" t="s">
        <v>6</v>
      </c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0" t="s">
        <v>6</v>
      </c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9"/>
      <c r="AC106" s="139"/>
      <c r="AD106" s="139"/>
      <c r="AE106" s="139"/>
      <c r="AF106" s="139"/>
      <c r="AG106" s="139"/>
      <c r="AH106" s="134"/>
    </row>
    <row r="107" ht="30.0" customHeight="1">
      <c r="B107" s="129" t="s">
        <v>105</v>
      </c>
      <c r="C107" s="130"/>
      <c r="D107" s="10" t="s">
        <v>6</v>
      </c>
      <c r="E107" s="130"/>
      <c r="F107" s="10" t="s">
        <v>6</v>
      </c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9"/>
    </row>
    <row r="108" ht="30.0" customHeight="1">
      <c r="B108" s="132" t="s">
        <v>423</v>
      </c>
      <c r="C108" s="133"/>
      <c r="D108" s="10" t="s">
        <v>6</v>
      </c>
      <c r="E108" s="133"/>
      <c r="F108" s="10" t="s">
        <v>6</v>
      </c>
      <c r="G108" s="133"/>
      <c r="H108" s="133"/>
      <c r="I108" s="133"/>
      <c r="J108" s="133"/>
      <c r="K108" s="133"/>
      <c r="L108" s="133"/>
      <c r="M108" s="10" t="s">
        <v>6</v>
      </c>
      <c r="N108" s="133"/>
      <c r="O108" s="133"/>
      <c r="P108" s="133"/>
      <c r="Q108" s="133"/>
      <c r="R108" s="133"/>
      <c r="S108" s="133"/>
      <c r="T108" s="133"/>
      <c r="U108" s="10" t="s">
        <v>6</v>
      </c>
      <c r="V108" s="133"/>
      <c r="W108" s="133"/>
      <c r="X108" s="133"/>
      <c r="Y108" s="133"/>
      <c r="Z108" s="133"/>
      <c r="AA108" s="133"/>
      <c r="AB108" s="139"/>
      <c r="AC108" s="139"/>
      <c r="AD108" s="139"/>
      <c r="AE108" s="139"/>
      <c r="AF108" s="139"/>
      <c r="AG108" s="139"/>
      <c r="AH108" s="134"/>
    </row>
    <row r="109" ht="30.0" customHeight="1">
      <c r="B109" s="138" t="s">
        <v>298</v>
      </c>
      <c r="C109" s="130"/>
      <c r="D109" s="130"/>
      <c r="E109" s="10" t="s">
        <v>6</v>
      </c>
      <c r="F109" s="130"/>
      <c r="G109" s="10" t="s">
        <v>6</v>
      </c>
      <c r="H109" s="10" t="s">
        <v>6</v>
      </c>
      <c r="I109" s="130"/>
      <c r="J109" s="130"/>
      <c r="K109" s="130"/>
      <c r="L109" s="10" t="s">
        <v>6</v>
      </c>
      <c r="M109" s="10" t="s">
        <v>6</v>
      </c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9"/>
    </row>
    <row r="110" ht="30.0" customHeight="1">
      <c r="B110" s="135" t="s">
        <v>284</v>
      </c>
      <c r="C110" s="133"/>
      <c r="D110" s="133"/>
      <c r="E110" s="10" t="s">
        <v>6</v>
      </c>
      <c r="F110" s="133"/>
      <c r="G110" s="133"/>
      <c r="H110" s="133"/>
      <c r="I110" s="133"/>
      <c r="J110" s="133"/>
      <c r="K110" s="133"/>
      <c r="L110" s="133"/>
      <c r="M110" s="10" t="s">
        <v>6</v>
      </c>
      <c r="N110" s="133"/>
      <c r="O110" s="10" t="s">
        <v>6</v>
      </c>
      <c r="P110" s="133"/>
      <c r="Q110" s="10" t="s">
        <v>6</v>
      </c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9"/>
      <c r="AC110" s="139"/>
      <c r="AD110" s="139"/>
      <c r="AE110" s="139"/>
      <c r="AF110" s="139"/>
      <c r="AG110" s="139"/>
      <c r="AH110" s="134"/>
    </row>
    <row r="111" ht="30.0" customHeight="1">
      <c r="B111" s="138" t="s">
        <v>133</v>
      </c>
      <c r="C111" s="130"/>
      <c r="D111" s="130"/>
      <c r="E111" s="10" t="s">
        <v>6</v>
      </c>
      <c r="F111" s="130"/>
      <c r="G111" s="130"/>
      <c r="H111" s="130"/>
      <c r="I111" s="130"/>
      <c r="J111" s="130"/>
      <c r="K111" s="130"/>
      <c r="L111" s="10" t="s">
        <v>6</v>
      </c>
      <c r="M111" s="130"/>
      <c r="N111" s="130"/>
      <c r="O111" s="130"/>
      <c r="P111" s="130"/>
      <c r="Q111" s="130"/>
      <c r="R111" s="130"/>
      <c r="S111" s="130"/>
      <c r="T111" s="130"/>
      <c r="U111" s="10" t="s">
        <v>6</v>
      </c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9"/>
    </row>
    <row r="112" ht="30.0" customHeight="1">
      <c r="B112" s="135" t="s">
        <v>404</v>
      </c>
      <c r="C112" s="133"/>
      <c r="D112" s="133"/>
      <c r="E112" s="10" t="s">
        <v>6</v>
      </c>
      <c r="F112" s="133"/>
      <c r="G112" s="133"/>
      <c r="H112" s="10" t="s">
        <v>6</v>
      </c>
      <c r="I112" s="133"/>
      <c r="J112" s="133"/>
      <c r="K112" s="133"/>
      <c r="L112" s="10" t="s">
        <v>6</v>
      </c>
      <c r="M112" s="133"/>
      <c r="N112" s="133"/>
      <c r="O112" s="10" t="s">
        <v>6</v>
      </c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9"/>
      <c r="AC112" s="139"/>
      <c r="AD112" s="139"/>
      <c r="AE112" s="139"/>
      <c r="AF112" s="139"/>
      <c r="AG112" s="139"/>
      <c r="AH112" s="134"/>
    </row>
    <row r="113" ht="30.0" customHeight="1">
      <c r="B113" s="132" t="s">
        <v>340</v>
      </c>
      <c r="C113" s="130"/>
      <c r="D113" s="130"/>
      <c r="E113" s="10" t="s">
        <v>6</v>
      </c>
      <c r="F113" s="130"/>
      <c r="G113" s="10" t="s">
        <v>6</v>
      </c>
      <c r="H113" s="130"/>
      <c r="I113" s="130"/>
      <c r="J113" s="130"/>
      <c r="K113" s="130"/>
      <c r="L113" s="10" t="s">
        <v>6</v>
      </c>
      <c r="M113" s="130"/>
      <c r="N113" s="130"/>
      <c r="O113" s="130"/>
      <c r="P113" s="130"/>
      <c r="Q113" s="10" t="s">
        <v>6</v>
      </c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9"/>
    </row>
    <row r="114" ht="30.0" customHeight="1">
      <c r="B114" s="135" t="s">
        <v>115</v>
      </c>
      <c r="C114" s="133"/>
      <c r="D114" s="133"/>
      <c r="E114" s="133"/>
      <c r="F114" s="133"/>
      <c r="G114" s="10" t="s">
        <v>6</v>
      </c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0" t="s">
        <v>6</v>
      </c>
      <c r="V114" s="133"/>
      <c r="W114" s="133"/>
      <c r="X114" s="133"/>
      <c r="Y114" s="133"/>
      <c r="Z114" s="133"/>
      <c r="AA114" s="133"/>
      <c r="AB114" s="139"/>
      <c r="AC114" s="139"/>
      <c r="AD114" s="139"/>
      <c r="AE114" s="139"/>
      <c r="AF114" s="139"/>
      <c r="AG114" s="139"/>
      <c r="AH114" s="134"/>
    </row>
    <row r="115" ht="30.0" customHeight="1">
      <c r="B115" s="132" t="s">
        <v>302</v>
      </c>
      <c r="C115" s="130"/>
      <c r="D115" s="130"/>
      <c r="E115" s="130"/>
      <c r="F115" s="130"/>
      <c r="G115" s="130"/>
      <c r="H115" s="10" t="s">
        <v>6</v>
      </c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9"/>
    </row>
    <row r="116" ht="30.0" customHeight="1">
      <c r="B116" s="135" t="s">
        <v>178</v>
      </c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0" t="s">
        <v>6</v>
      </c>
      <c r="P116" s="133"/>
      <c r="Q116" s="10" t="s">
        <v>6</v>
      </c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9"/>
      <c r="AC116" s="139"/>
      <c r="AD116" s="139"/>
      <c r="AE116" s="139"/>
      <c r="AF116" s="139"/>
      <c r="AG116" s="139"/>
      <c r="AH116" s="134"/>
    </row>
    <row r="117" ht="30.0" customHeight="1">
      <c r="B117" s="138" t="s">
        <v>121</v>
      </c>
      <c r="C117" s="139"/>
      <c r="D117" s="139"/>
      <c r="E117" s="139"/>
      <c r="F117" s="139"/>
      <c r="G117" s="139"/>
      <c r="H117" s="139"/>
      <c r="I117" s="139"/>
      <c r="J117" s="139"/>
      <c r="K117" s="139"/>
      <c r="L117" s="10" t="s">
        <v>6</v>
      </c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1"/>
    </row>
    <row r="118" ht="30.0" customHeight="1">
      <c r="B118" s="135" t="s">
        <v>308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0" t="s">
        <v>6</v>
      </c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34"/>
    </row>
    <row r="119" ht="30.0" customHeight="1">
      <c r="B119" s="138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1"/>
    </row>
    <row r="120" ht="30.0" customHeight="1">
      <c r="B120" s="135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34"/>
    </row>
    <row r="121" ht="30.0" customHeight="1">
      <c r="B121" s="140" t="str">
        <f>Diciembre!MonthName&amp;" Total"</f>
        <v>Diciembre Total</v>
      </c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1"/>
    </row>
    <row r="122" ht="30.0" customHeight="1"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34"/>
    </row>
    <row r="123" ht="30.0" customHeight="1">
      <c r="B123" s="38" t="s">
        <v>468</v>
      </c>
      <c r="C123" s="101" t="s">
        <v>359</v>
      </c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8"/>
      <c r="AH123" s="131"/>
    </row>
    <row r="124" ht="30.0" customHeight="1">
      <c r="B124" s="32"/>
      <c r="C124" s="162" t="s">
        <v>364</v>
      </c>
      <c r="D124" s="162" t="s">
        <v>365</v>
      </c>
      <c r="E124" s="133" t="str">
        <f>TEXT(WEEKDAY(DATE(CalendarioAño,8,6),1),"ddd")</f>
        <v>mié</v>
      </c>
      <c r="F124" s="133" t="str">
        <f>TEXT(WEEKDAY(DATE(CalendarioAño,8,7),1),"ddd")</f>
        <v>jue</v>
      </c>
      <c r="G124" s="162" t="s">
        <v>366</v>
      </c>
      <c r="H124" s="133" t="str">
        <f>TEXT(WEEKDAY(DATE(CalendarioAño,8,9),1),"ddd")</f>
        <v>sáb</v>
      </c>
      <c r="I124" s="162" t="s">
        <v>367</v>
      </c>
      <c r="J124" s="162" t="s">
        <v>364</v>
      </c>
      <c r="K124" s="162" t="s">
        <v>365</v>
      </c>
      <c r="L124" s="133" t="str">
        <f>TEXT(WEEKDAY(DATE(CalendarioAño,8,6),1),"ddd")</f>
        <v>mié</v>
      </c>
      <c r="M124" s="133" t="str">
        <f>TEXT(WEEKDAY(DATE(CalendarioAño,8,7),1),"ddd")</f>
        <v>jue</v>
      </c>
      <c r="N124" s="162" t="s">
        <v>366</v>
      </c>
      <c r="O124" s="133" t="str">
        <f>TEXT(WEEKDAY(DATE(CalendarioAño,8,9),1),"ddd")</f>
        <v>sáb</v>
      </c>
      <c r="P124" s="162" t="s">
        <v>367</v>
      </c>
      <c r="Q124" s="162" t="s">
        <v>364</v>
      </c>
      <c r="R124" s="162" t="s">
        <v>365</v>
      </c>
      <c r="S124" s="133" t="str">
        <f>TEXT(WEEKDAY(DATE(CalendarioAño,8,6),1),"ddd")</f>
        <v>mié</v>
      </c>
      <c r="T124" s="133" t="str">
        <f>TEXT(WEEKDAY(DATE(CalendarioAño,8,7),1),"ddd")</f>
        <v>jue</v>
      </c>
      <c r="U124" s="162" t="s">
        <v>366</v>
      </c>
      <c r="V124" s="133" t="str">
        <f>TEXT(WEEKDAY(DATE(CalendarioAño,8,9),1),"ddd")</f>
        <v>sáb</v>
      </c>
      <c r="W124" s="162" t="s">
        <v>367</v>
      </c>
      <c r="X124" s="162" t="s">
        <v>364</v>
      </c>
      <c r="Y124" s="162" t="s">
        <v>365</v>
      </c>
      <c r="Z124" s="133" t="str">
        <f>TEXT(WEEKDAY(DATE(CalendarioAño,8,6),1),"ddd")</f>
        <v>mié</v>
      </c>
      <c r="AA124" s="133" t="str">
        <f>TEXT(WEEKDAY(DATE(CalendarioAño,8,7),1),"ddd")</f>
        <v>jue</v>
      </c>
      <c r="AB124" s="162" t="s">
        <v>366</v>
      </c>
      <c r="AC124" s="133" t="str">
        <f>TEXT(WEEKDAY(DATE(CalendarioAño,8,9),1),"ddd")</f>
        <v>sáb</v>
      </c>
      <c r="AD124" s="162" t="s">
        <v>367</v>
      </c>
      <c r="AE124" s="162" t="s">
        <v>364</v>
      </c>
      <c r="AF124" s="162" t="s">
        <v>365</v>
      </c>
      <c r="AG124" s="133" t="str">
        <f>TEXT(WEEKDAY(DATE(CalendarioAño,8,6),1),"ddd")</f>
        <v>mié</v>
      </c>
      <c r="AH124" s="134"/>
    </row>
    <row r="125" ht="30.0" customHeight="1">
      <c r="A125" s="115"/>
      <c r="B125" s="116" t="s">
        <v>202</v>
      </c>
      <c r="C125" s="164">
        <v>1.0</v>
      </c>
      <c r="D125" s="164">
        <v>2.0</v>
      </c>
      <c r="E125" s="164">
        <v>3.0</v>
      </c>
      <c r="F125" s="164">
        <v>4.0</v>
      </c>
      <c r="G125" s="164">
        <v>5.0</v>
      </c>
      <c r="H125" s="164">
        <v>6.0</v>
      </c>
      <c r="I125" s="164">
        <v>7.0</v>
      </c>
      <c r="J125" s="164">
        <v>8.0</v>
      </c>
      <c r="K125" s="164">
        <v>9.0</v>
      </c>
      <c r="L125" s="164">
        <v>10.0</v>
      </c>
      <c r="M125" s="117" t="s">
        <v>25</v>
      </c>
      <c r="N125" s="117" t="s">
        <v>26</v>
      </c>
      <c r="O125" s="117" t="s">
        <v>27</v>
      </c>
      <c r="P125" s="117" t="s">
        <v>28</v>
      </c>
      <c r="Q125" s="117" t="s">
        <v>29</v>
      </c>
      <c r="R125" s="117" t="s">
        <v>30</v>
      </c>
      <c r="S125" s="117" t="s">
        <v>31</v>
      </c>
      <c r="T125" s="117" t="s">
        <v>32</v>
      </c>
      <c r="U125" s="117" t="s">
        <v>33</v>
      </c>
      <c r="V125" s="117" t="s">
        <v>34</v>
      </c>
      <c r="W125" s="117" t="s">
        <v>35</v>
      </c>
      <c r="X125" s="117" t="s">
        <v>36</v>
      </c>
      <c r="Y125" s="117" t="s">
        <v>37</v>
      </c>
      <c r="Z125" s="117" t="s">
        <v>38</v>
      </c>
      <c r="AA125" s="117" t="s">
        <v>39</v>
      </c>
      <c r="AB125" s="117" t="s">
        <v>40</v>
      </c>
      <c r="AC125" s="117" t="s">
        <v>41</v>
      </c>
      <c r="AD125" s="117" t="s">
        <v>42</v>
      </c>
      <c r="AE125" s="117" t="s">
        <v>43</v>
      </c>
      <c r="AF125" s="117" t="s">
        <v>44</v>
      </c>
      <c r="AG125" s="164">
        <v>31.0</v>
      </c>
      <c r="AH125" s="131"/>
    </row>
    <row r="126" ht="30.0" customHeight="1">
      <c r="B126" s="132" t="s">
        <v>251</v>
      </c>
      <c r="C126" s="10" t="s">
        <v>6</v>
      </c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9"/>
      <c r="AC126" s="139"/>
      <c r="AD126" s="139"/>
      <c r="AE126" s="139"/>
      <c r="AF126" s="139"/>
      <c r="AG126" s="139"/>
      <c r="AH126" s="134"/>
    </row>
    <row r="127" ht="30.0" customHeight="1">
      <c r="B127" s="129" t="s">
        <v>405</v>
      </c>
      <c r="C127" s="10" t="s">
        <v>6</v>
      </c>
      <c r="D127" s="130"/>
      <c r="E127" s="130"/>
      <c r="F127" s="10" t="s">
        <v>6</v>
      </c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9"/>
    </row>
    <row r="128" ht="30.0" customHeight="1">
      <c r="B128" s="132" t="s">
        <v>215</v>
      </c>
      <c r="C128" s="10" t="s">
        <v>6</v>
      </c>
      <c r="D128" s="133"/>
      <c r="E128" s="10" t="s">
        <v>6</v>
      </c>
      <c r="F128" s="133"/>
      <c r="G128" s="133"/>
      <c r="H128" s="133"/>
      <c r="I128" s="133"/>
      <c r="J128" s="133"/>
      <c r="K128" s="133"/>
      <c r="L128" s="10" t="s">
        <v>6</v>
      </c>
      <c r="M128" s="133"/>
      <c r="N128" s="133"/>
      <c r="O128" s="133"/>
      <c r="P128" s="133"/>
      <c r="Q128" s="10" t="s">
        <v>6</v>
      </c>
      <c r="R128" s="133"/>
      <c r="S128" s="133"/>
      <c r="T128" s="133"/>
      <c r="U128" s="10" t="s">
        <v>6</v>
      </c>
      <c r="V128" s="133"/>
      <c r="W128" s="133"/>
      <c r="X128" s="133"/>
      <c r="Y128" s="133"/>
      <c r="Z128" s="133"/>
      <c r="AA128" s="133"/>
      <c r="AB128" s="139"/>
      <c r="AC128" s="139"/>
      <c r="AD128" s="139"/>
      <c r="AE128" s="139"/>
      <c r="AF128" s="139"/>
      <c r="AG128" s="139"/>
      <c r="AH128" s="134"/>
    </row>
    <row r="129" ht="30.0" customHeight="1">
      <c r="B129" s="138" t="s">
        <v>459</v>
      </c>
      <c r="C129" s="130"/>
      <c r="D129" s="10" t="s">
        <v>6</v>
      </c>
      <c r="E129" s="130"/>
      <c r="F129" s="10" t="s">
        <v>6</v>
      </c>
      <c r="G129" s="130"/>
      <c r="H129" s="130"/>
      <c r="I129" s="130"/>
      <c r="J129" s="130"/>
      <c r="K129" s="130"/>
      <c r="L129" s="10" t="s">
        <v>6</v>
      </c>
      <c r="M129" s="130"/>
      <c r="N129" s="130"/>
      <c r="O129" s="10" t="s">
        <v>6</v>
      </c>
      <c r="P129" s="130"/>
      <c r="Q129" s="130"/>
      <c r="R129" s="130"/>
      <c r="S129" s="130"/>
      <c r="T129" s="130"/>
      <c r="U129" s="10" t="s">
        <v>6</v>
      </c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9"/>
    </row>
    <row r="130" ht="30.0" customHeight="1">
      <c r="B130" s="138" t="s">
        <v>383</v>
      </c>
      <c r="C130" s="133"/>
      <c r="D130" s="10" t="s">
        <v>6</v>
      </c>
      <c r="E130" s="133"/>
      <c r="F130" s="10" t="s">
        <v>6</v>
      </c>
      <c r="G130" s="133"/>
      <c r="H130" s="133"/>
      <c r="I130" s="133"/>
      <c r="J130" s="133"/>
      <c r="K130" s="133"/>
      <c r="L130" s="133"/>
      <c r="M130" s="10" t="s">
        <v>6</v>
      </c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9"/>
      <c r="AC130" s="139"/>
      <c r="AD130" s="139"/>
      <c r="AE130" s="139"/>
      <c r="AF130" s="139"/>
      <c r="AG130" s="139"/>
      <c r="AH130" s="146"/>
    </row>
    <row r="131" ht="30.0" customHeight="1">
      <c r="B131" s="135" t="s">
        <v>360</v>
      </c>
      <c r="C131" s="130"/>
      <c r="D131" s="10" t="s">
        <v>6</v>
      </c>
      <c r="E131" s="130"/>
      <c r="F131" s="130"/>
      <c r="G131" s="130"/>
      <c r="H131" s="130"/>
      <c r="I131" s="130"/>
      <c r="J131" s="130"/>
      <c r="K131" s="130"/>
      <c r="L131" s="10" t="s">
        <v>6</v>
      </c>
      <c r="M131" s="10" t="s">
        <v>6</v>
      </c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9"/>
    </row>
    <row r="132" ht="30.0" customHeight="1">
      <c r="B132" s="138" t="s">
        <v>429</v>
      </c>
      <c r="C132" s="133"/>
      <c r="D132" s="133"/>
      <c r="E132" s="133"/>
      <c r="F132" s="10" t="s">
        <v>6</v>
      </c>
      <c r="G132" s="133"/>
      <c r="H132" s="133"/>
      <c r="I132" s="133"/>
      <c r="J132" s="133"/>
      <c r="K132" s="133"/>
      <c r="L132" s="10" t="s">
        <v>6</v>
      </c>
      <c r="M132" s="10" t="s">
        <v>6</v>
      </c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9"/>
      <c r="AC132" s="139"/>
      <c r="AD132" s="139"/>
      <c r="AE132" s="139"/>
      <c r="AF132" s="139"/>
      <c r="AG132" s="139"/>
      <c r="AH132" s="147"/>
    </row>
    <row r="133" ht="30.0" customHeight="1">
      <c r="B133" s="132" t="s">
        <v>307</v>
      </c>
      <c r="C133" s="130"/>
      <c r="D133" s="130"/>
      <c r="E133" s="130"/>
      <c r="F133" s="130"/>
      <c r="G133" s="10" t="s">
        <v>6</v>
      </c>
      <c r="H133" s="130"/>
      <c r="I133" s="130"/>
      <c r="J133" s="130"/>
      <c r="K133" s="130"/>
      <c r="L133" s="10" t="s">
        <v>6</v>
      </c>
      <c r="M133" s="130"/>
      <c r="N133" s="130"/>
      <c r="O133" s="130"/>
      <c r="P133" s="130"/>
      <c r="Q133" s="10" t="s">
        <v>6</v>
      </c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9"/>
    </row>
    <row r="134" ht="30.0" customHeight="1">
      <c r="B134" s="138" t="s">
        <v>309</v>
      </c>
      <c r="C134" s="139"/>
      <c r="D134" s="139"/>
      <c r="E134" s="139"/>
      <c r="F134" s="139"/>
      <c r="G134" s="10" t="s">
        <v>6</v>
      </c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4"/>
    </row>
    <row r="135" ht="30.0" customHeight="1">
      <c r="B135" s="132" t="s">
        <v>379</v>
      </c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0" t="s">
        <v>6</v>
      </c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1"/>
    </row>
    <row r="136" ht="30.0" customHeight="1">
      <c r="B136" s="138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4"/>
    </row>
    <row r="137" ht="30.0" customHeight="1">
      <c r="B137" s="132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1"/>
    </row>
    <row r="138" ht="30.0" customHeight="1">
      <c r="B138" s="127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34"/>
    </row>
    <row r="139" ht="30.0" customHeight="1">
      <c r="B139" s="140" t="str">
        <f>Diciembre!MonthName&amp;" Total"</f>
        <v>Diciembre Total</v>
      </c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1"/>
    </row>
    <row r="140" ht="30.0" customHeight="1">
      <c r="B140" s="14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48"/>
      <c r="AH140" s="134"/>
    </row>
    <row r="141" ht="30.0" customHeight="1">
      <c r="B141" s="38" t="s">
        <v>468</v>
      </c>
      <c r="C141" s="101" t="s">
        <v>345</v>
      </c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  <c r="AF141" s="141"/>
      <c r="AG141" s="148"/>
      <c r="AH141" s="131"/>
    </row>
    <row r="142" ht="30.0" customHeight="1">
      <c r="B142" s="32"/>
      <c r="C142" s="162" t="s">
        <v>364</v>
      </c>
      <c r="D142" s="162" t="s">
        <v>365</v>
      </c>
      <c r="E142" s="133" t="str">
        <f>TEXT(WEEKDAY(DATE(CalendarioAño,8,6),1),"ddd")</f>
        <v>mié</v>
      </c>
      <c r="F142" s="133" t="str">
        <f>TEXT(WEEKDAY(DATE(CalendarioAño,8,7),1),"ddd")</f>
        <v>jue</v>
      </c>
      <c r="G142" s="162" t="s">
        <v>366</v>
      </c>
      <c r="H142" s="133" t="str">
        <f>TEXT(WEEKDAY(DATE(CalendarioAño,8,9),1),"ddd")</f>
        <v>sáb</v>
      </c>
      <c r="I142" s="162" t="s">
        <v>367</v>
      </c>
      <c r="J142" s="162" t="s">
        <v>364</v>
      </c>
      <c r="K142" s="162" t="s">
        <v>365</v>
      </c>
      <c r="L142" s="133" t="str">
        <f>TEXT(WEEKDAY(DATE(CalendarioAño,8,6),1),"ddd")</f>
        <v>mié</v>
      </c>
      <c r="M142" s="133" t="str">
        <f>TEXT(WEEKDAY(DATE(CalendarioAño,8,7),1),"ddd")</f>
        <v>jue</v>
      </c>
      <c r="N142" s="162" t="s">
        <v>366</v>
      </c>
      <c r="O142" s="133" t="str">
        <f>TEXT(WEEKDAY(DATE(CalendarioAño,8,9),1),"ddd")</f>
        <v>sáb</v>
      </c>
      <c r="P142" s="162" t="s">
        <v>367</v>
      </c>
      <c r="Q142" s="162" t="s">
        <v>364</v>
      </c>
      <c r="R142" s="162" t="s">
        <v>365</v>
      </c>
      <c r="S142" s="133" t="str">
        <f>TEXT(WEEKDAY(DATE(CalendarioAño,8,6),1),"ddd")</f>
        <v>mié</v>
      </c>
      <c r="T142" s="133" t="str">
        <f>TEXT(WEEKDAY(DATE(CalendarioAño,8,7),1),"ddd")</f>
        <v>jue</v>
      </c>
      <c r="U142" s="162" t="s">
        <v>366</v>
      </c>
      <c r="V142" s="133" t="str">
        <f>TEXT(WEEKDAY(DATE(CalendarioAño,8,9),1),"ddd")</f>
        <v>sáb</v>
      </c>
      <c r="W142" s="162" t="s">
        <v>367</v>
      </c>
      <c r="X142" s="162" t="s">
        <v>364</v>
      </c>
      <c r="Y142" s="162" t="s">
        <v>365</v>
      </c>
      <c r="Z142" s="133" t="str">
        <f>TEXT(WEEKDAY(DATE(CalendarioAño,8,6),1),"ddd")</f>
        <v>mié</v>
      </c>
      <c r="AA142" s="133" t="str">
        <f>TEXT(WEEKDAY(DATE(CalendarioAño,8,7),1),"ddd")</f>
        <v>jue</v>
      </c>
      <c r="AB142" s="162" t="s">
        <v>366</v>
      </c>
      <c r="AC142" s="133" t="str">
        <f>TEXT(WEEKDAY(DATE(CalendarioAño,8,9),1),"ddd")</f>
        <v>sáb</v>
      </c>
      <c r="AD142" s="162" t="s">
        <v>367</v>
      </c>
      <c r="AE142" s="162" t="s">
        <v>364</v>
      </c>
      <c r="AF142" s="162" t="s">
        <v>365</v>
      </c>
      <c r="AG142" s="133" t="str">
        <f>TEXT(WEEKDAY(DATE(CalendarioAño,8,6),1),"ddd")</f>
        <v>mié</v>
      </c>
      <c r="AH142" s="134"/>
    </row>
    <row r="143" ht="30.0" customHeight="1">
      <c r="A143" s="115"/>
      <c r="B143" s="116" t="s">
        <v>202</v>
      </c>
      <c r="C143" s="164">
        <v>1.0</v>
      </c>
      <c r="D143" s="164">
        <v>2.0</v>
      </c>
      <c r="E143" s="164">
        <v>3.0</v>
      </c>
      <c r="F143" s="164">
        <v>4.0</v>
      </c>
      <c r="G143" s="164">
        <v>5.0</v>
      </c>
      <c r="H143" s="164">
        <v>6.0</v>
      </c>
      <c r="I143" s="164">
        <v>7.0</v>
      </c>
      <c r="J143" s="164">
        <v>8.0</v>
      </c>
      <c r="K143" s="164">
        <v>9.0</v>
      </c>
      <c r="L143" s="164">
        <v>10.0</v>
      </c>
      <c r="M143" s="117" t="s">
        <v>25</v>
      </c>
      <c r="N143" s="117" t="s">
        <v>26</v>
      </c>
      <c r="O143" s="117" t="s">
        <v>27</v>
      </c>
      <c r="P143" s="117" t="s">
        <v>28</v>
      </c>
      <c r="Q143" s="117" t="s">
        <v>29</v>
      </c>
      <c r="R143" s="117" t="s">
        <v>30</v>
      </c>
      <c r="S143" s="117" t="s">
        <v>31</v>
      </c>
      <c r="T143" s="117" t="s">
        <v>32</v>
      </c>
      <c r="U143" s="117" t="s">
        <v>33</v>
      </c>
      <c r="V143" s="117" t="s">
        <v>34</v>
      </c>
      <c r="W143" s="117" t="s">
        <v>35</v>
      </c>
      <c r="X143" s="117" t="s">
        <v>36</v>
      </c>
      <c r="Y143" s="117" t="s">
        <v>37</v>
      </c>
      <c r="Z143" s="117" t="s">
        <v>38</v>
      </c>
      <c r="AA143" s="117" t="s">
        <v>39</v>
      </c>
      <c r="AB143" s="117" t="s">
        <v>40</v>
      </c>
      <c r="AC143" s="117" t="s">
        <v>41</v>
      </c>
      <c r="AD143" s="117" t="s">
        <v>42</v>
      </c>
      <c r="AE143" s="117" t="s">
        <v>43</v>
      </c>
      <c r="AF143" s="117" t="s">
        <v>44</v>
      </c>
      <c r="AG143" s="164">
        <v>31.0</v>
      </c>
      <c r="AH143" s="139"/>
    </row>
    <row r="144" ht="30.0" customHeight="1">
      <c r="B144" s="132" t="s">
        <v>430</v>
      </c>
      <c r="C144" s="10" t="s">
        <v>6</v>
      </c>
      <c r="D144" s="133"/>
      <c r="E144" s="133"/>
      <c r="F144" s="133"/>
      <c r="G144" s="10" t="s">
        <v>6</v>
      </c>
      <c r="H144" s="133"/>
      <c r="I144" s="133"/>
      <c r="J144" s="133"/>
      <c r="K144" s="133"/>
      <c r="L144" s="133"/>
      <c r="M144" s="133"/>
      <c r="N144" s="133"/>
      <c r="O144" s="10" t="s">
        <v>6</v>
      </c>
      <c r="P144" s="133"/>
      <c r="Q144" s="10" t="s">
        <v>6</v>
      </c>
      <c r="R144" s="133"/>
      <c r="S144" s="133"/>
      <c r="T144" s="133"/>
      <c r="U144" s="10" t="s">
        <v>6</v>
      </c>
      <c r="V144" s="133"/>
      <c r="W144" s="133"/>
      <c r="X144" s="133"/>
      <c r="Y144" s="133"/>
      <c r="Z144" s="133"/>
      <c r="AA144" s="133"/>
      <c r="AB144" s="139"/>
      <c r="AC144" s="139"/>
      <c r="AD144" s="139"/>
      <c r="AE144" s="139"/>
      <c r="AF144" s="139"/>
      <c r="AG144" s="139"/>
      <c r="AH144" s="174"/>
    </row>
    <row r="145" ht="30.0" customHeight="1">
      <c r="B145" s="129" t="s">
        <v>457</v>
      </c>
      <c r="C145" s="10" t="s">
        <v>6</v>
      </c>
      <c r="D145" s="130"/>
      <c r="E145" s="10" t="s">
        <v>6</v>
      </c>
      <c r="F145" s="130"/>
      <c r="G145" s="130"/>
      <c r="H145" s="130"/>
      <c r="I145" s="130"/>
      <c r="J145" s="130"/>
      <c r="K145" s="130"/>
      <c r="L145" s="10" t="s">
        <v>6</v>
      </c>
      <c r="M145" s="130"/>
      <c r="N145" s="130"/>
      <c r="O145" s="130"/>
      <c r="P145" s="130"/>
      <c r="Q145" s="10" t="s">
        <v>6</v>
      </c>
      <c r="R145" s="130"/>
      <c r="S145" s="130"/>
      <c r="T145" s="130"/>
      <c r="U145" s="10" t="s">
        <v>6</v>
      </c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9"/>
    </row>
    <row r="146" ht="30.0" customHeight="1">
      <c r="B146" s="129" t="s">
        <v>343</v>
      </c>
      <c r="C146" s="130"/>
      <c r="D146" s="130"/>
      <c r="E146" s="10" t="s">
        <v>6</v>
      </c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9"/>
      <c r="AC146" s="139"/>
      <c r="AD146" s="139"/>
      <c r="AE146" s="139"/>
      <c r="AF146" s="139"/>
      <c r="AG146" s="139"/>
      <c r="AH146" s="151"/>
    </row>
    <row r="147" ht="30.0" customHeight="1">
      <c r="B147" s="243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8"/>
    </row>
    <row r="148" ht="30.0" customHeight="1">
      <c r="B148" s="129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9"/>
      <c r="AC148" s="139"/>
      <c r="AD148" s="139"/>
      <c r="AE148" s="139"/>
      <c r="AF148" s="139"/>
      <c r="AG148" s="139"/>
      <c r="AH148" s="131"/>
    </row>
    <row r="149" ht="30.0" customHeight="1">
      <c r="B149" s="135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28"/>
    </row>
    <row r="150" ht="30.0" customHeight="1">
      <c r="B150" s="12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1"/>
    </row>
    <row r="151" ht="30.0" customHeight="1">
      <c r="B151" s="135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34"/>
    </row>
    <row r="152" ht="30.0" customHeight="1">
      <c r="B152" s="140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1"/>
    </row>
    <row r="153" ht="30.0" customHeight="1">
      <c r="B153" s="127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34"/>
    </row>
    <row r="154" ht="30.0" customHeight="1">
      <c r="B154" s="140" t="str">
        <f>Diciembre!MonthName&amp;" Total"</f>
        <v>Diciembre Total</v>
      </c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1"/>
    </row>
    <row r="155" ht="30.0" customHeight="1">
      <c r="B155" s="14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34"/>
    </row>
    <row r="156" ht="30.0" customHeight="1">
      <c r="B156" s="38" t="s">
        <v>468</v>
      </c>
      <c r="C156" s="101" t="s">
        <v>346</v>
      </c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8"/>
      <c r="AH156" s="131"/>
    </row>
    <row r="157" ht="30.0" customHeight="1">
      <c r="B157" s="32"/>
      <c r="C157" s="162" t="s">
        <v>364</v>
      </c>
      <c r="D157" s="162" t="s">
        <v>365</v>
      </c>
      <c r="E157" s="133" t="str">
        <f>TEXT(WEEKDAY(DATE(CalendarioAño,8,6),1),"ddd")</f>
        <v>mié</v>
      </c>
      <c r="F157" s="133" t="str">
        <f>TEXT(WEEKDAY(DATE(CalendarioAño,8,7),1),"ddd")</f>
        <v>jue</v>
      </c>
      <c r="G157" s="162" t="s">
        <v>366</v>
      </c>
      <c r="H157" s="133" t="str">
        <f>TEXT(WEEKDAY(DATE(CalendarioAño,8,9),1),"ddd")</f>
        <v>sáb</v>
      </c>
      <c r="I157" s="162" t="s">
        <v>367</v>
      </c>
      <c r="J157" s="162" t="s">
        <v>364</v>
      </c>
      <c r="K157" s="162" t="s">
        <v>365</v>
      </c>
      <c r="L157" s="133" t="str">
        <f>TEXT(WEEKDAY(DATE(CalendarioAño,8,6),1),"ddd")</f>
        <v>mié</v>
      </c>
      <c r="M157" s="133" t="str">
        <f>TEXT(WEEKDAY(DATE(CalendarioAño,8,7),1),"ddd")</f>
        <v>jue</v>
      </c>
      <c r="N157" s="162" t="s">
        <v>366</v>
      </c>
      <c r="O157" s="133" t="str">
        <f>TEXT(WEEKDAY(DATE(CalendarioAño,8,9),1),"ddd")</f>
        <v>sáb</v>
      </c>
      <c r="P157" s="162" t="s">
        <v>367</v>
      </c>
      <c r="Q157" s="162" t="s">
        <v>364</v>
      </c>
      <c r="R157" s="162" t="s">
        <v>365</v>
      </c>
      <c r="S157" s="133" t="str">
        <f>TEXT(WEEKDAY(DATE(CalendarioAño,8,6),1),"ddd")</f>
        <v>mié</v>
      </c>
      <c r="T157" s="133" t="str">
        <f>TEXT(WEEKDAY(DATE(CalendarioAño,8,7),1),"ddd")</f>
        <v>jue</v>
      </c>
      <c r="U157" s="162" t="s">
        <v>366</v>
      </c>
      <c r="V157" s="133" t="str">
        <f>TEXT(WEEKDAY(DATE(CalendarioAño,8,9),1),"ddd")</f>
        <v>sáb</v>
      </c>
      <c r="W157" s="162" t="s">
        <v>367</v>
      </c>
      <c r="X157" s="162" t="s">
        <v>364</v>
      </c>
      <c r="Y157" s="162" t="s">
        <v>365</v>
      </c>
      <c r="Z157" s="133" t="str">
        <f>TEXT(WEEKDAY(DATE(CalendarioAño,8,6),1),"ddd")</f>
        <v>mié</v>
      </c>
      <c r="AA157" s="133" t="str">
        <f>TEXT(WEEKDAY(DATE(CalendarioAño,8,7),1),"ddd")</f>
        <v>jue</v>
      </c>
      <c r="AB157" s="162" t="s">
        <v>366</v>
      </c>
      <c r="AC157" s="133" t="str">
        <f>TEXT(WEEKDAY(DATE(CalendarioAño,8,9),1),"ddd")</f>
        <v>sáb</v>
      </c>
      <c r="AD157" s="162" t="s">
        <v>367</v>
      </c>
      <c r="AE157" s="162" t="s">
        <v>364</v>
      </c>
      <c r="AF157" s="162" t="s">
        <v>365</v>
      </c>
      <c r="AG157" s="162"/>
      <c r="AH157" s="134"/>
    </row>
    <row r="158" ht="30.0" customHeight="1">
      <c r="A158" s="115"/>
      <c r="B158" s="116" t="s">
        <v>202</v>
      </c>
      <c r="C158" s="117" t="s">
        <v>15</v>
      </c>
      <c r="D158" s="117" t="s">
        <v>16</v>
      </c>
      <c r="E158" s="117" t="s">
        <v>17</v>
      </c>
      <c r="F158" s="117" t="s">
        <v>18</v>
      </c>
      <c r="G158" s="117" t="s">
        <v>19</v>
      </c>
      <c r="H158" s="117" t="s">
        <v>20</v>
      </c>
      <c r="I158" s="117" t="s">
        <v>21</v>
      </c>
      <c r="J158" s="117" t="s">
        <v>22</v>
      </c>
      <c r="K158" s="117" t="s">
        <v>23</v>
      </c>
      <c r="L158" s="117" t="s">
        <v>24</v>
      </c>
      <c r="M158" s="117" t="s">
        <v>25</v>
      </c>
      <c r="N158" s="117" t="s">
        <v>26</v>
      </c>
      <c r="O158" s="117" t="s">
        <v>27</v>
      </c>
      <c r="P158" s="117" t="s">
        <v>28</v>
      </c>
      <c r="Q158" s="117" t="s">
        <v>29</v>
      </c>
      <c r="R158" s="117" t="s">
        <v>30</v>
      </c>
      <c r="S158" s="117" t="s">
        <v>31</v>
      </c>
      <c r="T158" s="117" t="s">
        <v>32</v>
      </c>
      <c r="U158" s="117" t="s">
        <v>33</v>
      </c>
      <c r="V158" s="117" t="s">
        <v>34</v>
      </c>
      <c r="W158" s="117" t="s">
        <v>35</v>
      </c>
      <c r="X158" s="117" t="s">
        <v>36</v>
      </c>
      <c r="Y158" s="117" t="s">
        <v>37</v>
      </c>
      <c r="Z158" s="117" t="s">
        <v>38</v>
      </c>
      <c r="AA158" s="117" t="s">
        <v>39</v>
      </c>
      <c r="AB158" s="117" t="s">
        <v>40</v>
      </c>
      <c r="AC158" s="117" t="s">
        <v>41</v>
      </c>
      <c r="AD158" s="117" t="s">
        <v>42</v>
      </c>
      <c r="AE158" s="117" t="s">
        <v>43</v>
      </c>
      <c r="AF158" s="117" t="s">
        <v>44</v>
      </c>
      <c r="AG158" s="117"/>
      <c r="AH158" s="131"/>
    </row>
    <row r="159" ht="30.0" customHeight="1">
      <c r="B159" s="132" t="s">
        <v>385</v>
      </c>
      <c r="C159" s="133"/>
      <c r="D159" s="10" t="s">
        <v>6</v>
      </c>
      <c r="E159" s="133"/>
      <c r="F159" s="10" t="s">
        <v>6</v>
      </c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28"/>
    </row>
    <row r="160" ht="30.0" customHeight="1">
      <c r="B160" s="12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1"/>
    </row>
    <row r="161" ht="30.0" customHeight="1">
      <c r="B161" s="152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4"/>
    </row>
    <row r="162" ht="30.0" customHeight="1">
      <c r="B162" s="136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1"/>
    </row>
    <row r="163" ht="30.0" customHeight="1">
      <c r="B163" s="152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4"/>
    </row>
    <row r="164" ht="30.0" customHeight="1">
      <c r="B164" s="140" t="str">
        <f>Diciembre!MonthName&amp;" Total"</f>
        <v>Diciembre Total</v>
      </c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1"/>
    </row>
    <row r="165" ht="30.0" customHeight="1">
      <c r="B165" s="136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4"/>
    </row>
    <row r="166" ht="30.0" customHeight="1">
      <c r="B166" s="136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1"/>
    </row>
    <row r="167" ht="30.0" customHeight="1">
      <c r="B167" s="136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4"/>
    </row>
    <row r="168" ht="30.0" customHeight="1">
      <c r="B168" s="136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1"/>
    </row>
    <row r="169" ht="30.0" customHeight="1">
      <c r="B169" s="136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4"/>
    </row>
    <row r="170" ht="30.0" customHeight="1">
      <c r="B170" s="136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1"/>
    </row>
    <row r="171" ht="30.0" customHeight="1">
      <c r="B171" s="136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4"/>
    </row>
    <row r="172" ht="30.0" customHeight="1">
      <c r="B172" s="136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1"/>
    </row>
    <row r="173" ht="30.0" customHeight="1">
      <c r="B173" s="136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4"/>
    </row>
    <row r="174" ht="30.0" customHeight="1">
      <c r="B174" s="140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53"/>
    </row>
    <row r="175" ht="30.0" customHeight="1"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</row>
    <row r="176" ht="30.0" customHeight="1">
      <c r="B176" s="155"/>
      <c r="C176" s="156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156"/>
      <c r="AH176" s="32"/>
    </row>
    <row r="177" ht="30.0" customHeight="1">
      <c r="B177" s="155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32"/>
    </row>
    <row r="178" ht="30.0" customHeight="1">
      <c r="B178" s="157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58"/>
    </row>
    <row r="179" ht="30.0" customHeight="1">
      <c r="B179" s="136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25"/>
    </row>
    <row r="180" ht="30.0" customHeight="1">
      <c r="B180" s="136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25"/>
    </row>
    <row r="181" ht="30.0" customHeight="1">
      <c r="B181" s="136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25"/>
    </row>
    <row r="182" ht="30.0" customHeight="1">
      <c r="B182" s="136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25"/>
    </row>
    <row r="183" ht="30.0" customHeight="1">
      <c r="B183" s="136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25"/>
    </row>
    <row r="184" ht="30.0" customHeight="1">
      <c r="B184" s="136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25"/>
    </row>
    <row r="185" ht="30.0" customHeight="1">
      <c r="B185" s="140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27"/>
    </row>
    <row r="186" ht="30.0" customHeight="1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</row>
    <row r="187" ht="30.0" customHeight="1">
      <c r="B187" s="155"/>
      <c r="C187" s="156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156"/>
      <c r="AH187" s="32"/>
    </row>
    <row r="188" ht="30.0" customHeight="1">
      <c r="B188" s="155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32"/>
    </row>
    <row r="189" ht="30.0" customHeight="1">
      <c r="B189" s="157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58"/>
    </row>
    <row r="190" ht="30.0" customHeight="1">
      <c r="B190" s="136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25"/>
    </row>
    <row r="191" ht="30.0" customHeight="1">
      <c r="B191" s="136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25"/>
    </row>
    <row r="192" ht="30.0" customHeight="1">
      <c r="B192" s="136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25"/>
    </row>
    <row r="193" ht="30.0" customHeight="1">
      <c r="B193" s="136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25"/>
    </row>
    <row r="194" ht="30.0" customHeight="1">
      <c r="B194" s="136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25"/>
    </row>
    <row r="195" ht="30.0" customHeight="1">
      <c r="B195" s="140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27"/>
    </row>
    <row r="196" ht="30.0" customHeight="1"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</row>
    <row r="197" ht="30.0" customHeight="1">
      <c r="B197" s="155"/>
      <c r="C197" s="156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156"/>
      <c r="AH197" s="32"/>
    </row>
    <row r="198" ht="30.0" customHeight="1">
      <c r="B198" s="155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32"/>
    </row>
    <row r="199" ht="30.0" customHeight="1">
      <c r="B199" s="157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58"/>
    </row>
    <row r="200" ht="30.0" customHeight="1">
      <c r="B200" s="136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25"/>
    </row>
    <row r="201" ht="30.0" customHeight="1">
      <c r="B201" s="136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25"/>
    </row>
    <row r="202" ht="30.0" customHeight="1">
      <c r="B202" s="136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25"/>
    </row>
    <row r="203" ht="30.0" customHeight="1">
      <c r="B203" s="136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25"/>
    </row>
    <row r="204" ht="30.0" customHeight="1">
      <c r="B204" s="136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25"/>
    </row>
    <row r="205" ht="30.0" customHeight="1">
      <c r="B205" s="140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27"/>
    </row>
    <row r="206" ht="30.0" customHeight="1"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</row>
    <row r="207" ht="30.0" customHeight="1">
      <c r="B207" s="155"/>
      <c r="C207" s="156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156"/>
      <c r="AH207" s="32"/>
    </row>
    <row r="208" ht="30.0" customHeight="1">
      <c r="B208" s="155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32"/>
    </row>
    <row r="209" ht="30.0" customHeight="1">
      <c r="B209" s="157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58"/>
    </row>
    <row r="210" ht="30.0" customHeight="1">
      <c r="B210" s="136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25"/>
    </row>
    <row r="211" ht="30.0" customHeight="1">
      <c r="B211" s="136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25"/>
    </row>
    <row r="212" ht="30.0" customHeight="1">
      <c r="B212" s="136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25"/>
    </row>
    <row r="213" ht="30.0" customHeight="1">
      <c r="B213" s="136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25"/>
    </row>
    <row r="214" ht="30.0" customHeight="1">
      <c r="B214" s="136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25"/>
    </row>
    <row r="215" ht="30.0" customHeight="1">
      <c r="B215" s="140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27"/>
    </row>
    <row r="216" ht="30.0" customHeight="1"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</row>
    <row r="217" ht="30.0" customHeight="1"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</row>
    <row r="218" ht="30.0" customHeight="1"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</row>
    <row r="219" ht="30.0" customHeight="1"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</row>
    <row r="220" ht="30.0" customHeight="1"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</row>
    <row r="221" ht="30.0" customHeight="1"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</row>
    <row r="222" ht="30.0" customHeight="1"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</row>
    <row r="223" ht="30.0" customHeight="1"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</row>
    <row r="224" ht="30.0" customHeight="1"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</row>
    <row r="225" ht="30.0" customHeight="1"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</row>
    <row r="226" ht="30.0" customHeight="1"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</row>
    <row r="227" ht="30.0" customHeight="1"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</row>
    <row r="228" ht="30.0" customHeight="1"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</row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  <row r="1003" ht="30.0" customHeight="1"/>
    <row r="1004" ht="30.0" customHeight="1"/>
    <row r="1005" ht="30.0" customHeight="1"/>
    <row r="1006" ht="30.0" customHeight="1"/>
    <row r="1007" ht="30.0" customHeight="1"/>
    <row r="1008" ht="30.0" customHeight="1"/>
    <row r="1009" ht="30.0" customHeight="1"/>
    <row r="1010" ht="30.0" customHeight="1"/>
    <row r="1011" ht="30.0" customHeight="1"/>
    <row r="1012" ht="30.0" customHeight="1"/>
    <row r="1013" ht="30.0" customHeight="1"/>
    <row r="1014" ht="30.0" customHeight="1"/>
    <row r="1015" ht="30.0" customHeight="1"/>
    <row r="1016" ht="30.0" customHeight="1"/>
    <row r="1017" ht="30.0" customHeight="1"/>
    <row r="1018" ht="30.0" customHeight="1"/>
    <row r="1019" ht="30.0" customHeight="1"/>
    <row r="1020" ht="30.0" customHeight="1"/>
    <row r="1021" ht="30.0" customHeight="1"/>
    <row r="1022" ht="30.0" customHeight="1"/>
    <row r="1023" ht="30.0" customHeight="1"/>
    <row r="1024" ht="30.0" customHeight="1"/>
    <row r="1025" ht="30.0" customHeight="1"/>
    <row r="1026" ht="30.0" customHeight="1"/>
    <row r="1027" ht="30.0" customHeight="1"/>
    <row r="1028" ht="30.0" customHeight="1"/>
    <row r="1029" ht="30.0" customHeight="1"/>
    <row r="1030" ht="30.0" customHeight="1"/>
    <row r="1031" ht="30.0" customHeight="1"/>
    <row r="1032" ht="30.0" customHeight="1"/>
    <row r="1033" ht="30.0" customHeight="1"/>
    <row r="1034" ht="30.0" customHeight="1"/>
    <row r="1035" ht="30.0" customHeight="1"/>
    <row r="1036" ht="30.0" customHeight="1"/>
    <row r="1037" ht="30.0" customHeight="1"/>
    <row r="1038" ht="30.0" customHeight="1"/>
    <row r="1039" ht="30.0" customHeight="1"/>
    <row r="1040" ht="30.0" customHeight="1"/>
    <row r="1041" ht="30.0" customHeight="1"/>
    <row r="1042" ht="30.0" customHeight="1"/>
    <row r="1043" ht="30.0" customHeight="1"/>
    <row r="1044" ht="30.0" customHeight="1"/>
    <row r="1045" ht="30.0" customHeight="1"/>
    <row r="1046" ht="30.0" customHeight="1"/>
    <row r="1047" ht="30.0" customHeight="1"/>
    <row r="1048" ht="30.0" customHeight="1"/>
    <row r="1049" ht="30.0" customHeight="1"/>
    <row r="1050" ht="30.0" customHeight="1"/>
    <row r="1051" ht="30.0" customHeight="1"/>
    <row r="1052" ht="30.0" customHeight="1"/>
    <row r="1053" ht="30.0" customHeight="1"/>
    <row r="1054" ht="30.0" customHeight="1"/>
    <row r="1055" ht="30.0" customHeight="1"/>
    <row r="1056" ht="30.0" customHeight="1"/>
    <row r="1057" ht="30.0" customHeight="1"/>
    <row r="1058" ht="30.0" customHeight="1"/>
    <row r="1059" ht="30.0" customHeight="1"/>
    <row r="1060" ht="30.0" customHeight="1"/>
    <row r="1061" ht="30.0" customHeight="1"/>
    <row r="1062" ht="30.0" customHeight="1"/>
    <row r="1063" ht="30.0" customHeight="1"/>
    <row r="1064" ht="30.0" customHeight="1"/>
    <row r="1065" ht="30.0" customHeight="1"/>
    <row r="1066" ht="30.0" customHeight="1"/>
    <row r="1067" ht="30.0" customHeight="1"/>
    <row r="1068" ht="30.0" customHeight="1"/>
    <row r="1069" ht="30.0" customHeight="1"/>
    <row r="1070" ht="30.0" customHeight="1"/>
    <row r="1071" ht="30.0" customHeight="1"/>
    <row r="1072" ht="30.0" customHeight="1"/>
    <row r="1073" ht="30.0" customHeight="1"/>
    <row r="1074" ht="30.0" customHeight="1"/>
    <row r="1075" ht="30.0" customHeight="1"/>
    <row r="1076" ht="30.0" customHeight="1"/>
    <row r="1077" ht="30.0" customHeight="1"/>
    <row r="1078" ht="30.0" customHeight="1"/>
    <row r="1079" ht="30.0" customHeight="1"/>
    <row r="1080" ht="30.0" customHeight="1"/>
    <row r="1081" ht="30.0" customHeight="1"/>
    <row r="1082" ht="30.0" customHeight="1"/>
    <row r="1083" ht="30.0" customHeight="1"/>
    <row r="1084" ht="30.0" customHeight="1"/>
    <row r="1085" ht="30.0" customHeight="1"/>
    <row r="1086" ht="30.0" customHeight="1"/>
    <row r="1087" ht="30.0" customHeight="1"/>
    <row r="1088" ht="30.0" customHeight="1"/>
    <row r="1089" ht="30.0" customHeight="1"/>
    <row r="1090" ht="30.0" customHeight="1"/>
    <row r="1091" ht="30.0" customHeight="1"/>
    <row r="1092" ht="30.0" customHeight="1"/>
    <row r="1093" ht="30.0" customHeight="1"/>
    <row r="1094" ht="30.0" customHeight="1"/>
    <row r="1095" ht="30.0" customHeight="1"/>
    <row r="1096" ht="30.0" customHeight="1"/>
    <row r="1097" ht="30.0" customHeight="1"/>
    <row r="1098" ht="30.0" customHeight="1"/>
    <row r="1099" ht="30.0" customHeight="1"/>
    <row r="1100" ht="30.0" customHeight="1"/>
    <row r="1101" ht="30.0" customHeight="1"/>
    <row r="1102" ht="30.0" customHeight="1"/>
    <row r="1103" ht="30.0" customHeight="1"/>
    <row r="1104" ht="30.0" customHeight="1"/>
    <row r="1105" ht="30.0" customHeight="1"/>
    <row r="1106" ht="30.0" customHeight="1"/>
    <row r="1107" ht="30.0" customHeight="1"/>
    <row r="1108" ht="30.0" customHeight="1"/>
    <row r="1109" ht="30.0" customHeight="1"/>
    <row r="1110" ht="30.0" customHeight="1"/>
    <row r="1111" ht="30.0" customHeight="1"/>
    <row r="1112" ht="30.0" customHeight="1"/>
    <row r="1113" ht="30.0" customHeight="1"/>
    <row r="1114" ht="30.0" customHeight="1"/>
    <row r="1115" ht="30.0" customHeight="1"/>
    <row r="1116" ht="30.0" customHeight="1"/>
    <row r="1117" ht="30.0" customHeight="1"/>
    <row r="1118" ht="30.0" customHeight="1"/>
    <row r="1119" ht="30.0" customHeight="1"/>
    <row r="1120" ht="30.0" customHeight="1"/>
    <row r="1121" ht="30.0" customHeight="1"/>
    <row r="1122" ht="30.0" customHeight="1"/>
    <row r="1123" ht="30.0" customHeight="1"/>
    <row r="1124" ht="30.0" customHeight="1"/>
    <row r="1125" ht="30.0" customHeight="1"/>
    <row r="1126" ht="30.0" customHeight="1"/>
    <row r="1127" ht="30.0" customHeight="1"/>
    <row r="1128" ht="30.0" customHeight="1"/>
    <row r="1129" ht="30.0" customHeight="1"/>
    <row r="1130" ht="30.0" customHeight="1"/>
    <row r="1131" ht="30.0" customHeight="1"/>
    <row r="1132" ht="30.0" customHeight="1"/>
    <row r="1133" ht="30.0" customHeight="1"/>
  </sheetData>
  <mergeCells count="19">
    <mergeCell ref="B1:N1"/>
    <mergeCell ref="D2:F2"/>
    <mergeCell ref="H2:J2"/>
    <mergeCell ref="L2:N2"/>
    <mergeCell ref="P2:S2"/>
    <mergeCell ref="U2:X2"/>
    <mergeCell ref="C4:AF4"/>
    <mergeCell ref="C156:AF156"/>
    <mergeCell ref="C176:AF176"/>
    <mergeCell ref="C187:AF187"/>
    <mergeCell ref="C197:AF197"/>
    <mergeCell ref="C207:AF207"/>
    <mergeCell ref="C14:AF14"/>
    <mergeCell ref="C33:AF33"/>
    <mergeCell ref="C56:AF56"/>
    <mergeCell ref="C79:AF79"/>
    <mergeCell ref="C103:AF103"/>
    <mergeCell ref="C123:AF123"/>
    <mergeCell ref="C141:AF141"/>
  </mergeCells>
  <conditionalFormatting sqref="C7:AG12 C17:AG32 B21 B23 B25 C36:AG55 C59:AG78 C82:AG102 AH94:AH99 C106:AG122 AH107 AH109 AH111 AH113 AH115 C126:C139 D126:AG140 AH127 AH129 AH131 AH133 C144:AG155 AH145 AH147 AH149 C158:AG173 AH159 C179:AG184 C190:AG194 C200:AG204 C210:AG214">
    <cfRule type="expression" dxfId="5" priority="1" stopIfTrue="1">
      <formula>C7=""</formula>
    </cfRule>
  </conditionalFormatting>
  <dataValidations>
    <dataValidation type="list" allowBlank="1" showErrorMessage="1" sqref="B7:B11 B17:B30 B36:B52 B59:B76 B82:B99 B106:B120 B126:B137 B144:B151 B159:B163 B165:B173 B179:B184 B190:B192">
      <formula1>'Nombres de los alumnos '!$B$4:$B$1014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2016-12-06T04:52:27Z</dcterms:created>
  <dc:creator>wonmorettijimena@hotmail.com</dc:creator>
</cp:coreProperties>
</file>