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17.xml"/>
  <Override ContentType="application/vnd.openxmlformats-officedocument.spreadsheetml.table+xml" PartName="/xl/tables/table59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15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120.xml"/>
  <Override ContentType="application/vnd.openxmlformats-officedocument.spreadsheetml.table+xml" PartName="/xl/tables/table16.xml"/>
  <Override ContentType="application/vnd.openxmlformats-officedocument.spreadsheetml.table+xml" PartName="/xl/tables/table77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112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11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10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18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78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7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71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111.xml"/>
  <Override ContentType="application/vnd.openxmlformats-officedocument.spreadsheetml.table+xml" PartName="/xl/tables/table3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90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4"/>
    <sheet state="visible" name="Febrero" sheetId="2" r:id="rId5"/>
    <sheet state="visible" name="Nombres de los alumnos " sheetId="3" r:id="rId6"/>
    <sheet state="visible" name="Marzo" sheetId="4" r:id="rId7"/>
    <sheet state="visible" name="Abril" sheetId="5" r:id="rId8"/>
    <sheet state="visible" name="Mayo" sheetId="6" r:id="rId9"/>
    <sheet state="visible" name="Junio" sheetId="7" r:id="rId10"/>
    <sheet state="visible" name="Julio" sheetId="8" r:id="rId11"/>
    <sheet state="visible" name="Agosto" sheetId="9" r:id="rId12"/>
    <sheet state="visible" name="Setiembre" sheetId="10" r:id="rId13"/>
    <sheet state="visible" name="Octubre" sheetId="11" r:id="rId14"/>
    <sheet state="visible" name="Noviembre" sheetId="12" r:id="rId15"/>
    <sheet state="visible" name="Diciembre" sheetId="13" r:id="rId16"/>
  </sheets>
  <definedNames>
    <definedName name="ColumnTitle13">EmployeeName[[#Headers],[ALUMNOS ]]</definedName>
    <definedName name="Titulo1">Enero[[#Headers],[NOMBRE  Y APELLIDO]]</definedName>
    <definedName name="Titulo10">Octubre[[#Headers],[Nombre del empleado]]</definedName>
    <definedName name="Titulo11">Noviembre[[#Headers],[Nombre del empleado]]</definedName>
    <definedName name="Titulo12">Diciembre[[#Headers],[Nombre del empleado]]</definedName>
    <definedName name="Titulo2">Febrero[[#Headers],[NOMBRE Y APELLIDOS]]</definedName>
    <definedName name="Titulo3">Marzo[[#Headers],[Nombre del empleado]]</definedName>
    <definedName name="Titulo4">Abril[[#Headers],[Nombre del empleado]]</definedName>
    <definedName name="Titulo5">Mayo[[#Headers],[Nombre del empleado]]</definedName>
    <definedName name="Titulo6">Junio[[#Headers],[Nombre del empleado]]</definedName>
    <definedName name="Titulo7">Julio[[#Headers],[Nombre del empleado]]</definedName>
    <definedName name="Titulo8">Agosto[[#Headers],[Nombre del empleado]]</definedName>
    <definedName name="Titulo9">Septiembre[[#Headers],[Nombre del empleado]]</definedName>
    <definedName localSheetId="9" name="KeySick">Setiembre!$K$2</definedName>
    <definedName localSheetId="6" name="KeyVacationLabel">Junio!$D$2</definedName>
    <definedName localSheetId="10" name="MonthName">Octubre!$B$4</definedName>
    <definedName localSheetId="4" name="KeyPersonalLabel">Abril!$H$2</definedName>
    <definedName localSheetId="4" name="CalendarioAño">Abril!$AG$4</definedName>
    <definedName localSheetId="10" name="Key_name">Octubre!$B$2</definedName>
    <definedName localSheetId="10" name="KeyVacation">Octubre!$C$2</definedName>
    <definedName localSheetId="1" name="KeyVacationLabel">Febrero!$D$2</definedName>
    <definedName localSheetId="4" name="MonthName">Abril!$B$4</definedName>
    <definedName localSheetId="7" name="KeyVacationLabel">Julio!$D$2</definedName>
    <definedName localSheetId="10" name="CalendarioAño">Octubre!$AH$4</definedName>
    <definedName localSheetId="7" name="Employee_Absence_Title">Julio!$B$1</definedName>
    <definedName localSheetId="5" name="KeyCustom1Label">Mayo!$P$2</definedName>
    <definedName localSheetId="3" name="KeyPersonalLabel">Marzo!$H$2</definedName>
    <definedName localSheetId="10" name="KeyVacationLabel">Octubre!$D$2</definedName>
    <definedName localSheetId="3" name="KeyVacationLabel">Marzo!$D$2</definedName>
    <definedName localSheetId="11" name="CalendarioAño">Noviembre!$AH$4</definedName>
    <definedName localSheetId="1" name="KeyPersonalLabel">Febrero!$H$2</definedName>
    <definedName localSheetId="7" name="KeySickLabel">Julio!$L$2</definedName>
    <definedName localSheetId="9" name="KeyVacation">Setiembre!$C$2</definedName>
    <definedName localSheetId="3" name="KeySickLabel">Marzo!$L$2</definedName>
    <definedName localSheetId="6" name="CalendarioAño">Junio!$AH$4</definedName>
    <definedName localSheetId="1" name="CalendarioAño">Febrero!$AD$4</definedName>
    <definedName localSheetId="8" name="KeyCustom1">Agosto!$O$2</definedName>
    <definedName localSheetId="10" name="KeySickLabel">Octubre!$L$2</definedName>
    <definedName localSheetId="0" name="KeySickLabel">Enero!$L$2</definedName>
    <definedName localSheetId="6" name="KeyPersonalLabel">Junio!$H$2</definedName>
    <definedName localSheetId="3" name="KeyCustom2">Marzo!$T$2</definedName>
    <definedName localSheetId="11" name="KeyPersonalLabel">Noviembre!$H$2</definedName>
    <definedName name="KeyCustom1">#REF!</definedName>
    <definedName localSheetId="0" name="KeySick">Enero!$K$2</definedName>
    <definedName localSheetId="12" name="KeyPersonal">Diciembre!$G$2</definedName>
    <definedName localSheetId="12" name="KeyCustom1Label">Diciembre!$P$2</definedName>
    <definedName localSheetId="12" name="KeyCustom2Label">Diciembre!$U$2</definedName>
    <definedName localSheetId="12" name="KeySick">Diciembre!$K$2</definedName>
    <definedName localSheetId="1" name="KeyCustom1Label">Febrero!$P$2</definedName>
    <definedName localSheetId="5" name="KeyCustom2">Mayo!$T$2</definedName>
    <definedName localSheetId="5" name="KeyVacation">Mayo!$C$2</definedName>
    <definedName localSheetId="9" name="KeyPersonal">Setiembre!$G$2</definedName>
    <definedName name="Key_name">#REF!</definedName>
    <definedName localSheetId="8" name="KeyCustom1Label">Agosto!$P$2</definedName>
    <definedName localSheetId="12" name="KeyCustom1">Diciembre!$O$2</definedName>
    <definedName name="KeyPersonalLabel">#REF!</definedName>
    <definedName localSheetId="8" name="KeyCustom2">Agosto!$T$2</definedName>
    <definedName localSheetId="12" name="Employee_Absence_Title">Diciembre!$B$1</definedName>
    <definedName localSheetId="6" name="KeyVacation">Junio!$C$2</definedName>
    <definedName localSheetId="4" name="KeyVacationLabel">Abril!$D$2</definedName>
    <definedName localSheetId="8" name="KeyVacation">Agosto!$C$2</definedName>
    <definedName localSheetId="9" name="KeyCustom2Label">Setiembre!$U$2</definedName>
    <definedName localSheetId="5" name="KeyPersonal">Mayo!$G$2</definedName>
    <definedName localSheetId="3" name="KeyPersonal">Marzo!$G$2</definedName>
    <definedName localSheetId="7" name="KeyPersonal">Julio!$G$2</definedName>
    <definedName localSheetId="8" name="CalendarioAño">Agosto!$AH$4</definedName>
    <definedName localSheetId="9" name="KeySickLabel">Setiembre!$L$2</definedName>
    <definedName localSheetId="9" name="Employee_Absence_Title">Setiembre!$B$1</definedName>
    <definedName name="KeySickLabel">#REF!</definedName>
    <definedName localSheetId="8" name="KeyPersonal">Agosto!$G$2</definedName>
    <definedName localSheetId="4" name="KeyCustom2">Abril!$T$2</definedName>
    <definedName localSheetId="1" name="Key_name">Febrero!$B$2</definedName>
    <definedName localSheetId="10" name="KeyPersonalLabel">Octubre!$H$2</definedName>
    <definedName localSheetId="5" name="KeySick">Mayo!$K$2</definedName>
    <definedName localSheetId="8" name="KeyVacationLabel">Agosto!$D$2</definedName>
    <definedName name="KeyVacation">#REF!</definedName>
    <definedName localSheetId="5" name="KeyCustom1">Mayo!$O$2</definedName>
    <definedName localSheetId="5" name="KeySickLabel">Mayo!$L$2</definedName>
    <definedName localSheetId="0" name="KeyPersonalLabel">Enero!$H$2</definedName>
    <definedName localSheetId="8" name="MonthName">Agosto!$B$4</definedName>
    <definedName localSheetId="1" name="KeyCustom1">Febrero!$O$2</definedName>
    <definedName localSheetId="7" name="KeySick">Julio!$K$2</definedName>
    <definedName localSheetId="5" name="KeyCustom2Label">Mayo!$U$2</definedName>
    <definedName localSheetId="1" name="MonthName">Febrero!$B$4</definedName>
    <definedName localSheetId="6" name="KeyCustom1">Junio!$O$2</definedName>
    <definedName localSheetId="4" name="KeyCustom1Label">Abril!$P$2</definedName>
    <definedName localSheetId="9" name="KeyPersonalLabel">Setiembre!$H$2</definedName>
    <definedName localSheetId="3" name="KeySick">Marzo!$K$2</definedName>
    <definedName localSheetId="3" name="MonthName">Marzo!$B$4</definedName>
    <definedName localSheetId="0" name="KeyCustom1">Enero!$O$2</definedName>
    <definedName localSheetId="5" name="Employee_Absence_Title">Mayo!$B$1</definedName>
    <definedName name="KeyVacationLabel">#REF!</definedName>
    <definedName localSheetId="11" name="KeyCustom1">Noviembre!$O$2</definedName>
    <definedName localSheetId="12" name="KeyPersonalLabel">Diciembre!$H$2</definedName>
    <definedName localSheetId="3" name="KeyCustom1Label">Marzo!$P$2</definedName>
    <definedName localSheetId="7" name="KeyCustom1">Julio!$O$2</definedName>
    <definedName localSheetId="7" name="Key_name">Julio!$B$2</definedName>
    <definedName localSheetId="7" name="KeyCustom2Label">Julio!$U$2</definedName>
    <definedName localSheetId="1" name="KeySickLabel">Febrero!$L$2</definedName>
    <definedName localSheetId="11" name="KeySick">Noviembre!$K$2</definedName>
    <definedName localSheetId="6" name="KeyCustom2">Junio!$T$2</definedName>
    <definedName localSheetId="11" name="KeySickLabel">Noviembre!$L$2</definedName>
    <definedName localSheetId="11" name="KeyPersonal">Noviembre!$G$2</definedName>
    <definedName localSheetId="12" name="Key_name">Diciembre!$B$2</definedName>
    <definedName localSheetId="5" name="MonthName">Mayo!$B$4</definedName>
    <definedName localSheetId="8" name="KeySickLabel">Agosto!$L$2</definedName>
    <definedName localSheetId="4" name="KeySickLabel">Abril!$L$2</definedName>
    <definedName name="KeyCustom1Label">#REF!</definedName>
    <definedName localSheetId="6" name="KeyCustom2Label">Junio!$U$2</definedName>
    <definedName localSheetId="11" name="Employee_Absence_Title">Noviembre!$B$1</definedName>
    <definedName localSheetId="7" name="KeyCustom1Label">Julio!$P$2</definedName>
    <definedName localSheetId="6" name="Employee_Absence_Title">Junio!$B$1</definedName>
    <definedName localSheetId="1" name="KeyVacation">Febrero!$C$2</definedName>
    <definedName localSheetId="4" name="KeySick">Abril!$K$2</definedName>
    <definedName localSheetId="0" name="KeyCustom1Label">Enero!$P$2</definedName>
    <definedName localSheetId="8" name="KeyPersonalLabel">Agosto!$H$2</definedName>
    <definedName localSheetId="3" name="KeyCustom2Label">Marzo!$U$2</definedName>
    <definedName localSheetId="6" name="KeyCustom1Label">Junio!$P$2</definedName>
    <definedName localSheetId="10" name="KeyCustom1">Octubre!$O$2</definedName>
    <definedName localSheetId="1" name="Employee_Absence_Title">Febrero!$B$1</definedName>
    <definedName name="Employee_Absence_Title">#REF!</definedName>
    <definedName localSheetId="12" name="KeyVacation">Diciembre!$C$2</definedName>
    <definedName localSheetId="8" name="KeySick">Agosto!$K$2</definedName>
    <definedName localSheetId="3" name="KeyVacation">Marzo!$C$2</definedName>
    <definedName localSheetId="12" name="KeySickLabel">Diciembre!$L$2</definedName>
    <definedName localSheetId="11" name="KeyCustom2Label">Noviembre!$U$2</definedName>
    <definedName localSheetId="5" name="KeyVacationLabel">Mayo!$D$2</definedName>
    <definedName localSheetId="7" name="KeyPersonalLabel">Julio!$H$2</definedName>
    <definedName localSheetId="10" name="Employee_Absence_Title">Octubre!$B$1</definedName>
    <definedName name="KeySick">#REF!</definedName>
    <definedName localSheetId="7" name="MonthName">Julio!$B$4</definedName>
    <definedName localSheetId="10" name="KeyCustom2Label">Octubre!$U$2</definedName>
    <definedName localSheetId="6" name="KeyPersonal">Junio!$G$2</definedName>
    <definedName localSheetId="4" name="KeyPersonal">Abril!$G$2</definedName>
    <definedName localSheetId="0" name="Key_name">Enero!$B$2</definedName>
    <definedName localSheetId="0" name="Employee_Absence_Title">Enero!$B$1</definedName>
    <definedName localSheetId="4" name="Key_name">Abril!$B$2</definedName>
    <definedName localSheetId="9" name="KeyCustom1Label">Setiembre!$P$2</definedName>
    <definedName localSheetId="12" name="KeyCustom2">Diciembre!$T$2</definedName>
    <definedName localSheetId="6" name="MonthName">Junio!$B$4</definedName>
    <definedName localSheetId="11" name="KeyCustom2">Noviembre!$T$2</definedName>
    <definedName localSheetId="12" name="CalendarioAño">Diciembre!$AH$4</definedName>
    <definedName localSheetId="7" name="KeyVacation">Julio!$C$2</definedName>
    <definedName localSheetId="1" name="KeyCustom2">Febrero!$T$2</definedName>
    <definedName localSheetId="6" name="KeySick">Junio!$K$2</definedName>
    <definedName localSheetId="11" name="KeyVacation">Noviembre!$C$2</definedName>
    <definedName localSheetId="4" name="Employee_Absence_Title">Abril!$B$1</definedName>
    <definedName localSheetId="11" name="MonthName">Noviembre!$B$4</definedName>
    <definedName localSheetId="4" name="KeyCustom1">Abril!$O$2</definedName>
    <definedName localSheetId="10" name="KeyCustom2">Octubre!$T$2</definedName>
    <definedName localSheetId="12" name="MonthName">Diciembre!$B$4</definedName>
    <definedName localSheetId="8" name="Key_name">Agosto!$B$2</definedName>
    <definedName localSheetId="1" name="KeyPersonal">Febrero!$G$2</definedName>
    <definedName localSheetId="0" name="CalendarioAño">Enero!$AH$4</definedName>
    <definedName localSheetId="4" name="KeyVacation">Abril!$C$2</definedName>
    <definedName localSheetId="9" name="KeyCustom1">Setiembre!$O$2</definedName>
    <definedName localSheetId="11" name="KeyCustom1Label">Noviembre!$P$2</definedName>
    <definedName localSheetId="4" name="KeyCustom2Label">Abril!$U$2</definedName>
    <definedName name="KeyCustom2Label">#REF!</definedName>
    <definedName localSheetId="12" name="KeyVacationLabel">Diciembre!$D$2</definedName>
    <definedName localSheetId="10" name="KeyPersonal">Octubre!$G$2</definedName>
    <definedName localSheetId="6" name="KeySickLabel">Junio!$L$2</definedName>
    <definedName localSheetId="0" name="KeyCustom2">Enero!$T$2</definedName>
    <definedName localSheetId="3" name="Employee_Absence_Title">Marzo!$B$1</definedName>
    <definedName localSheetId="9" name="KeyVacationLabel">Setiembre!$D$2</definedName>
    <definedName localSheetId="3" name="Key_name">Marzo!$B$2</definedName>
    <definedName localSheetId="0" name="KeyPersonal">Enero!$G$2</definedName>
    <definedName localSheetId="0" name="KeyCustom2Label">Enero!$U$2</definedName>
    <definedName localSheetId="6" name="Key_name">Junio!$B$2</definedName>
    <definedName localSheetId="5" name="KeyPersonalLabel">Mayo!$H$2</definedName>
    <definedName localSheetId="1" name="KeyCustom2Label">Febrero!$U$2</definedName>
    <definedName localSheetId="9" name="MonthName">Setiembre!$B$4</definedName>
    <definedName name="KeyPersonal">#REF!</definedName>
    <definedName name="KeyCustom2">#REF!</definedName>
    <definedName localSheetId="7" name="KeyCustom2">Julio!$T$2</definedName>
    <definedName localSheetId="11" name="KeyVacationLabel">Noviembre!$D$2</definedName>
    <definedName localSheetId="8" name="KeyCustom2Label">Agosto!$U$2</definedName>
    <definedName localSheetId="9" name="Key_name">Setiembre!$B$2</definedName>
    <definedName localSheetId="9" name="CalendarioAño">Setiembre!$AH$4</definedName>
    <definedName localSheetId="0" name="MonthName">Enero!$B$4</definedName>
    <definedName name="CalendarioAño">#REF!</definedName>
    <definedName localSheetId="10" name="KeyCustom1Label">Octubre!$P$2</definedName>
    <definedName localSheetId="10" name="KeySick">Octubre!$K$2</definedName>
    <definedName localSheetId="0" name="KeyVacation">Enero!$C$2</definedName>
    <definedName localSheetId="9" name="KeyCustom2">Setiembre!$T$2</definedName>
    <definedName localSheetId="5" name="Key_name">Mayo!$B$2</definedName>
    <definedName localSheetId="3" name="KeyCustom1">Marzo!$O$2</definedName>
    <definedName localSheetId="11" name="Key_name">Noviembre!$B$2</definedName>
    <definedName localSheetId="1" name="KeySick">Febrero!$K$2</definedName>
    <definedName localSheetId="7" name="CalendarioAño">Julio!$AH$4</definedName>
    <definedName localSheetId="3" name="CalendarioAño">Marzo!$AH$4</definedName>
    <definedName localSheetId="5" name="CalendarioAño">Mayo!$AH$4</definedName>
    <definedName localSheetId="8" name="Employee_Absence_Title">Agosto!$B$1</definedName>
    <definedName localSheetId="0" name="KeyVacationLabel">Enero!$D$2</definedName>
    <definedName hidden="1" localSheetId="2" name="_xlnm._FilterDatabase">'Nombres de los alumnos '!$B$3:$C$239</definedName>
  </definedNames>
  <calcPr/>
  <extLst>
    <ext uri="GoogleSheetsCustomDataVersion2">
      <go:sheetsCustomData xmlns:go="http://customooxmlschemas.google.com/" r:id="rId17" roundtripDataChecksum="cdlOupU5eopRVz8xiv+HuVzJ4CMJ0tNJjEuOYJfqFxE="/>
    </ext>
  </extLst>
</workbook>
</file>

<file path=xl/sharedStrings.xml><?xml version="1.0" encoding="utf-8"?>
<sst xmlns="http://schemas.openxmlformats.org/spreadsheetml/2006/main" count="6447" uniqueCount="296">
  <si>
    <t xml:space="preserve">ASISTENCIA DE ALUMNOS </t>
  </si>
  <si>
    <t xml:space="preserve">Claves de los tipos de Asistencia </t>
  </si>
  <si>
    <t>F</t>
  </si>
  <si>
    <t>FALTAS</t>
  </si>
  <si>
    <t>J</t>
  </si>
  <si>
    <t>JUSTIFICADA</t>
  </si>
  <si>
    <t>A</t>
  </si>
  <si>
    <t>ASISTENCIA</t>
  </si>
  <si>
    <t>R</t>
  </si>
  <si>
    <t>RECUPERACION</t>
  </si>
  <si>
    <t>E</t>
  </si>
  <si>
    <t xml:space="preserve">EVENTOS </t>
  </si>
  <si>
    <t>Enero</t>
  </si>
  <si>
    <t>MEGA SUPER BABY WOLF 3:00 PM/9:00 AM</t>
  </si>
  <si>
    <t>NOMBRE  Y APELLIDO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</si>
  <si>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</si>
  <si>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</si>
  <si>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</si>
  <si>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</si>
  <si>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</si>
  <si>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</si>
  <si>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</si>
  <si>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</si>
  <si>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</si>
  <si>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</si>
  <si>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</si>
  <si>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</si>
  <si>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</si>
  <si>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</si>
  <si>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</si>
  <si>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</si>
  <si>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</si>
  <si>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</si>
  <si>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</si>
  <si>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</si>
  <si>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</si>
  <si>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</si>
  <si>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</si>
  <si>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</si>
  <si>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</si>
  <si>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</si>
  <si>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</si>
  <si>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</si>
  <si>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</si>
  <si>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</si>
  <si>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</si>
  <si>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Número total de días</t>
  </si>
  <si>
    <t xml:space="preserve"> SUPER BABY WOLF 3:30 PM/9:30 AM</t>
  </si>
  <si>
    <t>RAFAEL ALEJANDRO LUYO ALVARADO</t>
  </si>
  <si>
    <t xml:space="preserve">OLIVIA GOÑES SERNA </t>
  </si>
  <si>
    <t>NOHA CASTILLO PRADO</t>
  </si>
  <si>
    <t xml:space="preserve">ANIA SILVA CHÁVEZ  </t>
  </si>
  <si>
    <t>ADRIANA CLAUDIA ALVARADO ALVAREZ</t>
  </si>
  <si>
    <t xml:space="preserve">ALESSIA VALENTINA ROJAS DÍAZ  </t>
  </si>
  <si>
    <t>JULEN EZEQUIEL GORAN RAMÍREZ MAQUERS</t>
  </si>
  <si>
    <t xml:space="preserve">ADRIEL RAZEK ALFARO HUAMANI </t>
  </si>
  <si>
    <t xml:space="preserve">VASCO ALEJANDRO QUEVEDO OROZ </t>
  </si>
  <si>
    <t xml:space="preserve">MATTHEW GAEL ORTIZ OLAYA  </t>
  </si>
  <si>
    <t>LUCIANA CELESTE BERNIS SAMAME</t>
  </si>
  <si>
    <t>ISSAC DARITH ALVARADO OLIVARES</t>
  </si>
  <si>
    <t xml:space="preserve">ALHANNA ATHENEA HUAMANI CORTIJO </t>
  </si>
  <si>
    <t>GABRIEL ANDRÉS CASTAÑEDA CÁCERES</t>
  </si>
  <si>
    <t xml:space="preserve">AARON ALESSANDRO INGA ARZAPALO </t>
  </si>
  <si>
    <t>JULIETA MALDONADO GUEVARA</t>
  </si>
  <si>
    <t>MARCELO SUAREZ FLORES</t>
  </si>
  <si>
    <t>ANTONELLA ZEA ESPINOZA</t>
  </si>
  <si>
    <t xml:space="preserve">MATT JESÚS AURES GUTIÉRREZ  </t>
  </si>
  <si>
    <t xml:space="preserve"> SUPER BABY WOLF 4:00 PM /10:00 AM</t>
  </si>
  <si>
    <t xml:space="preserve">ALEJANDRO JOAQUÍN TELLO SALAS   </t>
  </si>
  <si>
    <t>ETHAN LIAM EDUARDO CHICCHON APAZA</t>
  </si>
  <si>
    <t>ALBA CAYETANA YEPEZ VELIZ</t>
  </si>
  <si>
    <t xml:space="preserve">AITANA POLO MERCADO  </t>
  </si>
  <si>
    <t>ORLANDO GABRIEL BOCANEGRA RIVASPLATA</t>
  </si>
  <si>
    <t>RAFAEL ALESSANDRO ESPINOZA ROJAS</t>
  </si>
  <si>
    <t xml:space="preserve">DYLAN ESTEBAN CHACÓN RIVAS </t>
  </si>
  <si>
    <t>PIERO VALENTINO GONZALES NÚÑEZ</t>
  </si>
  <si>
    <t>ISAO NICOLÁS HIGA FARÍAS</t>
  </si>
  <si>
    <t>SOPHFIA QUISPE GÓMEZ</t>
  </si>
  <si>
    <t>LEANDRO GIOVANNI MONTERO CARCAMO</t>
  </si>
  <si>
    <t>MATHIAS RODOLFO CARDENAS SULCARAY</t>
  </si>
  <si>
    <t>RODRIGO CHRISTIAN MORALES TARAZONA</t>
  </si>
  <si>
    <t>DARIEL MATHIAS VALDEZ CAMPOS</t>
  </si>
  <si>
    <t>BENJAMIN QUISPE HUAPAYA</t>
  </si>
  <si>
    <t xml:space="preserve">MARÍA FERNANDA ELERA REY </t>
  </si>
  <si>
    <t>EMILIA MARCELA FONSECA SALAZAR</t>
  </si>
  <si>
    <t>SEBASTIAN VERASTEGUI</t>
  </si>
  <si>
    <t>LAIA THAIS JARA PAREDES</t>
  </si>
  <si>
    <t>JULIAN BENJAMIN CUEVA LOAYZA</t>
  </si>
  <si>
    <t>MATEO CHAUCA</t>
  </si>
  <si>
    <t xml:space="preserve"> BABY WOLF 4:30 PM/10:30</t>
  </si>
  <si>
    <t>SOPHIA KAI DÁVILA GUZMÁN</t>
  </si>
  <si>
    <t>SANTIAGO ALONSO FERNÁNDEZ DÍAZ</t>
  </si>
  <si>
    <t xml:space="preserve">SANTHIAGO ALEXANDEE AGUSTÍN SILENCIO </t>
  </si>
  <si>
    <t xml:space="preserve">SALVADOR LARCO VERGAS </t>
  </si>
  <si>
    <t>ALEC REYES KROLL</t>
  </si>
  <si>
    <t>MATTEO AUGUSTO RIVAS MERINO</t>
  </si>
  <si>
    <t xml:space="preserve">GABRIELA ISABELLA ROJAS LAZO  </t>
  </si>
  <si>
    <t xml:space="preserve">SOFÍA NICOLLE LUCENA COMPOS  </t>
  </si>
  <si>
    <t>HARRY VINCENT LANDEO LUCAS</t>
  </si>
  <si>
    <t>AITANA SOSA QUIROZ</t>
  </si>
  <si>
    <t>MARTIN HOLGADO PAZ</t>
  </si>
  <si>
    <t>NICOLAS ORDONEZ NORIEDA</t>
  </si>
  <si>
    <t>AIDAN LIAM ANTONIO SEGURA IBARRA</t>
  </si>
  <si>
    <t>EMANUEL DAVID RIVAS PAETAN</t>
  </si>
  <si>
    <t>LUCIO VINCENZO MOSQUERA ANGELES</t>
  </si>
  <si>
    <t>MAURICIO STEFANO VILLANUEVA MONTAYA</t>
  </si>
  <si>
    <t>DARA CASSANA CIURLIZZA</t>
  </si>
  <si>
    <t>MARIANA MONTEZA VALENTINA</t>
  </si>
  <si>
    <t>FERNANDA SOLES</t>
  </si>
  <si>
    <t>LUKA DEREK HUAMAN CASAS</t>
  </si>
  <si>
    <t xml:space="preserve">FRANCO SALSARRIAGA EZETA   </t>
  </si>
  <si>
    <t>NOAH AGUILERA LUYO</t>
  </si>
  <si>
    <t xml:space="preserve">LUA GIANELLA RODRIGUEZ CASTRO </t>
  </si>
  <si>
    <t>DANAE</t>
  </si>
  <si>
    <t>VILMA GEORGINA PUMA ESTRADA</t>
  </si>
  <si>
    <t>LEAH GARCIA QUIÑONES</t>
  </si>
  <si>
    <t>SOFÍA AMAIA ALARCÓN VILCHEZ</t>
  </si>
  <si>
    <t>FABRIZIO MIGUEL ASTORGA CASTRO</t>
  </si>
  <si>
    <t xml:space="preserve">  BABY WOLF 5:00 PM/11:00 AM </t>
  </si>
  <si>
    <t>BRUNO SEBASTIÁN VIGIL PAREDES</t>
  </si>
  <si>
    <t xml:space="preserve">GIACOMO REM ROBLES ESCUDERO  </t>
  </si>
  <si>
    <t xml:space="preserve">CARLOS ALBERTO FERNÁNDEZ ABAD  </t>
  </si>
  <si>
    <t xml:space="preserve">SANTIAGO ALVA MACCIAVELLO   </t>
  </si>
  <si>
    <t xml:space="preserve">ÚRSULA JULIETA DÍAZ ORTIZ  </t>
  </si>
  <si>
    <t>CAMILA MAUREEN GARCIA VEGA</t>
  </si>
  <si>
    <t>RAFAEL TERRIBLE</t>
  </si>
  <si>
    <t xml:space="preserve">ALESSIA FÁTIMA LASAPONARA RUIZ  </t>
  </si>
  <si>
    <t>SERGIO JEREMY AGUIRRE MISIYAURI</t>
  </si>
  <si>
    <t>CAMILA JARA PAREDES</t>
  </si>
  <si>
    <t>ADRIEL ANDREW PAREJA MONTES</t>
  </si>
  <si>
    <t xml:space="preserve">DANIEL TOMAS FIGUEROA FERNÁNDEZ  </t>
  </si>
  <si>
    <t>JOSE ANDRES VELIZ MAYTA</t>
  </si>
  <si>
    <t>NEYTHAN AGUILERA LUYO</t>
  </si>
  <si>
    <t xml:space="preserve">SEBASTÍAN CONTRERAS RIOS </t>
  </si>
  <si>
    <t>ROMINA MENDIETA VALER</t>
  </si>
  <si>
    <t>PAURICK HECTOR JESÚS ERAZO LIMO</t>
  </si>
  <si>
    <t>GALA GUTTIERREZ FINETTI</t>
  </si>
  <si>
    <t>NAKHARY CRUZ SARMIENTO</t>
  </si>
  <si>
    <t>FACUNDO RIOS MEDINA</t>
  </si>
  <si>
    <t>MERLY OTOYA RAMOS</t>
  </si>
  <si>
    <t xml:space="preserve">  LITTLE WOLF 5:30 PM/11:30 AM</t>
  </si>
  <si>
    <t>ANTONELLA ESPERANZA OLANO CONTRERAS</t>
  </si>
  <si>
    <t>VICTOR HAKIM RODRIGUEZ GOMEZ</t>
  </si>
  <si>
    <t>LUKA SEBASTIAN PAVIC CONTRERAS</t>
  </si>
  <si>
    <t xml:space="preserve">FABRIZZIO ISMAEL GUERRERO ÁLVAREZ  </t>
  </si>
  <si>
    <t>ANIBAL JAEL AGUSTIN SILENCIO</t>
  </si>
  <si>
    <t>ZULEBY SEQUEIROS CANO</t>
  </si>
  <si>
    <t>PIERO STEVEN AGUIRRE UCHASARA</t>
  </si>
  <si>
    <t>SANTIAGO RAFAEL CHIOK HUAMÁN</t>
  </si>
  <si>
    <t>RODRIGO ALEJANDRO PALOMIO CAMPOS</t>
  </si>
  <si>
    <t>GAEL LOAYZA SANCHEZ</t>
  </si>
  <si>
    <t>MAYKEL CURI YARASCA</t>
  </si>
  <si>
    <t xml:space="preserve">LIAH IVANA JOYO CAMPOS </t>
  </si>
  <si>
    <t xml:space="preserve">LUANA CORNEJO PUCHEN </t>
  </si>
  <si>
    <t>AARON RICHARD ADRIAN CANAVAL FLORIAN</t>
  </si>
  <si>
    <t>NICOLAS ANDRE SANCHEZ PAUCAR</t>
  </si>
  <si>
    <t>JULIAN GUTTIERREZ FINETTI</t>
  </si>
  <si>
    <t xml:space="preserve">ANGELO SANTIAGO SEGOVIA ULARTE </t>
  </si>
  <si>
    <t>MARCUS GONDORI BACA</t>
  </si>
  <si>
    <t>SANTIAGO ELESCANO</t>
  </si>
  <si>
    <t xml:space="preserve">  LITTLE  WOLF 6:00 PM/12:00 PM</t>
  </si>
  <si>
    <t>RENZO ELÍAS RODRIGO JUSTINIANO</t>
  </si>
  <si>
    <t>SOLINO DOMINIC BERMUDEZ ALARCON</t>
  </si>
  <si>
    <t>JOSÉ ANGEL  SECO ANGULO</t>
  </si>
  <si>
    <t>MÌA VICTORIA BARINOTTO ZAVALETA</t>
  </si>
  <si>
    <t>MATEO DAVID PORRAS OJEDA</t>
  </si>
  <si>
    <t xml:space="preserve">YAREK DYLAN DÍAZ RIVERA arek </t>
  </si>
  <si>
    <t>AARON RENGIFO MACEDA</t>
  </si>
  <si>
    <t>PIERO MONTENEGRO ALVAREZ</t>
  </si>
  <si>
    <t>SALVADOR YARASCA</t>
  </si>
  <si>
    <t>JESUS ADRIAN SECO ANGULO</t>
  </si>
  <si>
    <t xml:space="preserve">  JUNIOR WOLF 6:30 PM/12:30 PM</t>
  </si>
  <si>
    <t>DEHLÉ JOAQUIM SALAS MORALES</t>
  </si>
  <si>
    <t xml:space="preserve">MATEO CASTAÑEDA </t>
  </si>
  <si>
    <t xml:space="preserve">ALICE KYLIE RIVAS CHOQQUE </t>
  </si>
  <si>
    <t>SEBASTIAN MONTENEGRO ALVAREZ</t>
  </si>
  <si>
    <t>GABRIEL ALBERTO MONTES DE OCA PUCUTAY</t>
  </si>
  <si>
    <t xml:space="preserve">ISAAC </t>
  </si>
  <si>
    <t>MAIZA VELASQUEZ MACEDA</t>
  </si>
  <si>
    <t xml:space="preserve"> ADOLECENTES WOLF 6:30 a 7:30 PM/1:30 PM </t>
  </si>
  <si>
    <t>JORGE FRANCISCO CASTRO ZAVALETA</t>
  </si>
  <si>
    <t xml:space="preserve">LUANA FE MUCHA REYES  </t>
  </si>
  <si>
    <t>AMELY LAURA BERMUDEZ ALARCON</t>
  </si>
  <si>
    <t xml:space="preserve"> WOLF 7:30-8:30 PM /2:30 PM</t>
  </si>
  <si>
    <t>YUN HE DAVID ZHANG IZQUIERDO</t>
  </si>
  <si>
    <t>NOAH KROES</t>
  </si>
  <si>
    <t>GETZENN VELIT AYALA</t>
  </si>
  <si>
    <t>CATALINA MILAGROS SANDOVAL MÉNDEZ</t>
  </si>
  <si>
    <t>JOAQUIN CARBAJAL ESPINOZA</t>
  </si>
  <si>
    <t xml:space="preserve">LIA SALAZAR CASTILLA  </t>
  </si>
  <si>
    <t>PABLO STEFANO MAZUELOS LUPACA</t>
  </si>
  <si>
    <t>GABRIEL SANCHEZ CABELLO</t>
  </si>
  <si>
    <t>LEONARDO HIDALGO VASQUEZ</t>
  </si>
  <si>
    <t>ALESSIA MORENO</t>
  </si>
  <si>
    <t>ADAEL GUTIERREZ URETA</t>
  </si>
  <si>
    <t>BENJAMIN ROMERO</t>
  </si>
  <si>
    <t>SAORI DOMENICA OSHIRO LOPEZ</t>
  </si>
  <si>
    <t>GAIA EMMA MENACHO ALVAREZ</t>
  </si>
  <si>
    <t>DANAE SANDOVAL CABRERA</t>
  </si>
  <si>
    <t>ALEXANDRA GABRIELA BAUTISTA JUSTINIANO</t>
  </si>
  <si>
    <t>CAMILO ROSARIO CABRERA</t>
  </si>
  <si>
    <t>ABRAHAM RAFAEL KERIM YANTAS INOÑAN</t>
  </si>
  <si>
    <t>DAIKI NOAH OSHIRO LOPEZ</t>
  </si>
  <si>
    <t xml:space="preserve"> LUA ALONDRA ALLCCA LUNASCO</t>
  </si>
  <si>
    <t>AA</t>
  </si>
  <si>
    <t>SOFIA VALDERRAMA SIGUEÑAS</t>
  </si>
  <si>
    <t>FELIPE PASACHE GUILLEN</t>
  </si>
  <si>
    <t>JULIO LUCIANO PAUCAR MOLERO</t>
  </si>
  <si>
    <t>CAMILA SOFIA GONZALES ANAYA</t>
  </si>
  <si>
    <t>VALENTINA ALEXANDRA ROSARIO CABRERA</t>
  </si>
  <si>
    <t xml:space="preserve">NOMBRES DE ALUMNOS </t>
  </si>
  <si>
    <t xml:space="preserve">ALUMNOS </t>
  </si>
  <si>
    <t>HORARIOS</t>
  </si>
  <si>
    <t>JADEN BASTIEN RIOS YOMOND</t>
  </si>
  <si>
    <t>ALEJANDRO SEBASTIAN VALENCIA GARCIA</t>
  </si>
  <si>
    <t>ALEXANDRA ROJAS SICLLA</t>
  </si>
  <si>
    <t>DAVID ALONSO VELEZ FALCÓN</t>
  </si>
  <si>
    <t>ALMA ISABEL CASTILLO MENDOZA</t>
  </si>
  <si>
    <t>THOMAS ALEJANDRO MATHEY GALINDO</t>
  </si>
  <si>
    <t>VASCO ALVAREZ CORREA</t>
  </si>
  <si>
    <t>ALEXANDER ANDRE ROMERO ROJAS</t>
  </si>
  <si>
    <t>RAFAEL AYVAR CUEVA</t>
  </si>
  <si>
    <t>ALESSIO VEGARA EZETA</t>
  </si>
  <si>
    <t>MATIAS NICOLAS ROJAS VILLAR</t>
  </si>
  <si>
    <t>VASCO DIAZ TAPIA</t>
  </si>
  <si>
    <t>ALANA SACHIE OSHIRO MATSUFUJI</t>
  </si>
  <si>
    <t>ESTEBAN NEYRA HERENCIA</t>
  </si>
  <si>
    <t>ALESSANDRO MATHIAS GALARZA CRISANTO</t>
  </si>
  <si>
    <t>EITHAN MATHEO POLOMINO ORIUNDO</t>
  </si>
  <si>
    <t>MATIAS JAVIER MORENO VARGAS</t>
  </si>
  <si>
    <t>ALBA RAFAELLA MONTALVO CHIPEN</t>
  </si>
  <si>
    <t>MICAEL BENJAMIN NUÑEZ MELENDEZ</t>
  </si>
  <si>
    <t>JOSE JOAQUIN LEE VILLALTA</t>
  </si>
  <si>
    <t>JUAN GABRIEL LEE VILLALTA</t>
  </si>
  <si>
    <t>LARA VELEZ PEREZ</t>
  </si>
  <si>
    <t>DEREK MATEO ROMERO CARHUALLANQUI</t>
  </si>
  <si>
    <t>NOAH RAFAEL GONZALES ROMERO</t>
  </si>
  <si>
    <t>SEBATIAN CONTRERAS RIOS</t>
  </si>
  <si>
    <t>YUSEF LEONARDO TAPIA FLORES</t>
  </si>
  <si>
    <t>LOGAN ESTRADA OSORIO</t>
  </si>
  <si>
    <t>SANTHIAGO AGUSTIN SILENCIO</t>
  </si>
  <si>
    <t>EMILIANO ALONSO CHIA ROMAN</t>
  </si>
  <si>
    <t>AURELIO  CHISTIANS TRISTAN ALEXANDRINO</t>
  </si>
  <si>
    <t>CAMILA VALENTINA GÓMEZ HUAMÁN</t>
  </si>
  <si>
    <t>ENRICO JOSE SAVOCA PONTIGGIA</t>
  </si>
  <si>
    <t>SPERANZA ALTEA SAVOCA PONTIGGIA</t>
  </si>
  <si>
    <t>DARÁ CASSANA CIURLIZZA</t>
  </si>
  <si>
    <t>MARÍA FERNANDA ELERA REY</t>
  </si>
  <si>
    <t>PEDRO DARÍO PALLI DE LA CRUZ</t>
  </si>
  <si>
    <t>SANTIAGO IGNACIO DE JESUS ROJAS CUYUBAMBA</t>
  </si>
  <si>
    <t>VASCO ALEJANDRO QUEVEDO OROZ</t>
  </si>
  <si>
    <t>GABRIELA ISABELLA ROJAS LAZO</t>
  </si>
  <si>
    <t xml:space="preserve">RADAEL ALEJANDRO LUYO ALVARADO </t>
  </si>
  <si>
    <t xml:space="preserve">ANÍBAL JAEL AGUSTÍN SILENCIO </t>
  </si>
  <si>
    <t xml:space="preserve">LAIA THAIS JARA PAREDES </t>
  </si>
  <si>
    <t xml:space="preserve">AIDAN LIAM ANTONIO SEGURA IBARRA </t>
  </si>
  <si>
    <t xml:space="preserve">ALBA CAYETANA YAPEZ VLIZ  </t>
  </si>
  <si>
    <t xml:space="preserve">DHLÉ JOAQUÍN SALAS MORALES </t>
  </si>
  <si>
    <t xml:space="preserve">MÍA VICTORIA BARINOTTO ZAVALETA </t>
  </si>
  <si>
    <t xml:space="preserve">PEDRO DARÍO PALLI DE LA CRUZ </t>
  </si>
  <si>
    <t>HARRY VICENT LANDEO LUCAS</t>
  </si>
  <si>
    <t>JULEN EZEQUIEL GORAN RAMÍREZ MAQUERA</t>
  </si>
  <si>
    <t xml:space="preserve">ISSAC FARITH ZLVARADO OLIVARES  </t>
  </si>
  <si>
    <t xml:space="preserve">MATHIAS ROROLFO CARDENAS SULCARAY </t>
  </si>
  <si>
    <t xml:space="preserve">JORGE FRANCISCO CASTRO ZAVALETA  </t>
  </si>
  <si>
    <t>ETHAM LIAM EDUARDO CHICCHON APAZA</t>
  </si>
  <si>
    <t xml:space="preserve">LUCIO VINCENZO MOSQUERA ANGELES  </t>
  </si>
  <si>
    <t xml:space="preserve">RAFAEL ALESSANDRO EZPINOZA ROJAS  </t>
  </si>
  <si>
    <t xml:space="preserve">SANTIAGO RAFEL CHIOK HUAMÁN </t>
  </si>
  <si>
    <t>MARIA LUCIA LOZADA ROSALES</t>
  </si>
  <si>
    <t xml:space="preserve">ANDREA DANIELA REYNOSO BARAHONA </t>
  </si>
  <si>
    <t>AIXA DAPHNE MARTINEZ VALLE</t>
  </si>
  <si>
    <t>ISABELLA BELINDA MOSCOSO ESTRADA</t>
  </si>
  <si>
    <t>SRTA. PILCO</t>
  </si>
  <si>
    <t>ANTONELLA SALVADOR PILCO</t>
  </si>
  <si>
    <t>DEREK GALVEZ PACHAS</t>
  </si>
  <si>
    <t>AZUL TENORIO MALCA</t>
  </si>
  <si>
    <t>LUCA OTOYA CUSTODIO</t>
  </si>
  <si>
    <t>RAFAELA MIRANDA HUAMANCHA CAMONES</t>
  </si>
  <si>
    <t>JOAQUIN IGNACIO CARBAJAL ESPINOZA</t>
  </si>
  <si>
    <t>EMMA BIANCA MATOS PALOMINO</t>
  </si>
  <si>
    <t>THIAGO</t>
  </si>
  <si>
    <t>MICAELA CORDERO CHAVEZ</t>
  </si>
  <si>
    <t>DYLAN YANGARI QUISPE</t>
  </si>
  <si>
    <t>LUCCA ADRIEL TORO VARGAS</t>
  </si>
  <si>
    <t>ALEJANDRO MARCO VARGAS RAMIREZ</t>
  </si>
  <si>
    <t xml:space="preserve">LUCCA CHIQUITO </t>
  </si>
  <si>
    <t>BENJAMIN MERA</t>
  </si>
  <si>
    <t>JOSE ANGEL SECO ANGULO</t>
  </si>
  <si>
    <t>SANTIAGO MAJU</t>
  </si>
  <si>
    <t>LUCIANA VARGAS RAMIREZ</t>
  </si>
  <si>
    <t>Marzo</t>
  </si>
  <si>
    <t xml:space="preserve"> </t>
  </si>
  <si>
    <t>v</t>
  </si>
  <si>
    <t xml:space="preserve"> WOLF POSTULANTES</t>
  </si>
  <si>
    <t>Abril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</si>
</sst>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;0;"/>
    <numFmt numFmtId="165" formatCode="h:mm am/pm"/>
    <numFmt numFmtId="166" formatCode="d/M/yyyy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26.0"/>
      <color rgb="FF4B180E"/>
      <name val="Calibri"/>
    </font>
    <font/>
    <font>
      <color theme="1"/>
      <name val="Calibri"/>
    </font>
    <font>
      <b/>
      <sz val="11.0"/>
      <color theme="1"/>
      <name val="Calibri"/>
    </font>
    <font>
      <sz val="11.0"/>
      <color rgb="FF521A11"/>
      <name val="Calibri"/>
    </font>
    <font>
      <b/>
      <sz val="18.0"/>
      <color rgb="FF7B271A"/>
      <name val="Calibri"/>
    </font>
    <font>
      <color theme="1"/>
      <name val="Calibri"/>
      <scheme val="minor"/>
    </font>
    <font>
      <sz val="9.0"/>
      <color rgb="FF008000"/>
      <name val="Arial"/>
    </font>
    <font>
      <color rgb="FF434343"/>
      <name val="Roboto"/>
    </font>
    <font>
      <sz val="48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D6DFBE"/>
        <bgColor rgb="FFD6DFBE"/>
      </patternFill>
    </fill>
    <fill>
      <patternFill patternType="solid">
        <fgColor rgb="FFDE7565"/>
        <bgColor rgb="FFDE7565"/>
      </patternFill>
    </fill>
    <fill>
      <patternFill patternType="solid">
        <fgColor rgb="FFF1F2E8"/>
        <bgColor rgb="FFF1F2E8"/>
      </patternFill>
    </fill>
    <fill>
      <patternFill patternType="solid">
        <fgColor rgb="FFF4CCAC"/>
        <bgColor rgb="FFF4CCAC"/>
      </patternFill>
    </fill>
    <fill>
      <patternFill patternType="solid">
        <fgColor rgb="FFC2CF9D"/>
        <bgColor rgb="FFC2CF9D"/>
      </patternFill>
    </fill>
    <fill>
      <patternFill patternType="solid">
        <fgColor rgb="FFFFE084"/>
        <bgColor rgb="FFFFE084"/>
      </patternFill>
    </fill>
    <fill>
      <patternFill patternType="solid">
        <fgColor rgb="FFB8C1DF"/>
        <bgColor rgb="FFB8C1DF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AEFDE"/>
        <bgColor rgb="FFEAEFDE"/>
      </patternFill>
    </fill>
    <fill>
      <patternFill patternType="solid">
        <fgColor rgb="FFF1C232"/>
        <bgColor rgb="FFF1C232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6F8F9"/>
        <bgColor rgb="FFF6F8F9"/>
      </patternFill>
    </fill>
    <fill>
      <patternFill patternType="solid">
        <fgColor rgb="FFCC0000"/>
        <bgColor rgb="FFCC0000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bottom/>
    </border>
    <border>
      <bottom/>
    </border>
    <border>
      <left/>
      <right/>
      <top/>
      <bottom/>
    </border>
    <border>
      <left/>
      <right/>
      <top/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 style="thin">
        <color rgb="FFD8D8D8"/>
      </bottom>
    </border>
    <border>
      <left style="thin">
        <color rgb="FFFFFFFF"/>
      </left>
      <right style="thin">
        <color rgb="FFFFFFFF"/>
      </right>
      <top style="thin">
        <color rgb="FF284E3F"/>
      </top>
      <bottom style="thin">
        <color rgb="FFFF0000"/>
      </bottom>
    </border>
    <border>
      <left style="thin">
        <color rgb="FFFF0000"/>
      </left>
      <right style="thin">
        <color rgb="FFFF0000"/>
      </right>
      <bottom style="thin">
        <color rgb="FFFF0000"/>
      </bottom>
    </border>
    <border>
      <left style="thin">
        <color rgb="FFFFFFFF"/>
      </left>
      <right style="thin">
        <color rgb="FFFFFFFF"/>
      </right>
      <bottom style="thin">
        <color rgb="FF4A86E8"/>
      </bottom>
    </border>
    <border>
      <left style="thin">
        <color rgb="FF4A86E8"/>
      </left>
      <right style="thin">
        <color rgb="FF4A86E8"/>
      </right>
      <bottom style="thin">
        <color rgb="FF4A86E8"/>
      </bottom>
    </border>
    <border>
      <left style="thin">
        <color rgb="FF4A86E8"/>
      </left>
      <right style="thin">
        <color rgb="FF4A86E8"/>
      </right>
      <bottom style="thin">
        <color rgb="FFFF0000"/>
      </bottom>
    </border>
    <border>
      <left style="thin">
        <color rgb="FFFFFFFF"/>
      </left>
      <right style="thin">
        <color rgb="FFFFFFFF"/>
      </right>
      <bottom style="thin">
        <color rgb="FFF6F8F9"/>
      </bottom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left style="thin">
        <color rgb="FFF6F8F9"/>
      </left>
      <right style="thin">
        <color rgb="FFF6F8F9"/>
      </right>
      <bottom style="thin">
        <color rgb="FFCC0000"/>
      </bottom>
    </border>
    <border>
      <left style="thin">
        <color rgb="FFCC0000"/>
      </left>
      <right style="thin">
        <color rgb="FFCC0000"/>
      </right>
      <bottom style="thin">
        <color rgb="FFCC0000"/>
      </bottom>
    </border>
    <border>
      <left style="thin">
        <color rgb="FFFFFFFF"/>
      </left>
      <right style="thin">
        <color rgb="FFFFFFFF"/>
      </right>
      <bottom style="thin">
        <color rgb="FF284E3F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left" vertical="center"/>
    </xf>
    <xf borderId="3" fillId="0" fontId="3" numFmtId="0" xfId="0" applyAlignment="1" applyBorder="1" applyFont="1">
      <alignment horizontal="left" vertical="center"/>
    </xf>
    <xf borderId="0" fillId="0" fontId="4" numFmtId="0" xfId="0" applyAlignment="1" applyFont="1">
      <alignment horizontal="center" vertical="center"/>
    </xf>
    <xf borderId="4" fillId="2" fontId="5" numFmtId="0" xfId="0" applyAlignment="1" applyBorder="1" applyFill="1" applyFont="1">
      <alignment horizontal="right" vertical="center"/>
    </xf>
    <xf borderId="4" fillId="3" fontId="5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left" vertical="center"/>
    </xf>
    <xf borderId="4" fillId="5" fontId="5" numFmtId="0" xfId="0" applyAlignment="1" applyBorder="1" applyFill="1" applyFont="1">
      <alignment horizontal="center" vertical="center"/>
    </xf>
    <xf borderId="4" fillId="6" fontId="5" numFmtId="0" xfId="0" applyAlignment="1" applyBorder="1" applyFill="1" applyFont="1">
      <alignment horizontal="center" vertical="center"/>
    </xf>
    <xf borderId="4" fillId="7" fontId="5" numFmtId="164" xfId="0" applyAlignment="1" applyBorder="1" applyFill="1" applyFont="1" applyNumberFormat="1">
      <alignment horizontal="center" vertical="center"/>
    </xf>
    <xf borderId="4" fillId="8" fontId="5" numFmtId="164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horizontal="center" vertical="bottom"/>
    </xf>
    <xf borderId="0" fillId="4" fontId="7" numFmtId="0" xfId="0" applyAlignment="1" applyFont="1">
      <alignment horizontal="center" vertical="center"/>
    </xf>
    <xf borderId="0" fillId="4" fontId="7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9" fontId="4" numFmtId="0" xfId="0" applyAlignment="1" applyFill="1" applyFont="1">
      <alignment horizontal="left" vertical="center"/>
    </xf>
    <xf borderId="0" fillId="9" fontId="1" numFmtId="0" xfId="0" applyAlignment="1" applyFont="1">
      <alignment horizontal="left" vertical="center"/>
    </xf>
    <xf borderId="0" fillId="9" fontId="1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0" fillId="6" fontId="1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center" vertical="center"/>
    </xf>
    <xf borderId="5" fillId="4" fontId="7" numFmtId="0" xfId="0" applyAlignment="1" applyBorder="1" applyFont="1">
      <alignment horizontal="center" vertical="center"/>
    </xf>
    <xf borderId="6" fillId="4" fontId="7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left" vertical="center"/>
    </xf>
    <xf borderId="5" fillId="4" fontId="7" numFmtId="0" xfId="0" applyAlignment="1" applyBorder="1" applyFont="1">
      <alignment horizontal="center" readingOrder="0" vertical="center"/>
    </xf>
    <xf borderId="8" fillId="4" fontId="7" numFmtId="0" xfId="0" applyAlignment="1" applyBorder="1" applyFont="1">
      <alignment horizontal="center" vertical="center"/>
    </xf>
    <xf borderId="9" fillId="9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readingOrder="0" shrinkToFit="0" vertical="center" wrapText="1"/>
    </xf>
    <xf borderId="0" fillId="6" fontId="5" numFmtId="0" xfId="0" applyAlignment="1" applyFont="1">
      <alignment horizontal="center" vertical="center"/>
    </xf>
    <xf borderId="0" fillId="10" fontId="5" numFmtId="0" xfId="0" applyAlignment="1" applyFill="1" applyFont="1">
      <alignment horizontal="center" vertical="center"/>
    </xf>
    <xf borderId="0" fillId="10" fontId="1" numFmtId="0" xfId="0" applyAlignment="1" applyFont="1">
      <alignment horizontal="center" vertical="center"/>
    </xf>
    <xf borderId="0" fillId="11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vertical="center"/>
    </xf>
    <xf borderId="0" fillId="10" fontId="1" numFmtId="164" xfId="0" applyAlignment="1" applyFont="1" applyNumberFormat="1">
      <alignment horizontal="center" vertical="center"/>
    </xf>
    <xf borderId="8" fillId="4" fontId="7" numFmtId="0" xfId="0" applyAlignment="1" applyBorder="1" applyFont="1">
      <alignment horizontal="center" readingOrder="0" vertical="center"/>
    </xf>
    <xf borderId="0" fillId="12" fontId="1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7" fontId="1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10" fontId="8" numFmtId="0" xfId="0" applyAlignment="1" applyFont="1">
      <alignment horizontal="left" vertical="center"/>
    </xf>
    <xf borderId="0" fillId="10" fontId="1" numFmtId="0" xfId="0" applyAlignment="1" applyFont="1">
      <alignment horizontal="left" readingOrder="0" shrinkToFit="0" vertical="center" wrapText="1"/>
    </xf>
    <xf borderId="4" fillId="10" fontId="5" numFmtId="0" xfId="0" applyAlignment="1" applyBorder="1" applyFont="1">
      <alignment horizontal="center" vertical="center"/>
    </xf>
    <xf borderId="0" fillId="10" fontId="1" numFmtId="1" xfId="0" applyAlignment="1" applyFont="1" applyNumberFormat="1">
      <alignment horizontal="center" vertical="center"/>
    </xf>
    <xf borderId="0" fillId="13" fontId="9" numFmtId="0" xfId="0" applyAlignment="1" applyFill="1" applyFont="1">
      <alignment horizontal="left" vertical="center"/>
    </xf>
    <xf borderId="0" fillId="5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11" fontId="1" numFmtId="0" xfId="0" applyAlignment="1" applyFont="1">
      <alignment horizontal="left" readingOrder="0" shrinkToFit="0" vertical="center" wrapText="1"/>
    </xf>
    <xf borderId="0" fillId="6" fontId="1" numFmtId="0" xfId="0" applyAlignment="1" applyFont="1">
      <alignment horizontal="left" vertical="center"/>
    </xf>
    <xf borderId="0" fillId="10" fontId="1" numFmtId="0" xfId="0" applyAlignment="1" applyFont="1">
      <alignment horizontal="left" vertical="center"/>
    </xf>
    <xf borderId="0" fillId="13" fontId="9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8" fillId="4" fontId="1" numFmtId="0" xfId="0" applyAlignment="1" applyBorder="1" applyFont="1">
      <alignment horizontal="left" vertical="center"/>
    </xf>
    <xf borderId="8" fillId="4" fontId="1" numFmtId="0" xfId="0" applyAlignment="1" applyBorder="1" applyFont="1">
      <alignment horizontal="center" vertical="center"/>
    </xf>
    <xf borderId="0" fillId="11" fontId="1" numFmtId="0" xfId="0" applyAlignment="1" applyFont="1">
      <alignment horizontal="left" readingOrder="0" vertical="center"/>
    </xf>
    <xf borderId="0" fillId="11" fontId="1" numFmtId="1" xfId="0" applyAlignment="1" applyFont="1" applyNumberFormat="1">
      <alignment horizontal="center" vertical="center"/>
    </xf>
    <xf borderId="0" fillId="14" fontId="1" numFmtId="0" xfId="0" applyAlignment="1" applyFill="1" applyFont="1">
      <alignment horizontal="left" readingOrder="0" vertical="center"/>
    </xf>
    <xf borderId="0" fillId="14" fontId="1" numFmtId="0" xfId="0" applyAlignment="1" applyFont="1">
      <alignment horizontal="left" vertical="center"/>
    </xf>
    <xf borderId="0" fillId="15" fontId="9" numFmtId="0" xfId="0" applyAlignment="1" applyFill="1" applyFont="1">
      <alignment horizontal="left" vertical="center"/>
    </xf>
    <xf borderId="0" fillId="15" fontId="1" numFmtId="164" xfId="0" applyAlignment="1" applyFont="1" applyNumberFormat="1">
      <alignment horizontal="left" vertical="center"/>
    </xf>
    <xf borderId="0" fillId="10" fontId="1" numFmtId="164" xfId="0" applyAlignment="1" applyFont="1" applyNumberFormat="1">
      <alignment horizontal="left" vertical="center"/>
    </xf>
    <xf borderId="0" fillId="15" fontId="1" numFmtId="164" xfId="0" applyAlignment="1" applyFont="1" applyNumberFormat="1">
      <alignment horizontal="center" vertical="center"/>
    </xf>
    <xf borderId="8" fillId="9" fontId="1" numFmtId="0" xfId="0" applyAlignment="1" applyBorder="1" applyFont="1">
      <alignment horizontal="left" vertical="center"/>
    </xf>
    <xf borderId="0" fillId="14" fontId="1" numFmtId="1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0" fillId="9" fontId="1" numFmtId="0" xfId="0" applyAlignment="1" applyFont="1">
      <alignment horizontal="center" readingOrder="0" vertical="center"/>
    </xf>
    <xf borderId="0" fillId="11" fontId="1" numFmtId="0" xfId="0" applyAlignment="1" applyFont="1">
      <alignment horizontal="left" shrinkToFit="0" vertical="center" wrapText="1"/>
    </xf>
    <xf borderId="4" fillId="6" fontId="5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vertical="top"/>
    </xf>
    <xf borderId="11" fillId="0" fontId="3" numFmtId="0" xfId="0" applyAlignment="1" applyBorder="1" applyFont="1">
      <alignment horizontal="left" vertical="center"/>
    </xf>
    <xf borderId="12" fillId="0" fontId="3" numFmtId="0" xfId="0" applyAlignment="1" applyBorder="1" applyFont="1">
      <alignment horizontal="left" vertical="center"/>
    </xf>
    <xf borderId="13" fillId="0" fontId="8" numFmtId="0" xfId="0" applyAlignment="1" applyBorder="1" applyFont="1">
      <alignment horizontal="left" vertical="center"/>
    </xf>
    <xf borderId="13" fillId="16" fontId="4" numFmtId="0" xfId="0" applyAlignment="1" applyBorder="1" applyFill="1" applyFont="1">
      <alignment horizontal="left" vertical="center"/>
    </xf>
    <xf borderId="0" fillId="0" fontId="4" numFmtId="0" xfId="0" applyAlignment="1" applyFont="1">
      <alignment horizontal="left" vertical="center"/>
    </xf>
    <xf borderId="14" fillId="0" fontId="1" numFmtId="0" xfId="0" applyAlignment="1" applyBorder="1" applyFont="1">
      <alignment horizontal="left" vertical="center"/>
    </xf>
    <xf borderId="15" fillId="13" fontId="10" numFmtId="0" xfId="0" applyAlignment="1" applyBorder="1" applyFont="1">
      <alignment horizontal="center" shrinkToFit="0" vertical="center" wrapText="1"/>
    </xf>
    <xf borderId="13" fillId="11" fontId="4" numFmtId="0" xfId="0" applyAlignment="1" applyBorder="1" applyFont="1">
      <alignment horizontal="left" vertical="center"/>
    </xf>
    <xf borderId="0" fillId="0" fontId="11" numFmtId="0" xfId="0" applyAlignment="1" applyFont="1">
      <alignment horizontal="center" textRotation="180" vertical="center"/>
    </xf>
    <xf borderId="16" fillId="17" fontId="10" numFmtId="0" xfId="0" applyAlignment="1" applyBorder="1" applyFill="1" applyFont="1">
      <alignment horizontal="center" shrinkToFit="0" vertical="center" wrapText="1"/>
    </xf>
    <xf borderId="13" fillId="14" fontId="4" numFmtId="0" xfId="0" applyAlignment="1" applyBorder="1" applyFont="1">
      <alignment horizontal="left" vertical="center"/>
    </xf>
    <xf borderId="17" fillId="13" fontId="10" numFmtId="0" xfId="0" applyAlignment="1" applyBorder="1" applyFont="1">
      <alignment horizontal="center" shrinkToFit="0" vertical="center" wrapText="1"/>
    </xf>
    <xf borderId="18" fillId="18" fontId="10" numFmtId="0" xfId="0" applyAlignment="1" applyBorder="1" applyFill="1" applyFont="1">
      <alignment horizontal="center" shrinkToFit="0" vertical="center" wrapText="1"/>
    </xf>
    <xf borderId="19" fillId="18" fontId="10" numFmtId="0" xfId="0" applyAlignment="1" applyBorder="1" applyFont="1">
      <alignment horizontal="center" shrinkToFit="0" vertical="center" wrapText="1"/>
    </xf>
    <xf borderId="16" fillId="17" fontId="10" numFmtId="0" xfId="0" applyAlignment="1" applyBorder="1" applyFont="1">
      <alignment horizontal="center" shrinkToFit="0" vertical="center" wrapText="1"/>
    </xf>
    <xf borderId="0" fillId="0" fontId="4" numFmtId="165" xfId="0" applyAlignment="1" applyFont="1" applyNumberFormat="1">
      <alignment horizontal="left" vertical="center"/>
    </xf>
    <xf borderId="13" fillId="14" fontId="1" numFmtId="0" xfId="0" applyAlignment="1" applyBorder="1" applyFont="1">
      <alignment horizontal="left" vertical="bottom"/>
    </xf>
    <xf borderId="0" fillId="0" fontId="1" numFmtId="0" xfId="0" applyAlignment="1" applyFont="1">
      <alignment horizontal="left" vertical="bottom"/>
    </xf>
    <xf borderId="0" fillId="0" fontId="4" numFmtId="20" xfId="0" applyAlignment="1" applyFont="1" applyNumberFormat="1">
      <alignment horizontal="left" vertical="center"/>
    </xf>
    <xf borderId="19" fillId="18" fontId="10" numFmtId="0" xfId="0" applyAlignment="1" applyBorder="1" applyFont="1">
      <alignment horizontal="center" shrinkToFit="0" vertical="center" wrapText="1"/>
    </xf>
    <xf borderId="13" fillId="11" fontId="1" numFmtId="0" xfId="0" applyAlignment="1" applyBorder="1" applyFont="1">
      <alignment horizontal="left" vertical="bottom"/>
    </xf>
    <xf borderId="20" fillId="13" fontId="10" numFmtId="0" xfId="0" applyAlignment="1" applyBorder="1" applyFont="1">
      <alignment horizontal="center" shrinkToFit="0" vertical="center" wrapText="1"/>
    </xf>
    <xf borderId="21" fillId="19" fontId="10" numFmtId="0" xfId="0" applyAlignment="1" applyBorder="1" applyFill="1" applyFont="1">
      <alignment horizontal="center" shrinkToFit="0" vertical="center" wrapText="1"/>
    </xf>
    <xf borderId="22" fillId="19" fontId="10" numFmtId="0" xfId="0" applyAlignment="1" applyBorder="1" applyFont="1">
      <alignment horizontal="center" shrinkToFit="0" vertical="center" wrapText="1"/>
    </xf>
    <xf borderId="23" fillId="20" fontId="10" numFmtId="0" xfId="0" applyAlignment="1" applyBorder="1" applyFill="1" applyFont="1">
      <alignment horizontal="center" shrinkToFit="0" vertical="center" wrapText="1"/>
    </xf>
    <xf borderId="17" fillId="13" fontId="10" numFmtId="0" xfId="0" applyAlignment="1" applyBorder="1" applyFont="1">
      <alignment horizontal="center" shrinkToFit="0" vertical="center" wrapText="1"/>
    </xf>
    <xf borderId="0" fillId="0" fontId="1" numFmtId="18" xfId="0" applyAlignment="1" applyFont="1" applyNumberFormat="1">
      <alignment horizontal="center" textRotation="180" vertical="bottom"/>
    </xf>
    <xf borderId="18" fillId="18" fontId="10" numFmtId="0" xfId="0" applyAlignment="1" applyBorder="1" applyFont="1">
      <alignment horizontal="center" shrinkToFit="0" vertical="center" wrapText="1"/>
    </xf>
    <xf borderId="13" fillId="14" fontId="1" numFmtId="0" xfId="0" applyAlignment="1" applyBorder="1" applyFont="1">
      <alignment horizontal="left" shrinkToFit="0" vertical="center" wrapText="1"/>
    </xf>
    <xf borderId="20" fillId="13" fontId="10" numFmtId="0" xfId="0" applyAlignment="1" applyBorder="1" applyFont="1">
      <alignment horizontal="center" readingOrder="0" shrinkToFit="0" vertical="center" wrapText="1"/>
    </xf>
    <xf borderId="0" fillId="0" fontId="1" numFmtId="166" xfId="0" applyAlignment="1" applyFont="1" applyNumberFormat="1">
      <alignment horizontal="left" vertical="bottom"/>
    </xf>
    <xf borderId="13" fillId="11" fontId="1" numFmtId="0" xfId="0" applyAlignment="1" applyBorder="1" applyFont="1">
      <alignment horizontal="left" shrinkToFit="0" vertical="center" wrapText="1"/>
    </xf>
    <xf borderId="21" fillId="19" fontId="10" numFmtId="0" xfId="0" applyAlignment="1" applyBorder="1" applyFont="1">
      <alignment horizontal="center" readingOrder="0" shrinkToFit="0" vertical="center" wrapText="1"/>
    </xf>
    <xf borderId="13" fillId="14" fontId="1" numFmtId="0" xfId="0" applyAlignment="1" applyBorder="1" applyFont="1">
      <alignment horizontal="left" vertical="center"/>
    </xf>
    <xf borderId="24" fillId="13" fontId="10" numFmtId="0" xfId="0" applyAlignment="1" applyBorder="1" applyFont="1">
      <alignment horizontal="center" readingOrder="0" shrinkToFit="0" vertical="center" wrapText="1"/>
    </xf>
    <xf borderId="13" fillId="14" fontId="1" numFmtId="0" xfId="0" applyAlignment="1" applyBorder="1" applyFont="1">
      <alignment horizontal="left" readingOrder="0" shrinkToFit="0" vertical="center" wrapText="1"/>
    </xf>
    <xf borderId="13" fillId="11" fontId="1" numFmtId="0" xfId="0" applyAlignment="1" applyBorder="1" applyFont="1">
      <alignment horizontal="left" readingOrder="0" shrinkToFit="0" vertical="center" wrapText="1"/>
    </xf>
    <xf borderId="13" fillId="14" fontId="1" numFmtId="0" xfId="0" applyAlignment="1" applyBorder="1" applyFont="1">
      <alignment horizontal="left" readingOrder="0" vertical="center"/>
    </xf>
    <xf borderId="13" fillId="11" fontId="1" numFmtId="0" xfId="0" applyAlignment="1" applyBorder="1" applyFont="1">
      <alignment horizontal="left" readingOrder="0" vertical="center"/>
    </xf>
    <xf borderId="13" fillId="0" fontId="8" numFmtId="0" xfId="0" applyAlignment="1" applyBorder="1" applyFont="1">
      <alignment horizontal="left" readingOrder="0" vertical="center"/>
    </xf>
    <xf borderId="0" fillId="6" fontId="5" numFmtId="0" xfId="0" applyAlignment="1" applyFont="1">
      <alignment horizontal="center" readingOrder="0" vertical="center"/>
    </xf>
    <xf borderId="0" fillId="4" fontId="8" numFmtId="0" xfId="0" applyAlignment="1" applyFont="1">
      <alignment horizontal="left" vertical="center"/>
    </xf>
    <xf borderId="0" fillId="4" fontId="1" numFmtId="0" xfId="0" applyAlignment="1" applyFont="1">
      <alignment horizontal="left" readingOrder="0" shrinkToFit="0" vertical="center" wrapText="1"/>
    </xf>
    <xf borderId="0" fillId="4" fontId="1" numFmtId="0" xfId="0" applyAlignment="1" applyFont="1">
      <alignment horizontal="left" vertical="center"/>
    </xf>
    <xf borderId="0" fillId="4" fontId="5" numFmtId="0" xfId="0" applyAlignment="1" applyFont="1">
      <alignment horizontal="center" vertical="center"/>
    </xf>
    <xf borderId="0" fillId="4" fontId="1" numFmtId="0" xfId="0" applyAlignment="1" applyFont="1">
      <alignment horizontal="center" vertical="center"/>
    </xf>
    <xf borderId="0" fillId="4" fontId="1" numFmtId="1" xfId="0" applyAlignment="1" applyFont="1" applyNumberFormat="1">
      <alignment horizontal="center" vertical="center"/>
    </xf>
    <xf borderId="0" fillId="11" fontId="1" numFmtId="1" xfId="0" applyAlignment="1" applyFont="1" applyNumberFormat="1">
      <alignment horizontal="left" vertical="center"/>
    </xf>
    <xf borderId="4" fillId="14" fontId="5" numFmtId="0" xfId="0" applyAlignment="1" applyBorder="1" applyFont="1">
      <alignment horizontal="center" vertical="center"/>
    </xf>
    <xf borderId="0" fillId="15" fontId="9" numFmtId="0" xfId="0" applyAlignment="1" applyFont="1">
      <alignment horizontal="left" vertical="center"/>
    </xf>
    <xf borderId="0" fillId="15" fontId="1" numFmtId="0" xfId="0" applyAlignment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B180E"/>
          <bgColor rgb="FF4B180E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EAEFDE"/>
          <bgColor rgb="FFEAEFDE"/>
        </patternFill>
      </fill>
      <border/>
    </dxf>
    <dxf>
      <font/>
      <fill>
        <patternFill patternType="none"/>
      </fill>
      <border/>
    </dxf>
  </dxfs>
  <tableStyles count="120">
    <tableStyle count="4" pivot="0" name="Enero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nero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nero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nero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nero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nero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nero-style 7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nero-style 8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nero-style 9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Enero-style 10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 7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 8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 9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rero-style 10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zo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zo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zo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zo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zo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zo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zo-style 7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zo-style 8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zo-style 9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zo-style 10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 7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 8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 9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bril-style 10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 7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 8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 9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o-style 10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nio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nio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nio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nio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nio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nio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nio-style 7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nio-style 8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nio-style 9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nio-style 10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lio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lio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lio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lio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lio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lio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lio-style 7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lio-style 8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lio-style 9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ulio-style 10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gosto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gosto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gosto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gosto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gosto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gosto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gosto-style 7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gosto-style 8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gosto-style 9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gosto-style 10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Setiembre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Setiembre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Setiembre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Setiembre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Setiembre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Setiembre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Setiembre-style 7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Setiembre-style 8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Setiembre-style 9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Setiembre-style 10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Octubre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Octubre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Octubre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Octubre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Octubre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Octubre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Octubre-style 7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Octubre-style 8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Octubre-style 9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Octubre-style 10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Noviembre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Noviembre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Noviembre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Noviembre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Noviembre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Noviembre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Noviembre-style 7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Noviembre-style 8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Noviembre-style 9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Noviembre-style 10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Diciembre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Diciembre-style 2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Diciembre-style 3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Diciembre-style 4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Diciembre-style 5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Diciembre-style 6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Diciembre-style 7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Diciembre-style 8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Diciembre-style 9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Diciembre-style 10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B6:AH8" displayName="Table_1" name="Table_1" id="1">
  <tableColumns count="33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totalsRowFunction="custom" name="4" id="5"/>
    <tableColumn totalsRowFunction="custom" name="5" id="6"/>
    <tableColumn totalsRowFunction="custom" name="6" id="7"/>
    <tableColumn totalsRowFunction="custom" name="7" id="8"/>
    <tableColumn totalsRowFunction="custom" name="8" id="9"/>
    <tableColumn totalsRowFunction="custom" name="9" id="10"/>
    <tableColumn totalsRowFunction="custom" name="10" id="11"/>
    <tableColumn totalsRowFunction="custom" name="11" id="12"/>
    <tableColumn totalsRowFunction="custom" name="12" id="13"/>
    <tableColumn totalsRowFunction="custom" name="13" id="14"/>
    <tableColumn totalsRowFunction="custom" name="14" id="15"/>
    <tableColumn totalsRowFunction="custom" name="15" id="16"/>
    <tableColumn totalsRowFunction="custom" name="16" id="17"/>
    <tableColumn totalsRowFunction="custom" name="17" id="18"/>
    <tableColumn totalsRowFunction="custom" name="18" id="19"/>
    <tableColumn totalsRowFunction="custom" name="19" id="20"/>
    <tableColumn totalsRowFunction="custom" name="20" id="21"/>
    <tableColumn totalsRowFunction="custom" name="21" id="22"/>
    <tableColumn totalsRowFunction="custom" name="22" id="23"/>
    <tableColumn totalsRowFunction="custom" name="23" id="24"/>
    <tableColumn totalsRowFunction="custom" name="24" id="25"/>
    <tableColumn totalsRowFunction="custom" name="25" id="26"/>
    <tableColumn totalsRowFunction="custom" name="26" id="27"/>
    <tableColumn totalsRowFunction="custom" name="27" id="28"/>
    <tableColumn totalsRowFunction="custom" name="28" id="29"/>
    <tableColumn totalsRowFunction="custom" name="29" id="30"/>
    <tableColumn totalsRowFunction="custom" name="30" id="31"/>
    <tableColumn totalsRowFunction="custom" name="31" id="32"/>
    <tableColumn name="Número total de días" id="33"/>
  </tableColumns>
  <tableStyleInfo name="Enero-style" showColumnStripes="0" showFirstColumn="1" showLastColumn="1" showRowStripes="1"/>
</table>
</file>

<file path=xl/tables/table2.xml><?xml version="1.0" encoding="utf-8"?>
<table xmlns="http://schemas.openxmlformats.org/spreadsheetml/2006/main" totalsRowCount="1" ref="B12:AH34" displayName="Table_2" name="Table_2" id="2">
  <tableColumns count="33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name="4" id="5"/>
    <tableColumn totalsRowFunction="custom" name="5" id="6"/>
    <tableColumn totalsRowFunction="custom"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name="Número total de días" id="33"/>
  </tableColumns>
  <tableStyleInfo name="Enero-style 2" showColumnStripes="0" showFirstColumn="1" showLastColumn="1" showRowStripes="1"/>
</table>
</file>

<file path=xl/tables/table3.xml><?xml version="1.0" encoding="utf-8"?>
<table xmlns="http://schemas.openxmlformats.org/spreadsheetml/2006/main" totalsRowCount="1" ref="B39:AH62" displayName="Table_3" name="Table_3" id="3">
  <tableColumns count="33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name="4" id="5"/>
    <tableColumn totalsRowFunction="custom"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name="Número total de días" id="33"/>
  </tableColumns>
  <tableStyleInfo name="Enero-style 3" showColumnStripes="0" showFirstColumn="1" showLastColumn="1" showRowStripes="1"/>
</table>
</file>

<file path=xl/tables/table4.xml><?xml version="1.0" encoding="utf-8"?>
<table xmlns="http://schemas.openxmlformats.org/spreadsheetml/2006/main" totalsRowCount="1" ref="B66:AH95" displayName="Table_4" name="Table_4" id="4">
  <tableColumns count="33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name="4" id="5"/>
    <tableColumn totalsRowFunction="custom"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name="Número total de días" id="33"/>
  </tableColumns>
  <tableStyleInfo name="Enero-style 4" showColumnStripes="0" showFirstColumn="1" showLastColumn="1" showRowStripes="1"/>
</table>
</file>

<file path=xl/tables/table5.xml><?xml version="1.0" encoding="utf-8"?>
<table xmlns="http://schemas.openxmlformats.org/spreadsheetml/2006/main" totalsRowCount="1" ref="B99:AH121" displayName="Table_5" name="Table_5" id="5">
  <tableColumns count="33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name="4" id="5"/>
    <tableColumn name="5" id="6"/>
    <tableColumn totalsRowFunction="custom"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name="Número total de días" id="33"/>
  </tableColumns>
  <tableStyleInfo name="Enero-style 5" showColumnStripes="0" showFirstColumn="1" showLastColumn="1" showRowStripes="1"/>
</table>
</file>

<file path=xl/tables/table6.xml><?xml version="1.0" encoding="utf-8"?>
<table xmlns="http://schemas.openxmlformats.org/spreadsheetml/2006/main" totalsRowCount="1" ref="B125:AH148" displayName="Table_6" name="Table_6" id="6">
  <tableColumns count="33">
    <tableColumn name="NOMBRE  Y APELLIDO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name="Número total de días" id="33"/>
  </tableColumns>
  <tableStyleInfo name="Enero-style 6" showColumnStripes="0" showFirstColumn="1" showLastColumn="1" showRowStripes="1"/>
</table>
</file>

<file path=xl/tables/table7.xml><?xml version="1.0" encoding="utf-8"?>
<table xmlns="http://schemas.openxmlformats.org/spreadsheetml/2006/main" totalsRowCount="1" ref="B151:AH164" displayName="Table_7" name="Table_7" id="7">
  <tableColumns count="33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name="4" id="5"/>
    <tableColumn name="5" id="6"/>
    <tableColumn totalsRowFunction="custom"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totalsRowFunction="custom" name="23" id="24"/>
    <tableColumn totalsRowFunction="custom" name="24" id="25"/>
    <tableColumn totalsRowFunction="custom" name="25" id="26"/>
    <tableColumn totalsRowFunction="custom" name="26" id="27"/>
    <tableColumn totalsRowFunction="custom" name="27" id="28"/>
    <tableColumn totalsRowFunction="custom" name="28" id="29"/>
    <tableColumn totalsRowFunction="custom" name="29" id="30"/>
    <tableColumn totalsRowFunction="custom" name="30" id="31"/>
    <tableColumn totalsRowFunction="custom" name="31" id="32"/>
    <tableColumn totalsRowFunction="custom" name="Número total de días" id="33"/>
  </tableColumns>
  <tableStyleInfo name="Enero-style 7" showColumnStripes="0" showFirstColumn="1" showLastColumn="1" showRowStripes="1"/>
</table>
</file>

<file path=xl/tables/table8.xml><?xml version="1.0" encoding="utf-8"?>
<table xmlns="http://schemas.openxmlformats.org/spreadsheetml/2006/main" totalsRowCount="1" ref="B168:AH177" displayName="Table_8" name="Table_8" id="8">
  <tableColumns count="33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name="4" id="5"/>
    <tableColumn name="5" id="6"/>
    <tableColumn totalsRowFunction="custom" name="6" id="7"/>
    <tableColumn totalsRowFunction="custom"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totalsRowFunction="custom" name="27" id="28"/>
    <tableColumn totalsRowFunction="custom" name="28" id="29"/>
    <tableColumn totalsRowFunction="custom" name="29" id="30"/>
    <tableColumn totalsRowFunction="custom" name="30" id="31"/>
    <tableColumn totalsRowFunction="custom" name="31" id="32"/>
    <tableColumn name="Número total de días" id="33"/>
  </tableColumns>
  <tableStyleInfo name="Enero-style 8" showColumnStripes="0" showFirstColumn="1" showLastColumn="1" showRowStripes="1"/>
</table>
</file>

<file path=xl/tables/table9.xml><?xml version="1.0" encoding="utf-8"?>
<table xmlns="http://schemas.openxmlformats.org/spreadsheetml/2006/main" totalsRowCount="1" ref="B181:AH187" displayName="Table_9" name="Table_9" id="9">
  <tableColumns count="33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name="4" id="5"/>
    <tableColumn name="5" id="6"/>
    <tableColumn totalsRowFunction="custom" name="6" id="7"/>
    <tableColumn totalsRowFunction="custom" name="7" id="8"/>
    <tableColumn totalsRowFunction="custom" name="8" id="9"/>
    <tableColumn totalsRowFunction="custom" name="9" id="10"/>
    <tableColumn totalsRowFunction="custom" name="10" id="11"/>
    <tableColumn name="11" id="12"/>
    <tableColumn totalsRowFunction="custom" name="12" id="13"/>
    <tableColumn totalsRowFunction="custom" name="13" id="14"/>
    <tableColumn totalsRowFunction="custom" name="14" id="15"/>
    <tableColumn totalsRowFunction="custom" name="15" id="16"/>
    <tableColumn totalsRowFunction="custom" name="16" id="17"/>
    <tableColumn totalsRowFunction="custom" name="17" id="18"/>
    <tableColumn totalsRowFunction="custom" name="18" id="19"/>
    <tableColumn totalsRowFunction="custom" name="19" id="20"/>
    <tableColumn name="20" id="21"/>
    <tableColumn totalsRowFunction="custom" name="21" id="22"/>
    <tableColumn totalsRowFunction="custom" name="22" id="23"/>
    <tableColumn totalsRowFunction="custom" name="23" id="24"/>
    <tableColumn totalsRowFunction="custom" name="24" id="25"/>
    <tableColumn totalsRowFunction="custom" name="25" id="26"/>
    <tableColumn totalsRowFunction="custom" name="26" id="27"/>
    <tableColumn totalsRowFunction="custom" name="27" id="28"/>
    <tableColumn totalsRowFunction="custom" name="28" id="29"/>
    <tableColumn totalsRowFunction="custom" name="29" id="30"/>
    <tableColumn totalsRowFunction="custom" name="30" id="31"/>
    <tableColumn totalsRowFunction="custom" name="31" id="32"/>
    <tableColumn name="Número total de días" id="33"/>
  </tableColumns>
  <tableStyleInfo name="Enero-style 9" showColumnStripes="0" showFirstColumn="1" showLastColumn="1" showRowStripes="1"/>
</table>
</file>

<file path=xl/tables/table10.xml><?xml version="1.0" encoding="utf-8"?>
<table xmlns="http://schemas.openxmlformats.org/spreadsheetml/2006/main" totalsRowCount="1" ref="B191:AH197" displayName="Table_10" name="Table_10" id="10">
  <tableColumns count="33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name="4" id="5"/>
    <tableColumn name="5" id="6"/>
    <tableColumn totalsRowFunction="custom" name="6" id="7"/>
    <tableColumn totalsRowFunction="custom" name="7" id="8"/>
    <tableColumn totalsRowFunction="custom" name="8" id="9"/>
    <tableColumn totalsRowFunction="custom" name="9" id="10"/>
    <tableColumn totalsRowFunction="custom" name="10" id="11"/>
    <tableColumn name="11" id="12"/>
    <tableColumn totalsRowFunction="custom" name="12" id="13"/>
    <tableColumn totalsRowFunction="custom" name="13" id="14"/>
    <tableColumn totalsRowFunction="custom" name="14" id="15"/>
    <tableColumn totalsRowFunction="custom" name="15" id="16"/>
    <tableColumn totalsRowFunction="custom" name="16" id="17"/>
    <tableColumn totalsRowFunction="custom" name="17" id="18"/>
    <tableColumn totalsRowFunction="custom" name="18" id="19"/>
    <tableColumn totalsRowFunction="custom" name="19" id="20"/>
    <tableColumn name="20" id="21"/>
    <tableColumn totalsRowFunction="custom" name="21" id="22"/>
    <tableColumn totalsRowFunction="custom" name="22" id="23"/>
    <tableColumn totalsRowFunction="custom" name="23" id="24"/>
    <tableColumn totalsRowFunction="custom" name="24" id="25"/>
    <tableColumn totalsRowFunction="custom" name="25" id="26"/>
    <tableColumn totalsRowFunction="custom" name="26" id="27"/>
    <tableColumn totalsRowFunction="custom" name="27" id="28"/>
    <tableColumn totalsRowFunction="custom" name="28" id="29"/>
    <tableColumn totalsRowFunction="custom" name="29" id="30"/>
    <tableColumn totalsRowFunction="custom" name="30" id="31"/>
    <tableColumn totalsRowFunction="custom" name="31" id="32"/>
    <tableColumn totalsRowFunction="custom" name="Número total de días" id="33"/>
  </tableColumns>
  <tableStyleInfo name="Enero-style 10" showColumnStripes="0" showFirstColumn="1" showLastColumn="1" showRowStripes="1"/>
</table>
</file>

<file path=xl/tables/table11.xml><?xml version="1.0" encoding="utf-8"?>
<table xmlns="http://schemas.openxmlformats.org/spreadsheetml/2006/main" totalsRowCount="1" headerRowCount="0" ref="B6:AD8" displayName="Table_11" name="Table_11" id="11">
  <tableColumns count="29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totalsRowFunction="custom"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totalsRowFunction="custom"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name="Column29" id="29"/>
  </tableColumns>
  <tableStyleInfo name="Febrer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totalsRowCount="1" headerRowCount="0" ref="B12:AD41" displayName="Table_12" name="Table_12" id="12">
  <tableColumns count="29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Febrer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totalsRowCount="1" headerRowCount="0" ref="B46:AD76" displayName="Table_13" name="Table_13" id="13">
  <tableColumns count="29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Febrero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totalsRowCount="1" headerRowCount="0" ref="B80:AD113" displayName="Table_14" name="Table_14" id="14">
  <tableColumns count="29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Febrero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totalsRowCount="1" headerRowCount="0" ref="B117:AD142" displayName="Table_15" name="Table_15" id="15">
  <tableColumns count="29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Febrero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totalsRowCount="1" headerRowCount="0" ref="B146:AD172" displayName="Table_16" name="Table_16" id="16">
  <tableColumns count="29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totalsRowFunction="custom" name="Column29" id="29"/>
  </tableColumns>
  <tableStyleInfo name="Febrero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totalsRowCount="1" headerRowCount="0" ref="B176:AD193" displayName="Table_17" name="Table_17" id="17">
  <tableColumns count="29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</tableColumns>
  <tableStyleInfo name="Febrero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totalsRowCount="1" headerRowCount="0" ref="B197:AD208" displayName="Table_18" name="Table_18" id="18">
  <tableColumns count="29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totalsRowFunction="custom" name="Column28" id="28"/>
    <tableColumn name="Column29" id="29"/>
  </tableColumns>
  <tableStyleInfo name="Febrero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totalsRowCount="1" headerRowCount="0" ref="B212:AD218" displayName="Table_19" name="Table_19" id="19">
  <tableColumns count="29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name="Column29" id="29"/>
  </tableColumns>
  <tableStyleInfo name="Febrero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totalsRowCount="1" ref="B222:AD228" displayName="Table_20" name="Table_20" id="20">
  <tableColumns count="29">
    <tableColumn totalsRowFunction="custom" name="NOMBRE  Y APELLIDO" id="1"/>
    <tableColumn totalsRowFunction="custom" name="1" id="2"/>
    <tableColumn totalsRowFunction="custom" name="2" id="3"/>
    <tableColumn totalsRowFunction="custom" name="3" id="4"/>
    <tableColumn name="4" id="5"/>
    <tableColumn name="5" id="6"/>
    <tableColumn totalsRowFunction="custom" name="6" id="7"/>
    <tableColumn totalsRowFunction="custom" name="7" id="8"/>
    <tableColumn totalsRowFunction="custom" name="8" id="9"/>
    <tableColumn totalsRowFunction="custom" name="9" id="10"/>
    <tableColumn totalsRowFunction="custom" name="10" id="11"/>
    <tableColumn name="11" id="12"/>
    <tableColumn totalsRowFunction="custom" name="12" id="13"/>
    <tableColumn totalsRowFunction="custom" name="13" id="14"/>
    <tableColumn totalsRowFunction="custom" name="14" id="15"/>
    <tableColumn totalsRowFunction="custom" name="15" id="16"/>
    <tableColumn totalsRowFunction="custom" name="16" id="17"/>
    <tableColumn totalsRowFunction="custom" name="17" id="18"/>
    <tableColumn totalsRowFunction="custom" name="18" id="19"/>
    <tableColumn totalsRowFunction="custom" name="19" id="20"/>
    <tableColumn name="20" id="21"/>
    <tableColumn totalsRowFunction="custom" name="21" id="22"/>
    <tableColumn totalsRowFunction="custom" name="22" id="23"/>
    <tableColumn totalsRowFunction="custom" name="23" id="24"/>
    <tableColumn totalsRowFunction="custom" name="24" id="25"/>
    <tableColumn totalsRowFunction="custom" name="25" id="26"/>
    <tableColumn totalsRowFunction="custom" name="26" id="27"/>
    <tableColumn totalsRowFunction="custom" name="27" id="28"/>
    <tableColumn totalsRowFunction="custom" name="Número total de días" id="29"/>
  </tableColumns>
  <tableStyleInfo name="Febrero-style 10" showColumnStripes="0" showFirstColumn="1" showLastColumn="1" showRowStripes="1"/>
</table>
</file>

<file path=xl/tables/table21.xml><?xml version="1.0" encoding="utf-8"?>
<table xmlns="http://schemas.openxmlformats.org/spreadsheetml/2006/main" totalsRowCount="1" headerRowCount="0" ref="B6:AH8" displayName="Table_21" name="Table_21" id="21">
  <tableColumns count="33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totalsRowFunction="custom"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totalsRowFunction="custom"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</tableColumns>
  <tableStyleInfo name="Marz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totalsRowCount="1" headerRowCount="0" ref="B12:AH39" displayName="Table_22" name="Table_22" id="22">
  <tableColumns count="33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z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totalsRowCount="1" headerRowCount="0" ref="B44:AH74" displayName="Table_23" name="Table_23" id="23">
  <tableColumns count="33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zo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totalsRowCount="1" headerRowCount="0" ref="B78:AH110" displayName="Table_24" name="Table_24" id="24">
  <tableColumns count="33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zo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totalsRowCount="1" headerRowCount="0" ref="B114:AH141" displayName="Table_25" name="Table_25" id="25">
  <tableColumns count="33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Marzo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totalsRowCount="1" headerRowCount="0" ref="B145:AH176" displayName="Table_26" name="Table_26" id="26">
  <tableColumns count="33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</tableColumns>
  <tableStyleInfo name="Marzo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totalsRowCount="1" headerRowCount="0" ref="B180:AH196" displayName="Table_27" name="Table_27" id="27">
  <tableColumns count="33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</tableColumns>
  <tableStyleInfo name="Marzo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totalsRowCount="1" headerRowCount="0" ref="B200:AH211" displayName="Table_28" name="Table_28" id="28">
  <tableColumns count="33">
    <tableColumn totalsRowFunction="custom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</tableColumns>
  <tableStyleInfo name="Marzo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totalsRowCount="1" headerRowCount="0" ref="B215:AH221" displayName="Table_29" name="Table_29" id="29">
  <tableColumns count="33">
    <tableColumn totalsRowFunction="custom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totalsRowLabel=" " name="Column26" id="26"/>
    <tableColumn name="Column27" id="27"/>
    <tableColumn name="Column28" id="28"/>
    <tableColumn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</tableColumns>
  <tableStyleInfo name="Marzo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totalsRowCount="1" headerRowCount="0" ref="B225:AH231" displayName="Table_30" name="Table_30" id="30">
  <tableColumns count="33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</tableColumns>
  <tableStyleInfo name="Marzo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totalsRowCount="1" headerRowCount="0" ref="B6:AI8" displayName="Table_31" name="Table_31" id="31">
  <tableColumns count="34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totalsRowFunction="custom"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totalsRowFunction="custom"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name="Column32" id="32"/>
    <tableColumn name="Column33" id="33"/>
    <tableColumn name="Column34" id="34"/>
  </tableColumns>
  <tableStyleInfo name="Abri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totalsRowCount="1" headerRowCount="0" ref="B12:AI34" displayName="Table_32" name="Table_32" id="32">
  <tableColumns count="34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Abri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totalsRowCount="1" headerRowCount="0" ref="B39:AI62" displayName="Table_33" name="Table_33" id="33">
  <tableColumns count="34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Abri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totalsRowCount="1" headerRowCount="0" ref="B66:AI95" displayName="Table_34" name="Table_34" id="34">
  <tableColumns count="34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Abri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totalsRowCount="1" headerRowCount="0" ref="B99:AI121" displayName="Table_35" name="Table_35" id="35">
  <tableColumns count="34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Abril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totalsRowCount="1" headerRowCount="0" ref="B125:AI147" displayName="Table_36" name="Table_36" id="36">
  <tableColumns count="34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  <tableColumn name="Column34" id="34"/>
  </tableColumns>
  <tableStyleInfo name="Abril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totalsRowCount="1" headerRowCount="0" ref="B151:AI164" displayName="Table_37" name="Table_37" id="37">
  <tableColumns count="34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  <tableColumn name="Column34" id="34"/>
  </tableColumns>
  <tableStyleInfo name="Abril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totalsRowCount="1" headerRowCount="0" ref="B168:AI178" displayName="Table_38" name="Table_38" id="38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Abril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totalsRowCount="1" headerRowCount="0" ref="B181:AI187" displayName="Table_39" name="Table_39" id="39">
  <tableColumns count="34">
    <tableColumn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name="Column32" id="32"/>
    <tableColumn name="Column33" id="33"/>
    <tableColumn name="Column34" id="34"/>
  </tableColumns>
  <tableStyleInfo name="Abril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totalsRowCount="1" headerRowCount="0" ref="B191:AI197" displayName="Table_40" name="Table_40" id="40">
  <tableColumns count="34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  <tableColumn name="Column34" id="34"/>
  </tableColumns>
  <tableStyleInfo name="Abril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totalsRowCount="1" headerRowCount="0" ref="B6:AJ8" displayName="Table_41" name="Table_41" id="41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totalsRowFunction="custom"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totalsRowFunction="custom"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  <tableColumn name="Column34" id="34"/>
    <tableColumn name="Column35" id="35"/>
  </tableColumns>
  <tableStyleInfo name="May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totalsRowCount="1" headerRowCount="0" ref="B12:AJ34" displayName="Table_42" name="Table_42" id="42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May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totalsRowCount="1" headerRowCount="0" ref="B39:AJ62" displayName="Table_43" name="Table_43" id="43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Mayo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totalsRowCount="1" headerRowCount="0" ref="B66:AJ95" displayName="Table_44" name="Table_44" id="44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Mayo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5.xml><?xml version="1.0" encoding="utf-8"?>
<table xmlns="http://schemas.openxmlformats.org/spreadsheetml/2006/main" totalsRowCount="1" headerRowCount="0" ref="B99:AJ121" displayName="Table_45" name="Table_45" id="45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Mayo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totalsRowCount="1" headerRowCount="0" ref="B125:AJ147" displayName="Table_46" name="Table_46" id="46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Mayo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7.xml><?xml version="1.0" encoding="utf-8"?>
<table xmlns="http://schemas.openxmlformats.org/spreadsheetml/2006/main" totalsRowCount="1" headerRowCount="0" ref="B151:AJ164" displayName="Table_47" name="Table_47" id="47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Mayo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8.xml><?xml version="1.0" encoding="utf-8"?>
<table xmlns="http://schemas.openxmlformats.org/spreadsheetml/2006/main" totalsRowCount="1" headerRowCount="0" ref="B168:AJ178" displayName="Table_48" name="Table_48" id="48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Mayo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9.xml><?xml version="1.0" encoding="utf-8"?>
<table xmlns="http://schemas.openxmlformats.org/spreadsheetml/2006/main" totalsRowCount="1" headerRowCount="0" ref="B181:AJ187" displayName="Table_49" name="Table_49" id="49">
  <tableColumns count="35">
    <tableColumn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  <tableColumn name="Column34" id="34"/>
    <tableColumn name="Column35" id="35"/>
  </tableColumns>
  <tableStyleInfo name="Mayo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0.xml><?xml version="1.0" encoding="utf-8"?>
<table xmlns="http://schemas.openxmlformats.org/spreadsheetml/2006/main" totalsRowCount="1" headerRowCount="0" ref="B191:AJ197" displayName="Table_50" name="Table_50" id="50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Mayo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1.xml><?xml version="1.0" encoding="utf-8"?>
<table xmlns="http://schemas.openxmlformats.org/spreadsheetml/2006/main" totalsRowCount="1" headerRowCount="0" ref="B6:AJ8" displayName="Table_51" name="Table_51" id="51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totalsRowFunction="custom"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totalsRowFunction="custom"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  <tableColumn name="Column34" id="34"/>
    <tableColumn name="Column35" id="35"/>
  </tableColumns>
  <tableStyleInfo name="Juni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totalsRowCount="1" headerRowCount="0" ref="B12:AJ34" displayName="Table_52" name="Table_52" id="52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Juni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3.xml><?xml version="1.0" encoding="utf-8"?>
<table xmlns="http://schemas.openxmlformats.org/spreadsheetml/2006/main" totalsRowCount="1" headerRowCount="0" ref="B39:AJ62" displayName="Table_53" name="Table_53" id="53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Junio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4.xml><?xml version="1.0" encoding="utf-8"?>
<table xmlns="http://schemas.openxmlformats.org/spreadsheetml/2006/main" totalsRowCount="1" headerRowCount="0" ref="B66:AJ95" displayName="Table_54" name="Table_54" id="54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Junio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5.xml><?xml version="1.0" encoding="utf-8"?>
<table xmlns="http://schemas.openxmlformats.org/spreadsheetml/2006/main" totalsRowCount="1" headerRowCount="0" ref="B99:AJ121" displayName="Table_55" name="Table_55" id="55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Junio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6.xml><?xml version="1.0" encoding="utf-8"?>
<table xmlns="http://schemas.openxmlformats.org/spreadsheetml/2006/main" totalsRowCount="1" headerRowCount="0" ref="B125:AJ147" displayName="Table_56" name="Table_56" id="56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Junio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7.xml><?xml version="1.0" encoding="utf-8"?>
<table xmlns="http://schemas.openxmlformats.org/spreadsheetml/2006/main" totalsRowCount="1" headerRowCount="0" ref="B151:AJ164" displayName="Table_57" name="Table_57" id="57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Junio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8.xml><?xml version="1.0" encoding="utf-8"?>
<table xmlns="http://schemas.openxmlformats.org/spreadsheetml/2006/main" totalsRowCount="1" headerRowCount="0" ref="B168:AJ178" displayName="Table_58" name="Table_58" id="58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Junio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9.xml><?xml version="1.0" encoding="utf-8"?>
<table xmlns="http://schemas.openxmlformats.org/spreadsheetml/2006/main" totalsRowCount="1" headerRowCount="0" ref="B181:AJ187" displayName="Table_59" name="Table_59" id="59">
  <tableColumns count="35">
    <tableColumn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  <tableColumn name="Column34" id="34"/>
    <tableColumn name="Column35" id="35"/>
  </tableColumns>
  <tableStyleInfo name="Junio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0.xml><?xml version="1.0" encoding="utf-8"?>
<table xmlns="http://schemas.openxmlformats.org/spreadsheetml/2006/main" totalsRowCount="1" headerRowCount="0" ref="B191:AJ197" displayName="Table_60" name="Table_60" id="60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Junio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1.xml><?xml version="1.0" encoding="utf-8"?>
<table xmlns="http://schemas.openxmlformats.org/spreadsheetml/2006/main" totalsRowCount="1" headerRowCount="0" ref="B6:AJ8" displayName="Table_61" name="Table_61" id="61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totalsRowFunction="custom"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totalsRowFunction="custom"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  <tableColumn name="Column34" id="34"/>
    <tableColumn name="Column35" id="35"/>
  </tableColumns>
  <tableStyleInfo name="Juli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2.xml><?xml version="1.0" encoding="utf-8"?>
<table xmlns="http://schemas.openxmlformats.org/spreadsheetml/2006/main" totalsRowCount="1" headerRowCount="0" ref="B12:AJ34" displayName="Table_62" name="Table_62" id="62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Juli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3.xml><?xml version="1.0" encoding="utf-8"?>
<table xmlns="http://schemas.openxmlformats.org/spreadsheetml/2006/main" totalsRowCount="1" headerRowCount="0" ref="B39:AJ62" displayName="Table_63" name="Table_63" id="63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Julio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4.xml><?xml version="1.0" encoding="utf-8"?>
<table xmlns="http://schemas.openxmlformats.org/spreadsheetml/2006/main" totalsRowCount="1" headerRowCount="0" ref="B66:AJ95" displayName="Table_64" name="Table_64" id="64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Julio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5.xml><?xml version="1.0" encoding="utf-8"?>
<table xmlns="http://schemas.openxmlformats.org/spreadsheetml/2006/main" totalsRowCount="1" headerRowCount="0" ref="B99:AJ121" displayName="Table_65" name="Table_65" id="65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Julio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6.xml><?xml version="1.0" encoding="utf-8"?>
<table xmlns="http://schemas.openxmlformats.org/spreadsheetml/2006/main" totalsRowCount="1" headerRowCount="0" ref="B125:AJ147" displayName="Table_66" name="Table_66" id="66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Julio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7.xml><?xml version="1.0" encoding="utf-8"?>
<table xmlns="http://schemas.openxmlformats.org/spreadsheetml/2006/main" totalsRowCount="1" headerRowCount="0" ref="B151:AJ164" displayName="Table_67" name="Table_67" id="67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Julio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8.xml><?xml version="1.0" encoding="utf-8"?>
<table xmlns="http://schemas.openxmlformats.org/spreadsheetml/2006/main" totalsRowCount="1" headerRowCount="0" ref="B168:AJ178" displayName="Table_68" name="Table_68" id="68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Julio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9.xml><?xml version="1.0" encoding="utf-8"?>
<table xmlns="http://schemas.openxmlformats.org/spreadsheetml/2006/main" totalsRowCount="1" headerRowCount="0" ref="B181:AJ187" displayName="Table_69" name="Table_69" id="69">
  <tableColumns count="35">
    <tableColumn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  <tableColumn name="Column34" id="34"/>
    <tableColumn name="Column35" id="35"/>
  </tableColumns>
  <tableStyleInfo name="Julio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0.xml><?xml version="1.0" encoding="utf-8"?>
<table xmlns="http://schemas.openxmlformats.org/spreadsheetml/2006/main" totalsRowCount="1" headerRowCount="0" ref="B191:AJ197" displayName="Table_70" name="Table_70" id="70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Julio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1.xml><?xml version="1.0" encoding="utf-8"?>
<table xmlns="http://schemas.openxmlformats.org/spreadsheetml/2006/main" totalsRowCount="1" headerRowCount="0" ref="B6:AJ8" displayName="Table_71" name="Table_71" id="71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totalsRowFunction="custom"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totalsRowFunction="custom"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  <tableColumn name="Column34" id="34"/>
    <tableColumn name="Column35" id="35"/>
  </tableColumns>
  <tableStyleInfo name="Agost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2.xml><?xml version="1.0" encoding="utf-8"?>
<table xmlns="http://schemas.openxmlformats.org/spreadsheetml/2006/main" totalsRowCount="1" headerRowCount="0" ref="B12:AJ34" displayName="Table_72" name="Table_72" id="72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Agost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3.xml><?xml version="1.0" encoding="utf-8"?>
<table xmlns="http://schemas.openxmlformats.org/spreadsheetml/2006/main" totalsRowCount="1" headerRowCount="0" ref="B39:AJ62" displayName="Table_73" name="Table_73" id="73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Agosto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4.xml><?xml version="1.0" encoding="utf-8"?>
<table xmlns="http://schemas.openxmlformats.org/spreadsheetml/2006/main" totalsRowCount="1" headerRowCount="0" ref="B66:AJ95" displayName="Table_74" name="Table_74" id="74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Agosto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5.xml><?xml version="1.0" encoding="utf-8"?>
<table xmlns="http://schemas.openxmlformats.org/spreadsheetml/2006/main" totalsRowCount="1" headerRowCount="0" ref="B99:AJ121" displayName="Table_75" name="Table_75" id="75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Agosto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6.xml><?xml version="1.0" encoding="utf-8"?>
<table xmlns="http://schemas.openxmlformats.org/spreadsheetml/2006/main" totalsRowCount="1" headerRowCount="0" ref="B125:AJ147" displayName="Table_76" name="Table_76" id="76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Agosto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7.xml><?xml version="1.0" encoding="utf-8"?>
<table xmlns="http://schemas.openxmlformats.org/spreadsheetml/2006/main" totalsRowCount="1" headerRowCount="0" ref="B151:AJ164" displayName="Table_77" name="Table_77" id="77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Agosto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8.xml><?xml version="1.0" encoding="utf-8"?>
<table xmlns="http://schemas.openxmlformats.org/spreadsheetml/2006/main" totalsRowCount="1" headerRowCount="0" ref="B168:AJ178" displayName="Table_78" name="Table_78" id="78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Agosto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9.xml><?xml version="1.0" encoding="utf-8"?>
<table xmlns="http://schemas.openxmlformats.org/spreadsheetml/2006/main" totalsRowCount="1" headerRowCount="0" ref="B181:AJ187" displayName="Table_79" name="Table_79" id="79">
  <tableColumns count="35">
    <tableColumn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  <tableColumn name="Column34" id="34"/>
    <tableColumn name="Column35" id="35"/>
  </tableColumns>
  <tableStyleInfo name="Agosto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0.xml><?xml version="1.0" encoding="utf-8"?>
<table xmlns="http://schemas.openxmlformats.org/spreadsheetml/2006/main" totalsRowCount="1" headerRowCount="0" ref="B191:AJ197" displayName="Table_80" name="Table_80" id="80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Agosto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1.xml><?xml version="1.0" encoding="utf-8"?>
<table xmlns="http://schemas.openxmlformats.org/spreadsheetml/2006/main" totalsRowCount="1" headerRowCount="0" ref="B6:AJ8" displayName="Table_81" name="Table_81" id="81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totalsRowFunction="custom"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totalsRowFunction="custom"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  <tableColumn name="Column34" id="34"/>
    <tableColumn name="Column35" id="35"/>
  </tableColumns>
  <tableStyleInfo name="Setiembr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2.xml><?xml version="1.0" encoding="utf-8"?>
<table xmlns="http://schemas.openxmlformats.org/spreadsheetml/2006/main" totalsRowCount="1" headerRowCount="0" ref="B12:AJ34" displayName="Table_82" name="Table_82" id="82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Setiembr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3.xml><?xml version="1.0" encoding="utf-8"?>
<table xmlns="http://schemas.openxmlformats.org/spreadsheetml/2006/main" totalsRowCount="1" headerRowCount="0" ref="B39:AJ62" displayName="Table_83" name="Table_83" id="83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Setiembr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4.xml><?xml version="1.0" encoding="utf-8"?>
<table xmlns="http://schemas.openxmlformats.org/spreadsheetml/2006/main" totalsRowCount="1" headerRowCount="0" ref="B66:AJ95" displayName="Table_84" name="Table_84" id="84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Setiembr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5.xml><?xml version="1.0" encoding="utf-8"?>
<table xmlns="http://schemas.openxmlformats.org/spreadsheetml/2006/main" totalsRowCount="1" headerRowCount="0" ref="B99:AJ121" displayName="Table_85" name="Table_85" id="85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Setiembre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6.xml><?xml version="1.0" encoding="utf-8"?>
<table xmlns="http://schemas.openxmlformats.org/spreadsheetml/2006/main" totalsRowCount="1" headerRowCount="0" ref="B125:AJ147" displayName="Table_86" name="Table_86" id="86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Setiembre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7.xml><?xml version="1.0" encoding="utf-8"?>
<table xmlns="http://schemas.openxmlformats.org/spreadsheetml/2006/main" totalsRowCount="1" headerRowCount="0" ref="B151:AJ164" displayName="Table_87" name="Table_87" id="87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Setiembre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8.xml><?xml version="1.0" encoding="utf-8"?>
<table xmlns="http://schemas.openxmlformats.org/spreadsheetml/2006/main" totalsRowCount="1" headerRowCount="0" ref="B168:AJ178" displayName="Table_88" name="Table_88" id="88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Setiembre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9.xml><?xml version="1.0" encoding="utf-8"?>
<table xmlns="http://schemas.openxmlformats.org/spreadsheetml/2006/main" totalsRowCount="1" headerRowCount="0" ref="B181:AJ187" displayName="Table_89" name="Table_89" id="89">
  <tableColumns count="35">
    <tableColumn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  <tableColumn name="Column34" id="34"/>
    <tableColumn name="Column35" id="35"/>
  </tableColumns>
  <tableStyleInfo name="Setiembre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0.xml><?xml version="1.0" encoding="utf-8"?>
<table xmlns="http://schemas.openxmlformats.org/spreadsheetml/2006/main" totalsRowCount="1" headerRowCount="0" ref="B191:AJ197" displayName="Table_90" name="Table_90" id="90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Setiembre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1.xml><?xml version="1.0" encoding="utf-8"?>
<table xmlns="http://schemas.openxmlformats.org/spreadsheetml/2006/main" totalsRowCount="1" headerRowCount="0" ref="B6:AJ8" displayName="Table_91" name="Table_91" id="91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totalsRowFunction="custom"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totalsRowFunction="custom"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  <tableColumn name="Column34" id="34"/>
    <tableColumn name="Column35" id="35"/>
  </tableColumns>
  <tableStyleInfo name="Octubr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2.xml><?xml version="1.0" encoding="utf-8"?>
<table xmlns="http://schemas.openxmlformats.org/spreadsheetml/2006/main" totalsRowCount="1" headerRowCount="0" ref="B12:AJ34" displayName="Table_92" name="Table_92" id="92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Octubr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3.xml><?xml version="1.0" encoding="utf-8"?>
<table xmlns="http://schemas.openxmlformats.org/spreadsheetml/2006/main" totalsRowCount="1" headerRowCount="0" ref="B39:AJ62" displayName="Table_93" name="Table_93" id="93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Octubr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4.xml><?xml version="1.0" encoding="utf-8"?>
<table xmlns="http://schemas.openxmlformats.org/spreadsheetml/2006/main" totalsRowCount="1" headerRowCount="0" ref="B66:AJ95" displayName="Table_94" name="Table_94" id="94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Octubr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5.xml><?xml version="1.0" encoding="utf-8"?>
<table xmlns="http://schemas.openxmlformats.org/spreadsheetml/2006/main" totalsRowCount="1" headerRowCount="0" ref="B99:AJ121" displayName="Table_95" name="Table_95" id="95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Octubre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6.xml><?xml version="1.0" encoding="utf-8"?>
<table xmlns="http://schemas.openxmlformats.org/spreadsheetml/2006/main" totalsRowCount="1" headerRowCount="0" ref="B125:AJ147" displayName="Table_96" name="Table_96" id="96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Octubre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7.xml><?xml version="1.0" encoding="utf-8"?>
<table xmlns="http://schemas.openxmlformats.org/spreadsheetml/2006/main" totalsRowCount="1" headerRowCount="0" ref="B151:AJ164" displayName="Table_97" name="Table_97" id="97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Octubre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8.xml><?xml version="1.0" encoding="utf-8"?>
<table xmlns="http://schemas.openxmlformats.org/spreadsheetml/2006/main" totalsRowCount="1" headerRowCount="0" ref="B168:AJ178" displayName="Table_98" name="Table_98" id="98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Octubre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9.xml><?xml version="1.0" encoding="utf-8"?>
<table xmlns="http://schemas.openxmlformats.org/spreadsheetml/2006/main" totalsRowCount="1" headerRowCount="0" ref="B181:AJ187" displayName="Table_99" name="Table_99" id="99">
  <tableColumns count="35">
    <tableColumn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  <tableColumn name="Column34" id="34"/>
    <tableColumn name="Column35" id="35"/>
  </tableColumns>
  <tableStyleInfo name="Octubre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0.xml><?xml version="1.0" encoding="utf-8"?>
<table xmlns="http://schemas.openxmlformats.org/spreadsheetml/2006/main" totalsRowCount="1" headerRowCount="0" ref="B191:AJ197" displayName="Table_100" name="Table_100" id="100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Octubre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1.xml><?xml version="1.0" encoding="utf-8"?>
<table xmlns="http://schemas.openxmlformats.org/spreadsheetml/2006/main" totalsRowCount="1" headerRowCount="0" ref="B6:AJ8" displayName="Table_101" name="Table_101" id="101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totalsRowFunction="custom"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totalsRowFunction="custom"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  <tableColumn name="Column34" id="34"/>
    <tableColumn name="Column35" id="35"/>
  </tableColumns>
  <tableStyleInfo name="Noviembr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2.xml><?xml version="1.0" encoding="utf-8"?>
<table xmlns="http://schemas.openxmlformats.org/spreadsheetml/2006/main" totalsRowCount="1" headerRowCount="0" ref="B12:AJ34" displayName="Table_102" name="Table_102" id="102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Noviembr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3.xml><?xml version="1.0" encoding="utf-8"?>
<table xmlns="http://schemas.openxmlformats.org/spreadsheetml/2006/main" totalsRowCount="1" headerRowCount="0" ref="B39:AJ62" displayName="Table_103" name="Table_103" id="103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Noviembr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4.xml><?xml version="1.0" encoding="utf-8"?>
<table xmlns="http://schemas.openxmlformats.org/spreadsheetml/2006/main" totalsRowCount="1" headerRowCount="0" ref="B66:AJ95" displayName="Table_104" name="Table_104" id="104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Noviembr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5.xml><?xml version="1.0" encoding="utf-8"?>
<table xmlns="http://schemas.openxmlformats.org/spreadsheetml/2006/main" totalsRowCount="1" headerRowCount="0" ref="B99:AJ121" displayName="Table_105" name="Table_105" id="105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Noviembre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6.xml><?xml version="1.0" encoding="utf-8"?>
<table xmlns="http://schemas.openxmlformats.org/spreadsheetml/2006/main" totalsRowCount="1" headerRowCount="0" ref="B125:AJ147" displayName="Table_106" name="Table_106" id="106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Noviembre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7.xml><?xml version="1.0" encoding="utf-8"?>
<table xmlns="http://schemas.openxmlformats.org/spreadsheetml/2006/main" totalsRowCount="1" headerRowCount="0" ref="B151:AJ164" displayName="Table_107" name="Table_107" id="107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Noviembre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8.xml><?xml version="1.0" encoding="utf-8"?>
<table xmlns="http://schemas.openxmlformats.org/spreadsheetml/2006/main" totalsRowCount="1" headerRowCount="0" ref="B168:AJ178" displayName="Table_108" name="Table_108" id="108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Noviembre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9.xml><?xml version="1.0" encoding="utf-8"?>
<table xmlns="http://schemas.openxmlformats.org/spreadsheetml/2006/main" totalsRowCount="1" headerRowCount="0" ref="B181:AJ187" displayName="Table_109" name="Table_109" id="109">
  <tableColumns count="35">
    <tableColumn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  <tableColumn name="Column34" id="34"/>
    <tableColumn name="Column35" id="35"/>
  </tableColumns>
  <tableStyleInfo name="Noviembre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0.xml><?xml version="1.0" encoding="utf-8"?>
<table xmlns="http://schemas.openxmlformats.org/spreadsheetml/2006/main" totalsRowCount="1" headerRowCount="0" ref="B191:AJ197" displayName="Table_110" name="Table_110" id="110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Noviembre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1.xml><?xml version="1.0" encoding="utf-8"?>
<table xmlns="http://schemas.openxmlformats.org/spreadsheetml/2006/main" totalsRowCount="1" headerRowCount="0" ref="B6:AJ8" displayName="Table_111" name="Table_111" id="111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totalsRowFunction="custom" name="Column5" id="5"/>
    <tableColumn totalsRowFunction="custom"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totalsRowFunction="custom"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totalsRowFunction="custom"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  <tableColumn name="Column34" id="34"/>
    <tableColumn name="Column35" id="35"/>
  </tableColumns>
  <tableStyleInfo name="Diciembr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2.xml><?xml version="1.0" encoding="utf-8"?>
<table xmlns="http://schemas.openxmlformats.org/spreadsheetml/2006/main" totalsRowCount="1" headerRowCount="0" ref="B12:AJ34" displayName="Table_112" name="Table_112" id="112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Diciembr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3.xml><?xml version="1.0" encoding="utf-8"?>
<table xmlns="http://schemas.openxmlformats.org/spreadsheetml/2006/main" totalsRowCount="1" headerRowCount="0" ref="B39:AJ62" displayName="Table_113" name="Table_113" id="113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Diciembr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4.xml><?xml version="1.0" encoding="utf-8"?>
<table xmlns="http://schemas.openxmlformats.org/spreadsheetml/2006/main" totalsRowCount="1" headerRowCount="0" ref="B66:AJ95" displayName="Table_114" name="Table_114" id="114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totalsRowFunction="custom"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Diciembr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5.xml><?xml version="1.0" encoding="utf-8"?>
<table xmlns="http://schemas.openxmlformats.org/spreadsheetml/2006/main" totalsRowCount="1" headerRowCount="0" ref="B99:AJ121" displayName="Table_115" name="Table_115" id="115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Diciembre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6.xml><?xml version="1.0" encoding="utf-8"?>
<table xmlns="http://schemas.openxmlformats.org/spreadsheetml/2006/main" totalsRowCount="1" headerRowCount="0" ref="B125:AJ147" displayName="Table_116" name="Table_116" id="116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Diciembre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7.xml><?xml version="1.0" encoding="utf-8"?>
<table xmlns="http://schemas.openxmlformats.org/spreadsheetml/2006/main" totalsRowCount="1" headerRowCount="0" ref="B151:AJ164" displayName="Table_117" name="Table_117" id="117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Diciembre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8.xml><?xml version="1.0" encoding="utf-8"?>
<table xmlns="http://schemas.openxmlformats.org/spreadsheetml/2006/main" totalsRowCount="1" headerRowCount="0" ref="B168:AJ178" displayName="Table_118" name="Table_118" id="118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Diciembre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9.xml><?xml version="1.0" encoding="utf-8"?>
<table xmlns="http://schemas.openxmlformats.org/spreadsheetml/2006/main" totalsRowCount="1" headerRowCount="0" ref="B181:AJ187" displayName="Table_119" name="Table_119" id="119">
  <tableColumns count="35">
    <tableColumn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name="Column33" id="33"/>
    <tableColumn name="Column34" id="34"/>
    <tableColumn name="Column35" id="35"/>
  </tableColumns>
  <tableStyleInfo name="Diciembre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0.xml><?xml version="1.0" encoding="utf-8"?>
<table xmlns="http://schemas.openxmlformats.org/spreadsheetml/2006/main" totalsRowCount="1" headerRowCount="0" ref="B191:AJ197" displayName="Table_120" name="Table_120" id="120">
  <tableColumns count="35">
    <tableColumn totalsRowFunction="custom" name="Column1" id="1"/>
    <tableColumn totalsRowFunction="custom" name="Column2" id="2"/>
    <tableColumn totalsRowFunction="custom" name="Column3" id="3"/>
    <tableColumn totalsRowFunction="custom" name="Column4" id="4"/>
    <tableColumn name="Column5" id="5"/>
    <tableColumn name="Column6" id="6"/>
    <tableColumn totalsRowFunction="custom" name="Column7" id="7"/>
    <tableColumn totalsRowFunction="custom" name="Column8" id="8"/>
    <tableColumn totalsRowFunction="custom" name="Column9" id="9"/>
    <tableColumn totalsRowFunction="custom" name="Column10" id="10"/>
    <tableColumn totalsRowFunction="custom" name="Column11" id="11"/>
    <tableColumn name="Column12" id="12"/>
    <tableColumn totalsRowFunction="custom" name="Column13" id="13"/>
    <tableColumn totalsRowFunction="custom" name="Column14" id="14"/>
    <tableColumn totalsRowFunction="custom" name="Column15" id="15"/>
    <tableColumn totalsRowFunction="custom" name="Column16" id="16"/>
    <tableColumn totalsRowFunction="custom" name="Column17" id="17"/>
    <tableColumn totalsRowFunction="custom" name="Column18" id="18"/>
    <tableColumn totalsRowFunction="custom" name="Column19" id="19"/>
    <tableColumn totalsRowFunction="custom" name="Column20" id="20"/>
    <tableColumn name="Column21" id="21"/>
    <tableColumn totalsRowFunction="custom" name="Column22" id="22"/>
    <tableColumn totalsRowFunction="custom" name="Column23" id="23"/>
    <tableColumn totalsRowFunction="custom" name="Column24" id="24"/>
    <tableColumn totalsRowFunction="custom" name="Column25" id="25"/>
    <tableColumn totalsRowFunction="custom" name="Column26" id="26"/>
    <tableColumn totalsRowFunction="custom" name="Column27" id="27"/>
    <tableColumn totalsRowFunction="custom" name="Column28" id="28"/>
    <tableColumn totalsRowFunction="custom" name="Column29" id="29"/>
    <tableColumn totalsRowFunction="custom" name="Column30" id="30"/>
    <tableColumn totalsRowFunction="custom" name="Column31" id="31"/>
    <tableColumn totalsRowFunction="custom" name="Column32" id="32"/>
    <tableColumn totalsRowFunction="custom" name="Column33" id="33"/>
    <tableColumn name="Column34" id="34"/>
    <tableColumn name="Column35" id="35"/>
  </tableColumns>
  <tableStyleInfo name="Diciembre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53423"/>
      </a:accent1>
      <a:accent2>
        <a:srgbClr val="E68130"/>
      </a:accent2>
      <a:accent3>
        <a:srgbClr val="9BB05D"/>
      </a:accent3>
      <a:accent4>
        <a:srgbClr val="CC9900"/>
      </a:accent4>
      <a:accent5>
        <a:srgbClr val="4F66AF"/>
      </a:accent5>
      <a:accent6>
        <a:srgbClr val="D0D2D3"/>
      </a:accent6>
      <a:hlink>
        <a:srgbClr val="4F66AF"/>
      </a:hlink>
      <a:folHlink>
        <a:srgbClr val="4F66A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0" Type="http://schemas.openxmlformats.org/officeDocument/2006/relationships/table" Target="../tables/table19.xml"/><Relationship Id="rId21" Type="http://schemas.openxmlformats.org/officeDocument/2006/relationships/table" Target="../tables/table20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Relationship Id="rId17" Type="http://schemas.openxmlformats.org/officeDocument/2006/relationships/table" Target="../tables/table16.xml"/><Relationship Id="rId16" Type="http://schemas.openxmlformats.org/officeDocument/2006/relationships/table" Target="../tables/table15.xml"/><Relationship Id="rId19" Type="http://schemas.openxmlformats.org/officeDocument/2006/relationships/table" Target="../tables/table18.xml"/><Relationship Id="rId18" Type="http://schemas.openxmlformats.org/officeDocument/2006/relationships/table" Target="../tables/table1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20" Type="http://schemas.openxmlformats.org/officeDocument/2006/relationships/table" Target="../tables/table29.xml"/><Relationship Id="rId21" Type="http://schemas.openxmlformats.org/officeDocument/2006/relationships/table" Target="../tables/table30.xml"/><Relationship Id="rId13" Type="http://schemas.openxmlformats.org/officeDocument/2006/relationships/table" Target="../tables/table22.xml"/><Relationship Id="rId12" Type="http://schemas.openxmlformats.org/officeDocument/2006/relationships/table" Target="../tables/table21.xml"/><Relationship Id="rId15" Type="http://schemas.openxmlformats.org/officeDocument/2006/relationships/table" Target="../tables/table24.xml"/><Relationship Id="rId14" Type="http://schemas.openxmlformats.org/officeDocument/2006/relationships/table" Target="../tables/table23.xml"/><Relationship Id="rId17" Type="http://schemas.openxmlformats.org/officeDocument/2006/relationships/table" Target="../tables/table26.xml"/><Relationship Id="rId16" Type="http://schemas.openxmlformats.org/officeDocument/2006/relationships/table" Target="../tables/table25.xml"/><Relationship Id="rId19" Type="http://schemas.openxmlformats.org/officeDocument/2006/relationships/table" Target="../tables/table28.xml"/><Relationship Id="rId18" Type="http://schemas.openxmlformats.org/officeDocument/2006/relationships/table" Target="../tables/table2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20" Type="http://schemas.openxmlformats.org/officeDocument/2006/relationships/table" Target="../tables/table39.xml"/><Relationship Id="rId21" Type="http://schemas.openxmlformats.org/officeDocument/2006/relationships/table" Target="../tables/table40.xml"/><Relationship Id="rId13" Type="http://schemas.openxmlformats.org/officeDocument/2006/relationships/table" Target="../tables/table32.xml"/><Relationship Id="rId12" Type="http://schemas.openxmlformats.org/officeDocument/2006/relationships/table" Target="../tables/table31.xml"/><Relationship Id="rId15" Type="http://schemas.openxmlformats.org/officeDocument/2006/relationships/table" Target="../tables/table34.xml"/><Relationship Id="rId14" Type="http://schemas.openxmlformats.org/officeDocument/2006/relationships/table" Target="../tables/table33.xml"/><Relationship Id="rId17" Type="http://schemas.openxmlformats.org/officeDocument/2006/relationships/table" Target="../tables/table36.xml"/><Relationship Id="rId16" Type="http://schemas.openxmlformats.org/officeDocument/2006/relationships/table" Target="../tables/table35.xml"/><Relationship Id="rId19" Type="http://schemas.openxmlformats.org/officeDocument/2006/relationships/table" Target="../tables/table38.xml"/><Relationship Id="rId18" Type="http://schemas.openxmlformats.org/officeDocument/2006/relationships/table" Target="../tables/table3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20" Type="http://schemas.openxmlformats.org/officeDocument/2006/relationships/table" Target="../tables/table49.xml"/><Relationship Id="rId21" Type="http://schemas.openxmlformats.org/officeDocument/2006/relationships/table" Target="../tables/table50.xml"/><Relationship Id="rId13" Type="http://schemas.openxmlformats.org/officeDocument/2006/relationships/table" Target="../tables/table42.xml"/><Relationship Id="rId12" Type="http://schemas.openxmlformats.org/officeDocument/2006/relationships/table" Target="../tables/table41.xml"/><Relationship Id="rId15" Type="http://schemas.openxmlformats.org/officeDocument/2006/relationships/table" Target="../tables/table44.xml"/><Relationship Id="rId14" Type="http://schemas.openxmlformats.org/officeDocument/2006/relationships/table" Target="../tables/table43.xml"/><Relationship Id="rId17" Type="http://schemas.openxmlformats.org/officeDocument/2006/relationships/table" Target="../tables/table46.xml"/><Relationship Id="rId16" Type="http://schemas.openxmlformats.org/officeDocument/2006/relationships/table" Target="../tables/table45.xml"/><Relationship Id="rId19" Type="http://schemas.openxmlformats.org/officeDocument/2006/relationships/table" Target="../tables/table48.xml"/><Relationship Id="rId18" Type="http://schemas.openxmlformats.org/officeDocument/2006/relationships/table" Target="../tables/table4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20" Type="http://schemas.openxmlformats.org/officeDocument/2006/relationships/table" Target="../tables/table59.xml"/><Relationship Id="rId21" Type="http://schemas.openxmlformats.org/officeDocument/2006/relationships/table" Target="../tables/table60.xml"/><Relationship Id="rId13" Type="http://schemas.openxmlformats.org/officeDocument/2006/relationships/table" Target="../tables/table52.xml"/><Relationship Id="rId12" Type="http://schemas.openxmlformats.org/officeDocument/2006/relationships/table" Target="../tables/table51.xml"/><Relationship Id="rId15" Type="http://schemas.openxmlformats.org/officeDocument/2006/relationships/table" Target="../tables/table54.xml"/><Relationship Id="rId14" Type="http://schemas.openxmlformats.org/officeDocument/2006/relationships/table" Target="../tables/table53.xml"/><Relationship Id="rId17" Type="http://schemas.openxmlformats.org/officeDocument/2006/relationships/table" Target="../tables/table56.xml"/><Relationship Id="rId16" Type="http://schemas.openxmlformats.org/officeDocument/2006/relationships/table" Target="../tables/table55.xml"/><Relationship Id="rId19" Type="http://schemas.openxmlformats.org/officeDocument/2006/relationships/table" Target="../tables/table58.xml"/><Relationship Id="rId18" Type="http://schemas.openxmlformats.org/officeDocument/2006/relationships/table" Target="../tables/table5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20" Type="http://schemas.openxmlformats.org/officeDocument/2006/relationships/table" Target="../tables/table69.xml"/><Relationship Id="rId21" Type="http://schemas.openxmlformats.org/officeDocument/2006/relationships/table" Target="../tables/table70.xml"/><Relationship Id="rId13" Type="http://schemas.openxmlformats.org/officeDocument/2006/relationships/table" Target="../tables/table62.xml"/><Relationship Id="rId12" Type="http://schemas.openxmlformats.org/officeDocument/2006/relationships/table" Target="../tables/table61.xml"/><Relationship Id="rId15" Type="http://schemas.openxmlformats.org/officeDocument/2006/relationships/table" Target="../tables/table64.xml"/><Relationship Id="rId14" Type="http://schemas.openxmlformats.org/officeDocument/2006/relationships/table" Target="../tables/table63.xml"/><Relationship Id="rId17" Type="http://schemas.openxmlformats.org/officeDocument/2006/relationships/table" Target="../tables/table66.xml"/><Relationship Id="rId16" Type="http://schemas.openxmlformats.org/officeDocument/2006/relationships/table" Target="../tables/table65.xml"/><Relationship Id="rId19" Type="http://schemas.openxmlformats.org/officeDocument/2006/relationships/table" Target="../tables/table68.xml"/><Relationship Id="rId18" Type="http://schemas.openxmlformats.org/officeDocument/2006/relationships/table" Target="../tables/table6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20" Type="http://schemas.openxmlformats.org/officeDocument/2006/relationships/table" Target="../tables/table79.xml"/><Relationship Id="rId21" Type="http://schemas.openxmlformats.org/officeDocument/2006/relationships/table" Target="../tables/table80.xml"/><Relationship Id="rId13" Type="http://schemas.openxmlformats.org/officeDocument/2006/relationships/table" Target="../tables/table72.xml"/><Relationship Id="rId12" Type="http://schemas.openxmlformats.org/officeDocument/2006/relationships/table" Target="../tables/table71.xml"/><Relationship Id="rId15" Type="http://schemas.openxmlformats.org/officeDocument/2006/relationships/table" Target="../tables/table74.xml"/><Relationship Id="rId14" Type="http://schemas.openxmlformats.org/officeDocument/2006/relationships/table" Target="../tables/table73.xml"/><Relationship Id="rId17" Type="http://schemas.openxmlformats.org/officeDocument/2006/relationships/table" Target="../tables/table76.xml"/><Relationship Id="rId16" Type="http://schemas.openxmlformats.org/officeDocument/2006/relationships/table" Target="../tables/table75.xml"/><Relationship Id="rId19" Type="http://schemas.openxmlformats.org/officeDocument/2006/relationships/table" Target="../tables/table78.xml"/><Relationship Id="rId18" Type="http://schemas.openxmlformats.org/officeDocument/2006/relationships/table" Target="../tables/table7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20" Type="http://schemas.openxmlformats.org/officeDocument/2006/relationships/table" Target="../tables/table89.xml"/><Relationship Id="rId21" Type="http://schemas.openxmlformats.org/officeDocument/2006/relationships/table" Target="../tables/table90.xml"/><Relationship Id="rId13" Type="http://schemas.openxmlformats.org/officeDocument/2006/relationships/table" Target="../tables/table82.xml"/><Relationship Id="rId12" Type="http://schemas.openxmlformats.org/officeDocument/2006/relationships/table" Target="../tables/table81.xml"/><Relationship Id="rId15" Type="http://schemas.openxmlformats.org/officeDocument/2006/relationships/table" Target="../tables/table84.xml"/><Relationship Id="rId14" Type="http://schemas.openxmlformats.org/officeDocument/2006/relationships/table" Target="../tables/table83.xml"/><Relationship Id="rId17" Type="http://schemas.openxmlformats.org/officeDocument/2006/relationships/table" Target="../tables/table86.xml"/><Relationship Id="rId16" Type="http://schemas.openxmlformats.org/officeDocument/2006/relationships/table" Target="../tables/table85.xml"/><Relationship Id="rId19" Type="http://schemas.openxmlformats.org/officeDocument/2006/relationships/table" Target="../tables/table88.xml"/><Relationship Id="rId18" Type="http://schemas.openxmlformats.org/officeDocument/2006/relationships/table" Target="../tables/table8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20" Type="http://schemas.openxmlformats.org/officeDocument/2006/relationships/table" Target="../tables/table99.xml"/><Relationship Id="rId21" Type="http://schemas.openxmlformats.org/officeDocument/2006/relationships/table" Target="../tables/table100.xml"/><Relationship Id="rId13" Type="http://schemas.openxmlformats.org/officeDocument/2006/relationships/table" Target="../tables/table92.xml"/><Relationship Id="rId12" Type="http://schemas.openxmlformats.org/officeDocument/2006/relationships/table" Target="../tables/table91.xml"/><Relationship Id="rId15" Type="http://schemas.openxmlformats.org/officeDocument/2006/relationships/table" Target="../tables/table94.xml"/><Relationship Id="rId14" Type="http://schemas.openxmlformats.org/officeDocument/2006/relationships/table" Target="../tables/table93.xml"/><Relationship Id="rId17" Type="http://schemas.openxmlformats.org/officeDocument/2006/relationships/table" Target="../tables/table96.xml"/><Relationship Id="rId16" Type="http://schemas.openxmlformats.org/officeDocument/2006/relationships/table" Target="../tables/table95.xml"/><Relationship Id="rId19" Type="http://schemas.openxmlformats.org/officeDocument/2006/relationships/table" Target="../tables/table98.xml"/><Relationship Id="rId18" Type="http://schemas.openxmlformats.org/officeDocument/2006/relationships/table" Target="../tables/table9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20" Type="http://schemas.openxmlformats.org/officeDocument/2006/relationships/table" Target="../tables/table109.xml"/><Relationship Id="rId21" Type="http://schemas.openxmlformats.org/officeDocument/2006/relationships/table" Target="../tables/table110.xml"/><Relationship Id="rId13" Type="http://schemas.openxmlformats.org/officeDocument/2006/relationships/table" Target="../tables/table102.xml"/><Relationship Id="rId12" Type="http://schemas.openxmlformats.org/officeDocument/2006/relationships/table" Target="../tables/table101.xml"/><Relationship Id="rId15" Type="http://schemas.openxmlformats.org/officeDocument/2006/relationships/table" Target="../tables/table104.xml"/><Relationship Id="rId14" Type="http://schemas.openxmlformats.org/officeDocument/2006/relationships/table" Target="../tables/table103.xml"/><Relationship Id="rId17" Type="http://schemas.openxmlformats.org/officeDocument/2006/relationships/table" Target="../tables/table106.xml"/><Relationship Id="rId16" Type="http://schemas.openxmlformats.org/officeDocument/2006/relationships/table" Target="../tables/table105.xml"/><Relationship Id="rId19" Type="http://schemas.openxmlformats.org/officeDocument/2006/relationships/table" Target="../tables/table108.xml"/><Relationship Id="rId18" Type="http://schemas.openxmlformats.org/officeDocument/2006/relationships/table" Target="../tables/table10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20" Type="http://schemas.openxmlformats.org/officeDocument/2006/relationships/table" Target="../tables/table119.xml"/><Relationship Id="rId21" Type="http://schemas.openxmlformats.org/officeDocument/2006/relationships/table" Target="../tables/table120.xml"/><Relationship Id="rId13" Type="http://schemas.openxmlformats.org/officeDocument/2006/relationships/table" Target="../tables/table112.xml"/><Relationship Id="rId12" Type="http://schemas.openxmlformats.org/officeDocument/2006/relationships/table" Target="../tables/table111.xml"/><Relationship Id="rId15" Type="http://schemas.openxmlformats.org/officeDocument/2006/relationships/table" Target="../tables/table114.xml"/><Relationship Id="rId14" Type="http://schemas.openxmlformats.org/officeDocument/2006/relationships/table" Target="../tables/table113.xml"/><Relationship Id="rId17" Type="http://schemas.openxmlformats.org/officeDocument/2006/relationships/table" Target="../tables/table116.xml"/><Relationship Id="rId16" Type="http://schemas.openxmlformats.org/officeDocument/2006/relationships/table" Target="../tables/table115.xml"/><Relationship Id="rId19" Type="http://schemas.openxmlformats.org/officeDocument/2006/relationships/table" Target="../tables/table118.xml"/><Relationship Id="rId18" Type="http://schemas.openxmlformats.org/officeDocument/2006/relationships/table" Target="../tables/table1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1E11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3" width="4.71"/>
    <col customWidth="1" min="34" max="34" width="20.86"/>
  </cols>
  <sheetData>
    <row r="1" ht="49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AH1" s="5"/>
    </row>
    <row r="2" ht="15.0" customHeight="1">
      <c r="B2" s="6" t="s">
        <v>1</v>
      </c>
      <c r="C2" s="7" t="s">
        <v>2</v>
      </c>
      <c r="D2" s="8" t="s">
        <v>3</v>
      </c>
      <c r="E2" s="3"/>
      <c r="F2" s="4"/>
      <c r="G2" s="9" t="s">
        <v>4</v>
      </c>
      <c r="H2" s="8" t="s">
        <v>5</v>
      </c>
      <c r="I2" s="3"/>
      <c r="J2" s="4"/>
      <c r="K2" s="10" t="s">
        <v>6</v>
      </c>
      <c r="L2" s="8" t="s">
        <v>7</v>
      </c>
      <c r="M2" s="3"/>
      <c r="N2" s="4"/>
      <c r="O2" s="11" t="s">
        <v>8</v>
      </c>
      <c r="P2" s="8" t="s">
        <v>9</v>
      </c>
      <c r="Q2" s="3"/>
      <c r="R2" s="3"/>
      <c r="S2" s="4"/>
      <c r="T2" s="12" t="s">
        <v>10</v>
      </c>
      <c r="U2" s="8" t="s">
        <v>11</v>
      </c>
      <c r="V2" s="3"/>
      <c r="W2" s="3"/>
      <c r="X2" s="4"/>
      <c r="AH2" s="5"/>
    </row>
    <row r="3" ht="15.0" customHeight="1">
      <c r="AH3" s="13"/>
    </row>
    <row r="4" ht="30.0" customHeight="1">
      <c r="B4" s="14" t="s">
        <v>12</v>
      </c>
      <c r="C4" s="15" t="s">
        <v>13</v>
      </c>
      <c r="AH4" s="15">
        <v>2026.0</v>
      </c>
    </row>
    <row r="5" ht="15.0" customHeight="1">
      <c r="B5" s="14"/>
      <c r="C5" s="16" t="str">
        <f>TEXT(WEEKDAY(DATE(Enero!CalendarioAño,1,1),1),"ddd")</f>
        <v>jue</v>
      </c>
      <c r="D5" s="16" t="str">
        <f>TEXT(WEEKDAY(DATE(Enero!CalendarioAño,1,2),1),"ddd")</f>
        <v>vie</v>
      </c>
      <c r="E5" s="16" t="str">
        <f>TEXT(WEEKDAY(DATE(Enero!CalendarioAño,1,3),1),"ddd")</f>
        <v>sáb</v>
      </c>
      <c r="F5" s="16" t="str">
        <f>TEXT(WEEKDAY(DATE(Enero!CalendarioAño,1,4),1),"ddd")</f>
        <v>dom</v>
      </c>
      <c r="G5" s="16" t="str">
        <f>TEXT(WEEKDAY(DATE(Enero!CalendarioAño,1,5),1),"ddd")</f>
        <v>lun</v>
      </c>
      <c r="H5" s="16" t="str">
        <f>TEXT(WEEKDAY(DATE(Enero!CalendarioAño,1,6),1),"ddd")</f>
        <v>mar</v>
      </c>
      <c r="I5" s="16" t="str">
        <f>TEXT(WEEKDAY(DATE(Enero!CalendarioAño,1,7),1),"ddd")</f>
        <v>mié</v>
      </c>
      <c r="J5" s="16" t="str">
        <f>TEXT(WEEKDAY(DATE(Enero!CalendarioAño,1,8),1),"ddd")</f>
        <v>jue</v>
      </c>
      <c r="K5" s="16" t="str">
        <f>TEXT(WEEKDAY(DATE(Enero!CalendarioAño,1,9),1),"ddd")</f>
        <v>vie</v>
      </c>
      <c r="L5" s="16" t="str">
        <f>TEXT(WEEKDAY(DATE(Enero!CalendarioAño,1,10),1),"ddd")</f>
        <v>sáb</v>
      </c>
      <c r="M5" s="16" t="str">
        <f>TEXT(WEEKDAY(DATE(Enero!CalendarioAño,1,11),1),"ddd")</f>
        <v>dom</v>
      </c>
      <c r="N5" s="16" t="str">
        <f>TEXT(WEEKDAY(DATE(Enero!CalendarioAño,1,12),1),"ddd")</f>
        <v>lun</v>
      </c>
      <c r="O5" s="16" t="str">
        <f>TEXT(WEEKDAY(DATE(Enero!CalendarioAño,1,13),1),"ddd")</f>
        <v>mar</v>
      </c>
      <c r="P5" s="16" t="str">
        <f>TEXT(WEEKDAY(DATE(Enero!CalendarioAño,1,14),1),"ddd")</f>
        <v>mié</v>
      </c>
      <c r="Q5" s="16" t="str">
        <f>TEXT(WEEKDAY(DATE(Enero!CalendarioAño,1,15),1),"ddd")</f>
        <v>jue</v>
      </c>
      <c r="R5" s="16" t="str">
        <f>TEXT(WEEKDAY(DATE(Enero!CalendarioAño,1,16),1),"ddd")</f>
        <v>vie</v>
      </c>
      <c r="S5" s="16" t="str">
        <f>TEXT(WEEKDAY(DATE(Enero!CalendarioAño,1,17),1),"ddd")</f>
        <v>sáb</v>
      </c>
      <c r="T5" s="16" t="str">
        <f>TEXT(WEEKDAY(DATE(Enero!CalendarioAño,1,18),1),"ddd")</f>
        <v>dom</v>
      </c>
      <c r="U5" s="16" t="str">
        <f>TEXT(WEEKDAY(DATE(Enero!CalendarioAño,1,19),1),"ddd")</f>
        <v>lun</v>
      </c>
      <c r="V5" s="16" t="str">
        <f>TEXT(WEEKDAY(DATE(Enero!CalendarioAño,1,20),1),"ddd")</f>
        <v>mar</v>
      </c>
      <c r="W5" s="16" t="str">
        <f>TEXT(WEEKDAY(DATE(Enero!CalendarioAño,1,21),1),"ddd")</f>
        <v>mié</v>
      </c>
      <c r="X5" s="16" t="str">
        <f>TEXT(WEEKDAY(DATE(Enero!CalendarioAño,1,22),1),"ddd")</f>
        <v>jue</v>
      </c>
      <c r="Y5" s="16" t="str">
        <f>TEXT(WEEKDAY(DATE(Enero!CalendarioAño,1,23),1),"ddd")</f>
        <v>vie</v>
      </c>
      <c r="Z5" s="16" t="str">
        <f>TEXT(WEEKDAY(DATE(Enero!CalendarioAño,1,24),1),"ddd")</f>
        <v>sáb</v>
      </c>
      <c r="AA5" s="16" t="str">
        <f>TEXT(WEEKDAY(DATE(Enero!CalendarioAño,1,25),1),"ddd")</f>
        <v>dom</v>
      </c>
      <c r="AB5" s="16" t="str">
        <f>TEXT(WEEKDAY(DATE(Enero!CalendarioAño,1,26),1),"ddd")</f>
        <v>lun</v>
      </c>
      <c r="AC5" s="16" t="str">
        <f>TEXT(WEEKDAY(DATE(Enero!CalendarioAño,1,27),1),"ddd")</f>
        <v>mar</v>
      </c>
      <c r="AD5" s="16" t="str">
        <f>TEXT(WEEKDAY(DATE(Enero!CalendarioAño,1,28),1),"ddd")</f>
        <v>mié</v>
      </c>
      <c r="AE5" s="16" t="str">
        <f>TEXT(WEEKDAY(DATE(Enero!CalendarioAño,1,29),1),"ddd")</f>
        <v>jue</v>
      </c>
      <c r="AF5" s="16" t="str">
        <f>TEXT(WEEKDAY(DATE(Enero!CalendarioAño,1,30),1),"ddd")</f>
        <v>vie</v>
      </c>
      <c r="AG5" s="16" t="str">
        <f>TEXT(WEEKDAY(DATE(Enero!CalendarioAño,1,31),1),"ddd")</f>
        <v>sáb</v>
      </c>
      <c r="AH5" s="14"/>
    </row>
    <row r="6" ht="15.0" customHeight="1">
      <c r="A6" s="17"/>
      <c r="B6" s="18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  <c r="I6" s="19" t="s">
        <v>21</v>
      </c>
      <c r="J6" s="19" t="s">
        <v>22</v>
      </c>
      <c r="K6" s="19" t="s">
        <v>23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19" t="s">
        <v>36</v>
      </c>
      <c r="Y6" s="19" t="s">
        <v>37</v>
      </c>
      <c r="Z6" s="19" t="s">
        <v>38</v>
      </c>
      <c r="AA6" s="19" t="s">
        <v>39</v>
      </c>
      <c r="AB6" s="19" t="s">
        <v>40</v>
      </c>
      <c r="AC6" s="19" t="s">
        <v>41</v>
      </c>
      <c r="AD6" s="19" t="s">
        <v>42</v>
      </c>
      <c r="AE6" s="19" t="s">
        <v>43</v>
      </c>
      <c r="AF6" s="19" t="s">
        <v>44</v>
      </c>
      <c r="AG6" s="19" t="s">
        <v>45</v>
      </c>
      <c r="AH6" s="19" t="s">
        <v>46</v>
      </c>
    </row>
    <row r="7" ht="30.0" customHeight="1">
      <c r="B7" s="20"/>
      <c r="C7" s="21"/>
      <c r="D7" s="21"/>
      <c r="E7" s="21"/>
      <c r="F7" s="22"/>
      <c r="G7" s="22"/>
      <c r="H7" s="21"/>
      <c r="I7" s="21"/>
      <c r="J7" s="21"/>
      <c r="K7" s="22"/>
      <c r="L7" s="21"/>
      <c r="M7" s="21"/>
      <c r="N7" s="22"/>
      <c r="O7" s="21"/>
      <c r="P7" s="21"/>
      <c r="Q7" s="21"/>
      <c r="R7" s="22"/>
      <c r="S7" s="21"/>
      <c r="T7" s="22"/>
      <c r="U7" s="22"/>
      <c r="V7" s="21"/>
      <c r="W7" s="21"/>
      <c r="X7" s="21"/>
      <c r="Y7" s="22"/>
      <c r="Z7" s="21"/>
      <c r="AA7" s="22"/>
      <c r="AB7" s="22"/>
      <c r="AC7" s="21"/>
      <c r="AD7" s="21"/>
      <c r="AE7" s="21"/>
      <c r="AF7" s="22"/>
      <c r="AG7" s="21"/>
      <c r="AH7" s="23"/>
    </row>
    <row r="8" ht="30.0" customHeight="1">
      <c r="B8" s="24" t="str">
        <f>Enero!MonthName&amp;" Total"</f>
        <v>Enero Total</v>
      </c>
      <c r="C8" s="25">
        <f>SUBTOTAL(103,Enero!$C$7)</f>
        <v>0</v>
      </c>
      <c r="D8" s="25">
        <f>SUBTOTAL(103,Enero!$D$7)</f>
        <v>0</v>
      </c>
      <c r="E8" s="25">
        <f>SUBTOTAL(103,Enero!$E$7)</f>
        <v>0</v>
      </c>
      <c r="F8" s="25">
        <f>SUBTOTAL(103,Enero!$F$7)</f>
        <v>0</v>
      </c>
      <c r="G8" s="25">
        <f>SUBTOTAL(103,Enero!$G$7)</f>
        <v>0</v>
      </c>
      <c r="H8" s="25">
        <f>SUBTOTAL(103,Enero!$H$7)</f>
        <v>0</v>
      </c>
      <c r="I8" s="25">
        <f>SUBTOTAL(103,Enero!$I$7)</f>
        <v>0</v>
      </c>
      <c r="J8" s="25">
        <f>SUBTOTAL(103,Enero!$J$7)</f>
        <v>0</v>
      </c>
      <c r="K8" s="25">
        <f>SUBTOTAL(103,Enero!$K$7)</f>
        <v>0</v>
      </c>
      <c r="L8" s="25">
        <f>SUBTOTAL(103,Enero!$L$7)</f>
        <v>0</v>
      </c>
      <c r="M8" s="25">
        <f>SUBTOTAL(103,Enero!$M$7)</f>
        <v>0</v>
      </c>
      <c r="N8" s="25">
        <f>SUBTOTAL(103,Enero!$N$7)</f>
        <v>0</v>
      </c>
      <c r="O8" s="25">
        <f>SUBTOTAL(103,Enero!$O$7)</f>
        <v>0</v>
      </c>
      <c r="P8" s="25">
        <f>SUBTOTAL(103,Enero!$P$7)</f>
        <v>0</v>
      </c>
      <c r="Q8" s="25">
        <f>SUBTOTAL(103,Enero!$Q$7)</f>
        <v>0</v>
      </c>
      <c r="R8" s="25">
        <f>SUBTOTAL(103,Enero!$R$7)</f>
        <v>0</v>
      </c>
      <c r="S8" s="25">
        <f>SUBTOTAL(103,Enero!$S$7)</f>
        <v>0</v>
      </c>
      <c r="T8" s="25">
        <f>SUBTOTAL(103,Enero!$T$7)</f>
        <v>0</v>
      </c>
      <c r="U8" s="25">
        <f>SUBTOTAL(103,Enero!$U$7)</f>
        <v>0</v>
      </c>
      <c r="V8" s="25">
        <f>SUBTOTAL(103,Enero!$V$7)</f>
        <v>0</v>
      </c>
      <c r="W8" s="25">
        <f>SUBTOTAL(103,Enero!$W$7)</f>
        <v>0</v>
      </c>
      <c r="X8" s="25">
        <f>SUBTOTAL(103,Enero!$X$7)</f>
        <v>0</v>
      </c>
      <c r="Y8" s="25">
        <f>SUBTOTAL(103,Enero!$Y$7)</f>
        <v>0</v>
      </c>
      <c r="Z8" s="25">
        <f>SUBTOTAL(103,Enero!$Z$7)</f>
        <v>0</v>
      </c>
      <c r="AA8" s="25">
        <f>SUBTOTAL(103,Enero!$AA$7)</f>
        <v>0</v>
      </c>
      <c r="AB8" s="25">
        <f>SUBTOTAL(103,Enero!$AB$7)</f>
        <v>0</v>
      </c>
      <c r="AC8" s="25">
        <f>SUBTOTAL(103,Enero!$AC$7)</f>
        <v>0</v>
      </c>
      <c r="AD8" s="25">
        <f>SUBTOTAL(103,Enero!$AD$7)</f>
        <v>0</v>
      </c>
      <c r="AE8" s="25">
        <f>SUBTOTAL(103,Enero!$AE$7)</f>
        <v>0</v>
      </c>
      <c r="AF8" s="25">
        <f>SUBTOTAL(103,Enero!$AF$7)</f>
        <v>0</v>
      </c>
      <c r="AG8" s="25">
        <f>SUBTOTAL(103,Enero!$AG$7)</f>
        <v>0</v>
      </c>
      <c r="AH8" s="25"/>
    </row>
    <row r="9" ht="30.0" customHeight="1">
      <c r="AH9" s="5"/>
    </row>
    <row r="10" ht="30.0" customHeight="1">
      <c r="B10" s="26" t="s">
        <v>12</v>
      </c>
      <c r="C10" s="27" t="s">
        <v>47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9">
        <v>2026.0</v>
      </c>
    </row>
    <row r="11" ht="30.0" customHeight="1">
      <c r="B11" s="30"/>
      <c r="C11" s="16" t="str">
        <f>TEXT(WEEKDAY(DATE(Enero!CalendarioAño,1,1),1),"ddd")</f>
        <v>jue</v>
      </c>
      <c r="D11" s="16" t="str">
        <f>TEXT(WEEKDAY(DATE(Enero!CalendarioAño,1,2),1),"ddd")</f>
        <v>vie</v>
      </c>
      <c r="E11" s="16" t="str">
        <f>TEXT(WEEKDAY(DATE(Enero!CalendarioAño,1,3),1),"ddd")</f>
        <v>sáb</v>
      </c>
      <c r="F11" s="16" t="str">
        <f>TEXT(WEEKDAY(DATE(Enero!CalendarioAño,1,4),1),"ddd")</f>
        <v>dom</v>
      </c>
      <c r="G11" s="16" t="str">
        <f>TEXT(WEEKDAY(DATE(Enero!CalendarioAño,1,5),1),"ddd")</f>
        <v>lun</v>
      </c>
      <c r="H11" s="16" t="str">
        <f>TEXT(WEEKDAY(DATE(Enero!CalendarioAño,1,6),1),"ddd")</f>
        <v>mar</v>
      </c>
      <c r="I11" s="16" t="str">
        <f>TEXT(WEEKDAY(DATE(Enero!CalendarioAño,1,7),1),"ddd")</f>
        <v>mié</v>
      </c>
      <c r="J11" s="16" t="str">
        <f>TEXT(WEEKDAY(DATE(Enero!CalendarioAño,1,8),1),"ddd")</f>
        <v>jue</v>
      </c>
      <c r="K11" s="16" t="str">
        <f>TEXT(WEEKDAY(DATE(Enero!CalendarioAño,1,9),1),"ddd")</f>
        <v>vie</v>
      </c>
      <c r="L11" s="16" t="str">
        <f>TEXT(WEEKDAY(DATE(Enero!CalendarioAño,1,10),1),"ddd")</f>
        <v>sáb</v>
      </c>
      <c r="M11" s="16" t="str">
        <f>TEXT(WEEKDAY(DATE(Enero!CalendarioAño,1,11),1),"ddd")</f>
        <v>dom</v>
      </c>
      <c r="N11" s="16" t="str">
        <f>TEXT(WEEKDAY(DATE(Enero!CalendarioAño,1,12),1),"ddd")</f>
        <v>lun</v>
      </c>
      <c r="O11" s="16" t="str">
        <f>TEXT(WEEKDAY(DATE(Enero!CalendarioAño,1,13),1),"ddd")</f>
        <v>mar</v>
      </c>
      <c r="P11" s="16" t="str">
        <f>TEXT(WEEKDAY(DATE(Enero!CalendarioAño,1,14),1),"ddd")</f>
        <v>mié</v>
      </c>
      <c r="Q11" s="16" t="str">
        <f>TEXT(WEEKDAY(DATE(Enero!CalendarioAño,1,15),1),"ddd")</f>
        <v>jue</v>
      </c>
      <c r="R11" s="16" t="str">
        <f>TEXT(WEEKDAY(DATE(Enero!CalendarioAño,1,16),1),"ddd")</f>
        <v>vie</v>
      </c>
      <c r="S11" s="16" t="str">
        <f>TEXT(WEEKDAY(DATE(Enero!CalendarioAño,1,17),1),"ddd")</f>
        <v>sáb</v>
      </c>
      <c r="T11" s="16" t="str">
        <f>TEXT(WEEKDAY(DATE(Enero!CalendarioAño,1,18),1),"ddd")</f>
        <v>dom</v>
      </c>
      <c r="U11" s="16" t="str">
        <f>TEXT(WEEKDAY(DATE(Enero!CalendarioAño,1,19),1),"ddd")</f>
        <v>lun</v>
      </c>
      <c r="V11" s="16" t="str">
        <f>TEXT(WEEKDAY(DATE(Enero!CalendarioAño,1,20),1),"ddd")</f>
        <v>mar</v>
      </c>
      <c r="W11" s="16" t="str">
        <f>TEXT(WEEKDAY(DATE(Enero!CalendarioAño,1,21),1),"ddd")</f>
        <v>mié</v>
      </c>
      <c r="X11" s="16" t="str">
        <f>TEXT(WEEKDAY(DATE(Enero!CalendarioAño,1,22),1),"ddd")</f>
        <v>jue</v>
      </c>
      <c r="Y11" s="16" t="str">
        <f>TEXT(WEEKDAY(DATE(Enero!CalendarioAño,1,23),1),"ddd")</f>
        <v>vie</v>
      </c>
      <c r="Z11" s="16" t="str">
        <f>TEXT(WEEKDAY(DATE(Enero!CalendarioAño,1,24),1),"ddd")</f>
        <v>sáb</v>
      </c>
      <c r="AA11" s="16" t="str">
        <f>TEXT(WEEKDAY(DATE(Enero!CalendarioAño,1,25),1),"ddd")</f>
        <v>dom</v>
      </c>
      <c r="AB11" s="16" t="str">
        <f>TEXT(WEEKDAY(DATE(Enero!CalendarioAño,1,26),1),"ddd")</f>
        <v>lun</v>
      </c>
      <c r="AC11" s="16" t="str">
        <f>TEXT(WEEKDAY(DATE(Enero!CalendarioAño,1,27),1),"ddd")</f>
        <v>mar</v>
      </c>
      <c r="AD11" s="16" t="str">
        <f>TEXT(WEEKDAY(DATE(Enero!CalendarioAño,1,28),1),"ddd")</f>
        <v>mié</v>
      </c>
      <c r="AE11" s="16" t="str">
        <f>TEXT(WEEKDAY(DATE(Enero!CalendarioAño,1,29),1),"ddd")</f>
        <v>jue</v>
      </c>
      <c r="AF11" s="16" t="str">
        <f>TEXT(WEEKDAY(DATE(Enero!CalendarioAño,1,30),1),"ddd")</f>
        <v>vie</v>
      </c>
      <c r="AG11" s="16" t="str">
        <f>TEXT(WEEKDAY(DATE(Enero!CalendarioAño,1,31),1),"ddd")</f>
        <v>sáb</v>
      </c>
      <c r="AH11" s="30"/>
    </row>
    <row r="12" ht="21.75" customHeight="1">
      <c r="A12" s="17"/>
      <c r="B12" s="31" t="s">
        <v>14</v>
      </c>
      <c r="C12" s="19" t="s">
        <v>15</v>
      </c>
      <c r="D12" s="19" t="s">
        <v>16</v>
      </c>
      <c r="E12" s="19" t="s">
        <v>17</v>
      </c>
      <c r="F12" s="19" t="s">
        <v>18</v>
      </c>
      <c r="G12" s="19" t="s">
        <v>19</v>
      </c>
      <c r="H12" s="19" t="s">
        <v>20</v>
      </c>
      <c r="I12" s="19" t="s">
        <v>21</v>
      </c>
      <c r="J12" s="19" t="s">
        <v>22</v>
      </c>
      <c r="K12" s="19" t="s">
        <v>23</v>
      </c>
      <c r="L12" s="19" t="s">
        <v>24</v>
      </c>
      <c r="M12" s="19" t="s">
        <v>25</v>
      </c>
      <c r="N12" s="19" t="s">
        <v>26</v>
      </c>
      <c r="O12" s="19" t="s">
        <v>27</v>
      </c>
      <c r="P12" s="19" t="s">
        <v>28</v>
      </c>
      <c r="Q12" s="19" t="s">
        <v>29</v>
      </c>
      <c r="R12" s="19" t="s">
        <v>30</v>
      </c>
      <c r="S12" s="19" t="s">
        <v>31</v>
      </c>
      <c r="T12" s="19" t="s">
        <v>32</v>
      </c>
      <c r="U12" s="19" t="s">
        <v>33</v>
      </c>
      <c r="V12" s="19" t="s">
        <v>34</v>
      </c>
      <c r="W12" s="19" t="s">
        <v>35</v>
      </c>
      <c r="X12" s="19" t="s">
        <v>36</v>
      </c>
      <c r="Y12" s="19" t="s">
        <v>37</v>
      </c>
      <c r="Z12" s="19" t="s">
        <v>38</v>
      </c>
      <c r="AA12" s="19" t="s">
        <v>39</v>
      </c>
      <c r="AB12" s="19" t="s">
        <v>40</v>
      </c>
      <c r="AC12" s="19" t="s">
        <v>41</v>
      </c>
      <c r="AD12" s="19" t="s">
        <v>42</v>
      </c>
      <c r="AE12" s="19" t="s">
        <v>43</v>
      </c>
      <c r="AF12" s="19" t="s">
        <v>44</v>
      </c>
      <c r="AG12" s="19" t="s">
        <v>45</v>
      </c>
      <c r="AH12" s="19" t="s">
        <v>46</v>
      </c>
    </row>
    <row r="13" ht="30.0" customHeight="1">
      <c r="B13" s="32" t="s">
        <v>48</v>
      </c>
      <c r="C13" s="21"/>
      <c r="D13" s="21"/>
      <c r="E13" s="21"/>
      <c r="F13" s="21"/>
      <c r="G13" s="10" t="s">
        <v>6</v>
      </c>
      <c r="H13" s="10" t="s">
        <v>6</v>
      </c>
      <c r="I13" s="10" t="s">
        <v>6</v>
      </c>
      <c r="J13" s="10" t="s">
        <v>6</v>
      </c>
      <c r="K13" s="10" t="s">
        <v>6</v>
      </c>
      <c r="L13" s="21"/>
      <c r="M13" s="33"/>
      <c r="N13" s="22"/>
      <c r="O13" s="21"/>
      <c r="P13" s="21"/>
      <c r="Q13" s="21"/>
      <c r="R13" s="22"/>
      <c r="S13" s="21"/>
      <c r="T13" s="33"/>
      <c r="U13" s="21"/>
      <c r="V13" s="21"/>
      <c r="W13" s="33"/>
      <c r="X13" s="21"/>
      <c r="Y13" s="10" t="s">
        <v>6</v>
      </c>
      <c r="Z13" s="21"/>
      <c r="AA13" s="33"/>
      <c r="AB13" s="10" t="s">
        <v>6</v>
      </c>
      <c r="AC13" s="22"/>
      <c r="AD13" s="10" t="s">
        <v>6</v>
      </c>
      <c r="AE13" s="10" t="s">
        <v>6</v>
      </c>
      <c r="AF13" s="34"/>
      <c r="AG13" s="21"/>
      <c r="AH13" s="23"/>
    </row>
    <row r="14" ht="30.0" customHeight="1">
      <c r="B14" s="32" t="s">
        <v>49</v>
      </c>
      <c r="C14" s="21"/>
      <c r="D14" s="21"/>
      <c r="E14" s="21"/>
      <c r="F14" s="21"/>
      <c r="G14" s="10" t="s">
        <v>6</v>
      </c>
      <c r="H14" s="10" t="s">
        <v>6</v>
      </c>
      <c r="I14" s="21"/>
      <c r="J14" s="10" t="s">
        <v>6</v>
      </c>
      <c r="K14" s="33"/>
      <c r="L14" s="21"/>
      <c r="M14" s="21"/>
      <c r="N14" s="10" t="s">
        <v>6</v>
      </c>
      <c r="O14" s="21"/>
      <c r="P14" s="33"/>
      <c r="Q14" s="10" t="s">
        <v>6</v>
      </c>
      <c r="R14" s="33"/>
      <c r="S14" s="21"/>
      <c r="T14" s="21"/>
      <c r="U14" s="21"/>
      <c r="V14" s="21"/>
      <c r="W14" s="33"/>
      <c r="X14" s="21"/>
      <c r="Y14" s="21"/>
      <c r="Z14" s="21"/>
      <c r="AA14" s="21"/>
      <c r="AB14" s="21"/>
      <c r="AC14" s="21"/>
      <c r="AD14" s="21"/>
      <c r="AE14" s="10" t="s">
        <v>6</v>
      </c>
      <c r="AF14" s="34"/>
      <c r="AG14" s="21"/>
      <c r="AH14" s="23"/>
    </row>
    <row r="15" ht="30.0" customHeight="1">
      <c r="B15" s="32" t="s">
        <v>50</v>
      </c>
      <c r="C15" s="21"/>
      <c r="D15" s="21"/>
      <c r="E15" s="21"/>
      <c r="F15" s="21"/>
      <c r="G15" s="10" t="s">
        <v>6</v>
      </c>
      <c r="H15" s="21"/>
      <c r="I15" s="21"/>
      <c r="J15" s="10" t="s">
        <v>6</v>
      </c>
      <c r="K15" s="21"/>
      <c r="L15" s="21"/>
      <c r="M15" s="21"/>
      <c r="N15" s="10" t="s">
        <v>6</v>
      </c>
      <c r="O15" s="21"/>
      <c r="P15" s="33"/>
      <c r="Q15" s="10" t="s">
        <v>6</v>
      </c>
      <c r="R15" s="33"/>
      <c r="S15" s="21"/>
      <c r="T15" s="21"/>
      <c r="U15" s="21"/>
      <c r="V15" s="21"/>
      <c r="W15" s="33"/>
      <c r="X15" s="21"/>
      <c r="Y15" s="33"/>
      <c r="Z15" s="21"/>
      <c r="AA15" s="21"/>
      <c r="AB15" s="10" t="s">
        <v>6</v>
      </c>
      <c r="AC15" s="21"/>
      <c r="AD15" s="33"/>
      <c r="AE15" s="10" t="s">
        <v>6</v>
      </c>
      <c r="AF15" s="34"/>
      <c r="AG15" s="21"/>
      <c r="AH15" s="23"/>
    </row>
    <row r="16" ht="30.0" customHeight="1">
      <c r="B16" s="32" t="s">
        <v>51</v>
      </c>
      <c r="C16" s="21"/>
      <c r="D16" s="21"/>
      <c r="E16" s="21"/>
      <c r="F16" s="22"/>
      <c r="G16" s="21"/>
      <c r="H16" s="10" t="s">
        <v>6</v>
      </c>
      <c r="I16" s="21"/>
      <c r="J16" s="10" t="s">
        <v>6</v>
      </c>
      <c r="K16" s="33"/>
      <c r="L16" s="21"/>
      <c r="M16" s="33"/>
      <c r="N16" s="21"/>
      <c r="O16" s="10" t="s">
        <v>6</v>
      </c>
      <c r="P16" s="21"/>
      <c r="Q16" s="10" t="s">
        <v>6</v>
      </c>
      <c r="R16" s="33"/>
      <c r="S16" s="21"/>
      <c r="T16" s="33"/>
      <c r="U16" s="21"/>
      <c r="V16" s="21"/>
      <c r="W16" s="33"/>
      <c r="X16" s="21"/>
      <c r="Y16" s="33"/>
      <c r="Z16" s="21"/>
      <c r="AA16" s="21"/>
      <c r="AB16" s="21"/>
      <c r="AC16" s="10" t="s">
        <v>6</v>
      </c>
      <c r="AD16" s="33"/>
      <c r="AE16" s="10" t="s">
        <v>6</v>
      </c>
      <c r="AF16" s="34"/>
      <c r="AG16" s="21"/>
      <c r="AH16" s="23"/>
    </row>
    <row r="17" ht="30.0" customHeight="1">
      <c r="B17" s="32" t="s">
        <v>52</v>
      </c>
      <c r="C17" s="21"/>
      <c r="D17" s="21"/>
      <c r="E17" s="21"/>
      <c r="F17" s="21"/>
      <c r="G17" s="21"/>
      <c r="H17" s="22"/>
      <c r="I17" s="10" t="s">
        <v>6</v>
      </c>
      <c r="J17" s="21"/>
      <c r="K17" s="10" t="s">
        <v>6</v>
      </c>
      <c r="L17" s="21"/>
      <c r="M17" s="33"/>
      <c r="N17" s="10" t="s">
        <v>6</v>
      </c>
      <c r="O17" s="21"/>
      <c r="P17" s="33"/>
      <c r="Q17" s="21"/>
      <c r="R17" s="33"/>
      <c r="S17" s="21"/>
      <c r="T17" s="21"/>
      <c r="U17" s="10" t="s">
        <v>6</v>
      </c>
      <c r="V17" s="21"/>
      <c r="W17" s="10" t="s">
        <v>6</v>
      </c>
      <c r="X17" s="21"/>
      <c r="Y17" s="10" t="s">
        <v>6</v>
      </c>
      <c r="Z17" s="21"/>
      <c r="AA17" s="21"/>
      <c r="AB17" s="21"/>
      <c r="AC17" s="22"/>
      <c r="AD17" s="10" t="s">
        <v>6</v>
      </c>
      <c r="AE17" s="10" t="s">
        <v>6</v>
      </c>
      <c r="AF17" s="34"/>
      <c r="AG17" s="21"/>
      <c r="AH17" s="23"/>
    </row>
    <row r="18" ht="30.0" customHeight="1">
      <c r="B18" s="32" t="s">
        <v>53</v>
      </c>
      <c r="C18" s="21"/>
      <c r="D18" s="21"/>
      <c r="E18" s="21"/>
      <c r="F18" s="21"/>
      <c r="G18" s="21"/>
      <c r="H18" s="10" t="s">
        <v>6</v>
      </c>
      <c r="I18" s="10" t="s">
        <v>6</v>
      </c>
      <c r="J18" s="21"/>
      <c r="K18" s="10" t="s">
        <v>6</v>
      </c>
      <c r="L18" s="21"/>
      <c r="M18" s="22"/>
      <c r="N18" s="21"/>
      <c r="O18" s="21"/>
      <c r="P18" s="33"/>
      <c r="Q18" s="21"/>
      <c r="R18" s="10" t="s">
        <v>6</v>
      </c>
      <c r="S18" s="21"/>
      <c r="T18" s="22"/>
      <c r="U18" s="22"/>
      <c r="V18" s="21"/>
      <c r="W18" s="10" t="s">
        <v>6</v>
      </c>
      <c r="X18" s="21"/>
      <c r="Y18" s="10" t="s">
        <v>6</v>
      </c>
      <c r="Z18" s="22"/>
      <c r="AA18" s="22"/>
      <c r="AB18" s="21"/>
      <c r="AC18" s="21"/>
      <c r="AD18" s="10" t="s">
        <v>6</v>
      </c>
      <c r="AE18" s="21"/>
      <c r="AF18" s="35"/>
      <c r="AG18" s="22"/>
      <c r="AH18" s="23"/>
    </row>
    <row r="19" ht="30.0" customHeight="1">
      <c r="B19" s="32" t="s">
        <v>54</v>
      </c>
      <c r="C19" s="21"/>
      <c r="D19" s="21"/>
      <c r="E19" s="21"/>
      <c r="F19" s="21"/>
      <c r="G19" s="21"/>
      <c r="H19" s="21"/>
      <c r="I19" s="21"/>
      <c r="J19" s="10" t="s">
        <v>6</v>
      </c>
      <c r="K19" s="21"/>
      <c r="L19" s="10" t="s">
        <v>6</v>
      </c>
      <c r="M19" s="36"/>
      <c r="N19" s="21"/>
      <c r="O19" s="21"/>
      <c r="P19" s="21"/>
      <c r="Q19" s="10" t="s">
        <v>6</v>
      </c>
      <c r="R19" s="21"/>
      <c r="S19" s="10" t="s">
        <v>6</v>
      </c>
      <c r="T19" s="21"/>
      <c r="U19" s="21"/>
      <c r="V19" s="10" t="s">
        <v>6</v>
      </c>
      <c r="W19" s="21"/>
      <c r="X19" s="10" t="s">
        <v>6</v>
      </c>
      <c r="Y19" s="21"/>
      <c r="Z19" s="21"/>
      <c r="AA19" s="21"/>
      <c r="AB19" s="21"/>
      <c r="AC19" s="22"/>
      <c r="AD19" s="21"/>
      <c r="AE19" s="10" t="s">
        <v>6</v>
      </c>
      <c r="AF19" s="34"/>
      <c r="AG19" s="10" t="s">
        <v>6</v>
      </c>
      <c r="AH19" s="23"/>
    </row>
    <row r="20" ht="30.0" customHeight="1">
      <c r="B20" s="32" t="s">
        <v>55</v>
      </c>
      <c r="C20" s="21"/>
      <c r="D20" s="21"/>
      <c r="E20" s="21"/>
      <c r="F20" s="21"/>
      <c r="G20" s="21"/>
      <c r="H20" s="21"/>
      <c r="I20" s="21"/>
      <c r="J20" s="10" t="s">
        <v>6</v>
      </c>
      <c r="K20" s="21"/>
      <c r="L20" s="21"/>
      <c r="M20" s="21"/>
      <c r="N20" s="22"/>
      <c r="O20" s="21"/>
      <c r="P20" s="21"/>
      <c r="Q20" s="22"/>
      <c r="R20" s="21"/>
      <c r="S20" s="21"/>
      <c r="T20" s="21"/>
      <c r="U20" s="21"/>
      <c r="V20" s="21"/>
      <c r="W20" s="21"/>
      <c r="X20" s="22"/>
      <c r="Y20" s="22"/>
      <c r="Z20" s="21"/>
      <c r="AA20" s="21"/>
      <c r="AB20" s="21"/>
      <c r="AC20" s="21"/>
      <c r="AD20" s="33"/>
      <c r="AE20" s="22"/>
      <c r="AF20" s="35"/>
      <c r="AG20" s="22"/>
      <c r="AH20" s="23"/>
    </row>
    <row r="21" ht="30.0" customHeight="1">
      <c r="B21" s="32" t="s">
        <v>56</v>
      </c>
      <c r="C21" s="21"/>
      <c r="D21" s="21"/>
      <c r="E21" s="21"/>
      <c r="F21" s="21"/>
      <c r="G21" s="21"/>
      <c r="H21" s="21"/>
      <c r="I21" s="21"/>
      <c r="J21" s="10" t="s">
        <v>6</v>
      </c>
      <c r="K21" s="21"/>
      <c r="L21" s="21"/>
      <c r="M21" s="21"/>
      <c r="N21" s="22"/>
      <c r="O21" s="10" t="s">
        <v>6</v>
      </c>
      <c r="P21" s="21"/>
      <c r="Q21" s="10" t="s">
        <v>6</v>
      </c>
      <c r="R21" s="21"/>
      <c r="S21" s="21"/>
      <c r="T21" s="21"/>
      <c r="U21" s="21"/>
      <c r="V21" s="10" t="s">
        <v>6</v>
      </c>
      <c r="W21" s="21"/>
      <c r="X21" s="22"/>
      <c r="Y21" s="10" t="s">
        <v>6</v>
      </c>
      <c r="Z21" s="21"/>
      <c r="AA21" s="21"/>
      <c r="AB21" s="21"/>
      <c r="AC21" s="10" t="s">
        <v>6</v>
      </c>
      <c r="AD21" s="33"/>
      <c r="AE21" s="22"/>
      <c r="AF21" s="35"/>
      <c r="AG21" s="22"/>
      <c r="AH21" s="23"/>
    </row>
    <row r="22" ht="30.0" customHeight="1">
      <c r="B22" s="32" t="s">
        <v>57</v>
      </c>
      <c r="C22" s="21"/>
      <c r="D22" s="21"/>
      <c r="E22" s="21"/>
      <c r="F22" s="21"/>
      <c r="G22" s="21"/>
      <c r="H22" s="10" t="s">
        <v>6</v>
      </c>
      <c r="I22" s="21"/>
      <c r="J22" s="10" t="s">
        <v>6</v>
      </c>
      <c r="K22" s="21"/>
      <c r="L22" s="21"/>
      <c r="M22" s="21"/>
      <c r="N22" s="22"/>
      <c r="O22" s="10" t="s">
        <v>6</v>
      </c>
      <c r="P22" s="21"/>
      <c r="Q22" s="10" t="s">
        <v>6</v>
      </c>
      <c r="R22" s="21"/>
      <c r="S22" s="21"/>
      <c r="T22" s="21"/>
      <c r="U22" s="21"/>
      <c r="V22" s="10" t="s">
        <v>6</v>
      </c>
      <c r="W22" s="21"/>
      <c r="X22" s="10" t="s">
        <v>6</v>
      </c>
      <c r="Y22" s="22"/>
      <c r="Z22" s="21"/>
      <c r="AA22" s="21"/>
      <c r="AB22" s="21"/>
      <c r="AC22" s="10" t="s">
        <v>6</v>
      </c>
      <c r="AD22" s="33"/>
      <c r="AE22" s="10" t="s">
        <v>6</v>
      </c>
      <c r="AF22" s="35"/>
      <c r="AG22" s="22"/>
      <c r="AH22" s="23"/>
    </row>
    <row r="23" ht="30.0" customHeight="1">
      <c r="B23" s="32" t="s">
        <v>58</v>
      </c>
      <c r="C23" s="21"/>
      <c r="D23" s="21"/>
      <c r="E23" s="21"/>
      <c r="F23" s="21"/>
      <c r="G23" s="21"/>
      <c r="H23" s="21"/>
      <c r="I23" s="10" t="s">
        <v>6</v>
      </c>
      <c r="J23" s="21"/>
      <c r="K23" s="21"/>
      <c r="L23" s="21"/>
      <c r="M23" s="21"/>
      <c r="N23" s="22"/>
      <c r="O23" s="10" t="s">
        <v>6</v>
      </c>
      <c r="P23" s="21"/>
      <c r="Q23" s="10" t="s">
        <v>6</v>
      </c>
      <c r="R23" s="21"/>
      <c r="S23" s="21"/>
      <c r="T23" s="21"/>
      <c r="U23" s="21"/>
      <c r="V23" s="21"/>
      <c r="W23" s="21"/>
      <c r="X23" s="22"/>
      <c r="Y23" s="22"/>
      <c r="Z23" s="21"/>
      <c r="AA23" s="21"/>
      <c r="AB23" s="21"/>
      <c r="AC23" s="21"/>
      <c r="AD23" s="33"/>
      <c r="AE23" s="22"/>
      <c r="AF23" s="35"/>
      <c r="AG23" s="22"/>
      <c r="AH23" s="23"/>
    </row>
    <row r="24" ht="30.0" customHeight="1">
      <c r="B24" s="32" t="s">
        <v>59</v>
      </c>
      <c r="C24" s="21"/>
      <c r="D24" s="21"/>
      <c r="E24" s="21"/>
      <c r="F24" s="21"/>
      <c r="G24" s="21"/>
      <c r="H24" s="21"/>
      <c r="I24" s="21"/>
      <c r="J24" s="21"/>
      <c r="K24" s="21"/>
      <c r="L24" s="10" t="s">
        <v>6</v>
      </c>
      <c r="M24" s="21"/>
      <c r="N24" s="22"/>
      <c r="O24" s="21"/>
      <c r="P24" s="21"/>
      <c r="Q24" s="22"/>
      <c r="R24" s="10" t="s">
        <v>6</v>
      </c>
      <c r="S24" s="21"/>
      <c r="T24" s="21"/>
      <c r="U24" s="21"/>
      <c r="V24" s="21"/>
      <c r="W24" s="21"/>
      <c r="X24" s="22"/>
      <c r="Y24" s="10" t="s">
        <v>6</v>
      </c>
      <c r="Z24" s="10" t="s">
        <v>6</v>
      </c>
      <c r="AA24" s="21"/>
      <c r="AB24" s="21"/>
      <c r="AC24" s="21"/>
      <c r="AD24" s="33"/>
      <c r="AE24" s="22"/>
      <c r="AF24" s="35"/>
      <c r="AG24" s="10" t="s">
        <v>6</v>
      </c>
      <c r="AH24" s="23"/>
    </row>
    <row r="25" ht="30.0" customHeight="1">
      <c r="B25" s="32" t="s">
        <v>60</v>
      </c>
      <c r="C25" s="21"/>
      <c r="D25" s="21"/>
      <c r="E25" s="21"/>
      <c r="F25" s="21"/>
      <c r="G25" s="21"/>
      <c r="H25" s="10" t="s">
        <v>6</v>
      </c>
      <c r="I25" s="21"/>
      <c r="J25" s="21"/>
      <c r="K25" s="21"/>
      <c r="L25" s="21"/>
      <c r="M25" s="21"/>
      <c r="N25" s="22"/>
      <c r="O25" s="10" t="s">
        <v>6</v>
      </c>
      <c r="P25" s="21"/>
      <c r="Q25" s="10" t="s">
        <v>6</v>
      </c>
      <c r="R25" s="21"/>
      <c r="S25" s="21"/>
      <c r="T25" s="21"/>
      <c r="U25" s="21"/>
      <c r="V25" s="10" t="s">
        <v>6</v>
      </c>
      <c r="W25" s="21"/>
      <c r="X25" s="10" t="s">
        <v>6</v>
      </c>
      <c r="Y25" s="22"/>
      <c r="Z25" s="21"/>
      <c r="AA25" s="21"/>
      <c r="AB25" s="21"/>
      <c r="AC25" s="21"/>
      <c r="AD25" s="33"/>
      <c r="AE25" s="10" t="s">
        <v>6</v>
      </c>
      <c r="AF25" s="35"/>
      <c r="AG25" s="22"/>
      <c r="AH25" s="23"/>
    </row>
    <row r="26" ht="30.0" customHeight="1">
      <c r="B26" s="32" t="s">
        <v>61</v>
      </c>
      <c r="C26" s="21"/>
      <c r="D26" s="21"/>
      <c r="E26" s="21"/>
      <c r="F26" s="21"/>
      <c r="G26" s="21"/>
      <c r="H26" s="10" t="s">
        <v>6</v>
      </c>
      <c r="I26" s="21"/>
      <c r="J26" s="21"/>
      <c r="K26" s="21"/>
      <c r="L26" s="21"/>
      <c r="M26" s="21"/>
      <c r="N26" s="22"/>
      <c r="O26" s="10" t="s">
        <v>6</v>
      </c>
      <c r="P26" s="21"/>
      <c r="Q26" s="22"/>
      <c r="R26" s="21"/>
      <c r="S26" s="21"/>
      <c r="T26" s="21"/>
      <c r="U26" s="21"/>
      <c r="V26" s="10" t="s">
        <v>6</v>
      </c>
      <c r="W26" s="21"/>
      <c r="X26" s="22"/>
      <c r="Y26" s="22"/>
      <c r="Z26" s="21"/>
      <c r="AA26" s="21"/>
      <c r="AB26" s="21"/>
      <c r="AC26" s="21"/>
      <c r="AD26" s="33"/>
      <c r="AE26" s="22"/>
      <c r="AF26" s="35"/>
      <c r="AG26" s="22"/>
      <c r="AH26" s="23"/>
    </row>
    <row r="27" ht="30.0" customHeight="1">
      <c r="B27" s="32" t="s">
        <v>62</v>
      </c>
      <c r="C27" s="21"/>
      <c r="D27" s="21"/>
      <c r="E27" s="21"/>
      <c r="F27" s="21"/>
      <c r="G27" s="21"/>
      <c r="H27" s="10" t="s">
        <v>6</v>
      </c>
      <c r="I27" s="21"/>
      <c r="J27" s="21"/>
      <c r="K27" s="21"/>
      <c r="L27" s="21"/>
      <c r="M27" s="21"/>
      <c r="N27" s="22"/>
      <c r="O27" s="21"/>
      <c r="P27" s="21"/>
      <c r="Q27" s="22"/>
      <c r="R27" s="21"/>
      <c r="S27" s="10" t="s">
        <v>6</v>
      </c>
      <c r="T27" s="21"/>
      <c r="U27" s="21"/>
      <c r="V27" s="10" t="s">
        <v>6</v>
      </c>
      <c r="W27" s="21"/>
      <c r="X27" s="22"/>
      <c r="Y27" s="22"/>
      <c r="Z27" s="10" t="s">
        <v>6</v>
      </c>
      <c r="AA27" s="21"/>
      <c r="AB27" s="21"/>
      <c r="AC27" s="21"/>
      <c r="AD27" s="10" t="s">
        <v>6</v>
      </c>
      <c r="AE27" s="22"/>
      <c r="AF27" s="35"/>
      <c r="AG27" s="10" t="s">
        <v>6</v>
      </c>
      <c r="AH27" s="23"/>
    </row>
    <row r="28" ht="30.0" customHeight="1">
      <c r="B28" s="32" t="s">
        <v>63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2"/>
      <c r="O28" s="21"/>
      <c r="P28" s="21"/>
      <c r="Q28" s="22"/>
      <c r="R28" s="21"/>
      <c r="S28" s="21"/>
      <c r="T28" s="21"/>
      <c r="U28" s="21"/>
      <c r="V28" s="21"/>
      <c r="W28" s="21"/>
      <c r="X28" s="10" t="s">
        <v>6</v>
      </c>
      <c r="Y28" s="22"/>
      <c r="Z28" s="21"/>
      <c r="AA28" s="21"/>
      <c r="AB28" s="10" t="s">
        <v>6</v>
      </c>
      <c r="AC28" s="21"/>
      <c r="AD28" s="33"/>
      <c r="AE28" s="10" t="s">
        <v>6</v>
      </c>
      <c r="AF28" s="35"/>
      <c r="AG28" s="22"/>
      <c r="AH28" s="23"/>
    </row>
    <row r="29" ht="30.0" customHeight="1">
      <c r="B29" s="32" t="s">
        <v>64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2"/>
      <c r="O29" s="21"/>
      <c r="P29" s="21"/>
      <c r="Q29" s="22"/>
      <c r="R29" s="21"/>
      <c r="S29" s="21"/>
      <c r="T29" s="21"/>
      <c r="U29" s="21"/>
      <c r="V29" s="21"/>
      <c r="W29" s="21"/>
      <c r="X29" s="22"/>
      <c r="Y29" s="22"/>
      <c r="Z29" s="10" t="s">
        <v>6</v>
      </c>
      <c r="AA29" s="21"/>
      <c r="AB29" s="21"/>
      <c r="AC29" s="21"/>
      <c r="AD29" s="33"/>
      <c r="AE29" s="22"/>
      <c r="AF29" s="35"/>
      <c r="AG29" s="10" t="s">
        <v>6</v>
      </c>
      <c r="AH29" s="23"/>
    </row>
    <row r="30" ht="30.0" customHeight="1">
      <c r="B30" s="32" t="s">
        <v>65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2"/>
      <c r="O30" s="21"/>
      <c r="P30" s="21"/>
      <c r="Q30" s="22"/>
      <c r="R30" s="21"/>
      <c r="S30" s="21"/>
      <c r="T30" s="21"/>
      <c r="U30" s="21"/>
      <c r="V30" s="21"/>
      <c r="W30" s="21"/>
      <c r="X30" s="22"/>
      <c r="Y30" s="22"/>
      <c r="Z30" s="21"/>
      <c r="AA30" s="21"/>
      <c r="AB30" s="10" t="s">
        <v>6</v>
      </c>
      <c r="AC30" s="21"/>
      <c r="AD30" s="33"/>
      <c r="AE30" s="22"/>
      <c r="AF30" s="35"/>
      <c r="AG30" s="37"/>
      <c r="AH30" s="23"/>
    </row>
    <row r="31" ht="30.0" customHeight="1">
      <c r="B31" s="32" t="s">
        <v>66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2"/>
      <c r="O31" s="21"/>
      <c r="P31" s="21"/>
      <c r="Q31" s="22"/>
      <c r="R31" s="21"/>
      <c r="S31" s="21"/>
      <c r="T31" s="21"/>
      <c r="U31" s="21"/>
      <c r="V31" s="21"/>
      <c r="W31" s="21"/>
      <c r="X31" s="22"/>
      <c r="Y31" s="22"/>
      <c r="Z31" s="21"/>
      <c r="AA31" s="21"/>
      <c r="AB31" s="21"/>
      <c r="AC31" s="10" t="s">
        <v>6</v>
      </c>
      <c r="AD31" s="33"/>
      <c r="AE31" s="10" t="s">
        <v>6</v>
      </c>
      <c r="AF31" s="35"/>
      <c r="AG31" s="22"/>
      <c r="AH31" s="23"/>
    </row>
    <row r="32" ht="30.0" customHeight="1">
      <c r="B32" s="32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2"/>
      <c r="O32" s="21"/>
      <c r="P32" s="21"/>
      <c r="Q32" s="22"/>
      <c r="R32" s="21"/>
      <c r="S32" s="21"/>
      <c r="T32" s="21"/>
      <c r="U32" s="21"/>
      <c r="V32" s="21"/>
      <c r="W32" s="21"/>
      <c r="X32" s="22"/>
      <c r="Y32" s="22"/>
      <c r="Z32" s="21"/>
      <c r="AA32" s="21"/>
      <c r="AB32" s="21"/>
      <c r="AC32" s="21"/>
      <c r="AD32" s="33"/>
      <c r="AE32" s="22"/>
      <c r="AF32" s="35"/>
      <c r="AG32" s="22"/>
      <c r="AH32" s="23"/>
    </row>
    <row r="33" ht="30.0" customHeight="1">
      <c r="B33" s="32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2"/>
      <c r="O33" s="21"/>
      <c r="P33" s="21"/>
      <c r="Q33" s="22"/>
      <c r="R33" s="21"/>
      <c r="S33" s="21"/>
      <c r="T33" s="21"/>
      <c r="U33" s="21"/>
      <c r="V33" s="21"/>
      <c r="W33" s="21"/>
      <c r="X33" s="22"/>
      <c r="Y33" s="22"/>
      <c r="Z33" s="21"/>
      <c r="AA33" s="21"/>
      <c r="AB33" s="21"/>
      <c r="AC33" s="21"/>
      <c r="AD33" s="33"/>
      <c r="AE33" s="22"/>
      <c r="AF33" s="35"/>
      <c r="AG33" s="22"/>
      <c r="AH33" s="23"/>
    </row>
    <row r="34" ht="30.0" customHeight="1">
      <c r="B34" s="24" t="str">
        <f>Enero!MonthName&amp;" Total"</f>
        <v>Enero Total</v>
      </c>
      <c r="C34" s="25">
        <f>SUBTOTAL(103,Enero!$C$7)</f>
        <v>0</v>
      </c>
      <c r="D34" s="25">
        <f>SUBTOTAL(103,Enero!$D$7)</f>
        <v>0</v>
      </c>
      <c r="E34" s="25">
        <f>SUBTOTAL(103,Enero!$E$7)</f>
        <v>0</v>
      </c>
      <c r="F34" s="25"/>
      <c r="G34" s="25">
        <f>SUBTOTAL(103,Enero!$G$7)</f>
        <v>0</v>
      </c>
      <c r="H34" s="25">
        <f>SUBTOTAL(103,Enero!$H$7)</f>
        <v>0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38"/>
      <c r="AG34" s="25"/>
      <c r="AH34" s="25"/>
    </row>
    <row r="35" ht="30.0" customHeight="1">
      <c r="AH35" s="5"/>
    </row>
    <row r="36" ht="30.0" customHeight="1">
      <c r="AH36" s="5"/>
    </row>
    <row r="37" ht="30.0" customHeight="1">
      <c r="B37" s="30" t="s">
        <v>12</v>
      </c>
      <c r="C37" s="27" t="s">
        <v>67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39">
        <v>2026.0</v>
      </c>
    </row>
    <row r="38" ht="30.0" customHeight="1">
      <c r="B38" s="30"/>
      <c r="C38" s="16" t="str">
        <f>TEXT(WEEKDAY(DATE(Enero!CalendarioAño,1,1),1),"ddd")</f>
        <v>jue</v>
      </c>
      <c r="D38" s="16" t="str">
        <f>TEXT(WEEKDAY(DATE(Enero!CalendarioAño,1,2),1),"ddd")</f>
        <v>vie</v>
      </c>
      <c r="E38" s="16" t="str">
        <f>TEXT(WEEKDAY(DATE(Enero!CalendarioAño,1,3),1),"ddd")</f>
        <v>sáb</v>
      </c>
      <c r="F38" s="16" t="str">
        <f>TEXT(WEEKDAY(DATE(Enero!CalendarioAño,1,4),1),"ddd")</f>
        <v>dom</v>
      </c>
      <c r="G38" s="16" t="str">
        <f>TEXT(WEEKDAY(DATE(Enero!CalendarioAño,1,5),1),"ddd")</f>
        <v>lun</v>
      </c>
      <c r="H38" s="16" t="str">
        <f>TEXT(WEEKDAY(DATE(Enero!CalendarioAño,1,6),1),"ddd")</f>
        <v>mar</v>
      </c>
      <c r="I38" s="16" t="str">
        <f>TEXT(WEEKDAY(DATE(Enero!CalendarioAño,1,7),1),"ddd")</f>
        <v>mié</v>
      </c>
      <c r="J38" s="16" t="str">
        <f>TEXT(WEEKDAY(DATE(Enero!CalendarioAño,1,8),1),"ddd")</f>
        <v>jue</v>
      </c>
      <c r="K38" s="16" t="str">
        <f>TEXT(WEEKDAY(DATE(Enero!CalendarioAño,1,9),1),"ddd")</f>
        <v>vie</v>
      </c>
      <c r="L38" s="16" t="str">
        <f>TEXT(WEEKDAY(DATE(Enero!CalendarioAño,1,10),1),"ddd")</f>
        <v>sáb</v>
      </c>
      <c r="M38" s="16" t="str">
        <f>TEXT(WEEKDAY(DATE(Enero!CalendarioAño,1,11),1),"ddd")</f>
        <v>dom</v>
      </c>
      <c r="N38" s="16" t="str">
        <f>TEXT(WEEKDAY(DATE(Enero!CalendarioAño,1,12),1),"ddd")</f>
        <v>lun</v>
      </c>
      <c r="O38" s="16" t="str">
        <f>TEXT(WEEKDAY(DATE(Enero!CalendarioAño,1,13),1),"ddd")</f>
        <v>mar</v>
      </c>
      <c r="P38" s="16" t="str">
        <f>TEXT(WEEKDAY(DATE(Enero!CalendarioAño,1,14),1),"ddd")</f>
        <v>mié</v>
      </c>
      <c r="Q38" s="16" t="str">
        <f>TEXT(WEEKDAY(DATE(Enero!CalendarioAño,1,15),1),"ddd")</f>
        <v>jue</v>
      </c>
      <c r="R38" s="16" t="str">
        <f>TEXT(WEEKDAY(DATE(Enero!CalendarioAño,1,16),1),"ddd")</f>
        <v>vie</v>
      </c>
      <c r="S38" s="16" t="str">
        <f>TEXT(WEEKDAY(DATE(Enero!CalendarioAño,1,17),1),"ddd")</f>
        <v>sáb</v>
      </c>
      <c r="T38" s="16" t="str">
        <f>TEXT(WEEKDAY(DATE(Enero!CalendarioAño,1,18),1),"ddd")</f>
        <v>dom</v>
      </c>
      <c r="U38" s="16" t="str">
        <f>TEXT(WEEKDAY(DATE(Enero!CalendarioAño,1,19),1),"ddd")</f>
        <v>lun</v>
      </c>
      <c r="V38" s="16" t="str">
        <f>TEXT(WEEKDAY(DATE(Enero!CalendarioAño,1,20),1),"ddd")</f>
        <v>mar</v>
      </c>
      <c r="W38" s="16" t="str">
        <f>TEXT(WEEKDAY(DATE(Enero!CalendarioAño,1,21),1),"ddd")</f>
        <v>mié</v>
      </c>
      <c r="X38" s="16" t="str">
        <f>TEXT(WEEKDAY(DATE(Enero!CalendarioAño,1,22),1),"ddd")</f>
        <v>jue</v>
      </c>
      <c r="Y38" s="16" t="str">
        <f>TEXT(WEEKDAY(DATE(Enero!CalendarioAño,1,23),1),"ddd")</f>
        <v>vie</v>
      </c>
      <c r="Z38" s="16" t="str">
        <f>TEXT(WEEKDAY(DATE(Enero!CalendarioAño,1,24),1),"ddd")</f>
        <v>sáb</v>
      </c>
      <c r="AA38" s="16" t="str">
        <f>TEXT(WEEKDAY(DATE(Enero!CalendarioAño,1,25),1),"ddd")</f>
        <v>dom</v>
      </c>
      <c r="AB38" s="16" t="str">
        <f>TEXT(WEEKDAY(DATE(Enero!CalendarioAño,1,26),1),"ddd")</f>
        <v>lun</v>
      </c>
      <c r="AC38" s="16" t="str">
        <f>TEXT(WEEKDAY(DATE(Enero!CalendarioAño,1,27),1),"ddd")</f>
        <v>mar</v>
      </c>
      <c r="AD38" s="16" t="str">
        <f>TEXT(WEEKDAY(DATE(Enero!CalendarioAño,1,28),1),"ddd")</f>
        <v>mié</v>
      </c>
      <c r="AE38" s="16" t="str">
        <f>TEXT(WEEKDAY(DATE(Enero!CalendarioAño,1,29),1),"ddd")</f>
        <v>jue</v>
      </c>
      <c r="AF38" s="16" t="str">
        <f>TEXT(WEEKDAY(DATE(Enero!CalendarioAño,1,30),1),"ddd")</f>
        <v>vie</v>
      </c>
      <c r="AG38" s="16" t="str">
        <f>TEXT(WEEKDAY(DATE(Enero!CalendarioAño,1,31),1),"ddd")</f>
        <v>sáb</v>
      </c>
      <c r="AH38" s="30"/>
    </row>
    <row r="39" ht="30.0" customHeight="1">
      <c r="A39" s="17"/>
      <c r="B39" s="31" t="s">
        <v>14</v>
      </c>
      <c r="C39" s="19" t="s">
        <v>15</v>
      </c>
      <c r="D39" s="19" t="s">
        <v>16</v>
      </c>
      <c r="E39" s="19" t="s">
        <v>17</v>
      </c>
      <c r="F39" s="19" t="s">
        <v>18</v>
      </c>
      <c r="G39" s="19" t="s">
        <v>19</v>
      </c>
      <c r="H39" s="19" t="s">
        <v>20</v>
      </c>
      <c r="I39" s="19" t="s">
        <v>21</v>
      </c>
      <c r="J39" s="19" t="s">
        <v>22</v>
      </c>
      <c r="K39" s="19" t="s">
        <v>23</v>
      </c>
      <c r="L39" s="19" t="s">
        <v>24</v>
      </c>
      <c r="M39" s="19" t="s">
        <v>25</v>
      </c>
      <c r="N39" s="19" t="s">
        <v>26</v>
      </c>
      <c r="O39" s="19" t="s">
        <v>27</v>
      </c>
      <c r="P39" s="19" t="s">
        <v>28</v>
      </c>
      <c r="Q39" s="19" t="s">
        <v>29</v>
      </c>
      <c r="R39" s="19" t="s">
        <v>30</v>
      </c>
      <c r="S39" s="19" t="s">
        <v>31</v>
      </c>
      <c r="T39" s="19" t="s">
        <v>32</v>
      </c>
      <c r="U39" s="19" t="s">
        <v>33</v>
      </c>
      <c r="V39" s="19" t="s">
        <v>34</v>
      </c>
      <c r="W39" s="19" t="s">
        <v>35</v>
      </c>
      <c r="X39" s="19" t="s">
        <v>36</v>
      </c>
      <c r="Y39" s="19" t="s">
        <v>37</v>
      </c>
      <c r="Z39" s="19" t="s">
        <v>38</v>
      </c>
      <c r="AA39" s="19" t="s">
        <v>39</v>
      </c>
      <c r="AB39" s="19" t="s">
        <v>40</v>
      </c>
      <c r="AC39" s="19" t="s">
        <v>41</v>
      </c>
      <c r="AD39" s="19" t="s">
        <v>42</v>
      </c>
      <c r="AE39" s="19" t="s">
        <v>43</v>
      </c>
      <c r="AF39" s="19" t="s">
        <v>44</v>
      </c>
      <c r="AG39" s="19" t="s">
        <v>45</v>
      </c>
      <c r="AH39" s="19" t="s">
        <v>46</v>
      </c>
    </row>
    <row r="40" ht="30.0" customHeight="1">
      <c r="B40" s="40" t="s">
        <v>68</v>
      </c>
      <c r="C40" s="21"/>
      <c r="D40" s="21"/>
      <c r="E40" s="21"/>
      <c r="F40" s="41"/>
      <c r="G40" s="10" t="s">
        <v>6</v>
      </c>
      <c r="H40" s="22"/>
      <c r="I40" s="10" t="s">
        <v>6</v>
      </c>
      <c r="J40" s="21"/>
      <c r="K40" s="21"/>
      <c r="L40" s="21"/>
      <c r="M40" s="21"/>
      <c r="N40" s="10" t="s">
        <v>6</v>
      </c>
      <c r="O40" s="33"/>
      <c r="P40" s="21"/>
      <c r="Q40" s="21"/>
      <c r="R40" s="10" t="s">
        <v>6</v>
      </c>
      <c r="S40" s="33"/>
      <c r="T40" s="21"/>
      <c r="U40" s="10" t="s">
        <v>6</v>
      </c>
      <c r="V40" s="33"/>
      <c r="W40" s="10" t="s">
        <v>6</v>
      </c>
      <c r="X40" s="21"/>
      <c r="Y40" s="21"/>
      <c r="Z40" s="33"/>
      <c r="AA40" s="21"/>
      <c r="AB40" s="21"/>
      <c r="AC40" s="33"/>
      <c r="AD40" s="10" t="s">
        <v>6</v>
      </c>
      <c r="AE40" s="21"/>
      <c r="AF40" s="35"/>
      <c r="AG40" s="33"/>
      <c r="AH40" s="23"/>
    </row>
    <row r="41" ht="30.0" customHeight="1">
      <c r="B41" s="40" t="s">
        <v>69</v>
      </c>
      <c r="C41" s="21"/>
      <c r="D41" s="21"/>
      <c r="E41" s="21"/>
      <c r="F41" s="41"/>
      <c r="G41" s="10" t="s">
        <v>6</v>
      </c>
      <c r="H41" s="21"/>
      <c r="I41" s="33"/>
      <c r="J41" s="22"/>
      <c r="K41" s="10" t="s">
        <v>6</v>
      </c>
      <c r="L41" s="22"/>
      <c r="M41" s="21"/>
      <c r="N41" s="22"/>
      <c r="O41" s="21"/>
      <c r="P41" s="33"/>
      <c r="Q41" s="21"/>
      <c r="R41" s="10" t="s">
        <v>6</v>
      </c>
      <c r="S41" s="22"/>
      <c r="T41" s="21"/>
      <c r="U41" s="10" t="s">
        <v>6</v>
      </c>
      <c r="V41" s="21"/>
      <c r="W41" s="10" t="s">
        <v>6</v>
      </c>
      <c r="X41" s="22"/>
      <c r="Y41" s="33"/>
      <c r="Z41" s="22"/>
      <c r="AA41" s="21"/>
      <c r="AB41" s="10" t="s">
        <v>6</v>
      </c>
      <c r="AC41" s="21"/>
      <c r="AD41" s="10" t="s">
        <v>6</v>
      </c>
      <c r="AE41" s="22"/>
      <c r="AF41" s="34"/>
      <c r="AG41" s="22"/>
      <c r="AH41" s="23"/>
    </row>
    <row r="42" ht="30.0" customHeight="1">
      <c r="B42" s="32" t="s">
        <v>70</v>
      </c>
      <c r="C42" s="21"/>
      <c r="D42" s="21"/>
      <c r="E42" s="21"/>
      <c r="F42" s="41"/>
      <c r="G42" s="10" t="s">
        <v>6</v>
      </c>
      <c r="H42" s="21"/>
      <c r="I42" s="33"/>
      <c r="J42" s="21"/>
      <c r="K42" s="21"/>
      <c r="L42" s="21"/>
      <c r="M42" s="33"/>
      <c r="N42" s="10" t="s">
        <v>6</v>
      </c>
      <c r="O42" s="21"/>
      <c r="P42" s="33"/>
      <c r="Q42" s="22"/>
      <c r="R42" s="21"/>
      <c r="S42" s="22"/>
      <c r="T42" s="33"/>
      <c r="U42" s="22"/>
      <c r="V42" s="10" t="s">
        <v>6</v>
      </c>
      <c r="W42" s="33"/>
      <c r="X42" s="10" t="s">
        <v>6</v>
      </c>
      <c r="Y42" s="21"/>
      <c r="Z42" s="22"/>
      <c r="AA42" s="21"/>
      <c r="AB42" s="21"/>
      <c r="AC42" s="10" t="s">
        <v>6</v>
      </c>
      <c r="AD42" s="21"/>
      <c r="AE42" s="33"/>
      <c r="AF42" s="35"/>
      <c r="AG42" s="10" t="s">
        <v>6</v>
      </c>
      <c r="AH42" s="23"/>
    </row>
    <row r="43" ht="30.0" customHeight="1">
      <c r="B43" s="32" t="s">
        <v>71</v>
      </c>
      <c r="C43" s="21"/>
      <c r="D43" s="21"/>
      <c r="E43" s="21"/>
      <c r="F43" s="22"/>
      <c r="G43" s="22"/>
      <c r="H43" s="10" t="s">
        <v>6</v>
      </c>
      <c r="I43" s="33"/>
      <c r="J43" s="10" t="s">
        <v>6</v>
      </c>
      <c r="K43" s="22"/>
      <c r="L43" s="22"/>
      <c r="M43" s="33"/>
      <c r="N43" s="21"/>
      <c r="O43" s="21"/>
      <c r="P43" s="33"/>
      <c r="Q43" s="10" t="s">
        <v>6</v>
      </c>
      <c r="R43" s="33"/>
      <c r="S43" s="21"/>
      <c r="T43" s="33"/>
      <c r="U43" s="21"/>
      <c r="V43" s="21"/>
      <c r="W43" s="33"/>
      <c r="X43" s="21"/>
      <c r="Y43" s="33"/>
      <c r="Z43" s="21"/>
      <c r="AA43" s="21"/>
      <c r="AB43" s="21"/>
      <c r="AC43" s="10" t="s">
        <v>6</v>
      </c>
      <c r="AD43" s="33"/>
      <c r="AE43" s="21"/>
      <c r="AF43" s="34"/>
      <c r="AG43" s="22"/>
      <c r="AH43" s="23"/>
    </row>
    <row r="44" ht="30.0" customHeight="1">
      <c r="B44" s="32" t="s">
        <v>72</v>
      </c>
      <c r="C44" s="21"/>
      <c r="D44" s="21"/>
      <c r="E44" s="21"/>
      <c r="F44" s="22"/>
      <c r="G44" s="22"/>
      <c r="H44" s="21"/>
      <c r="I44" s="10" t="s">
        <v>6</v>
      </c>
      <c r="J44" s="21"/>
      <c r="K44" s="10" t="s">
        <v>6</v>
      </c>
      <c r="L44" s="21"/>
      <c r="M44" s="21"/>
      <c r="N44" s="22"/>
      <c r="O44" s="21"/>
      <c r="P44" s="33"/>
      <c r="Q44" s="21"/>
      <c r="R44" s="10" t="s">
        <v>6</v>
      </c>
      <c r="S44" s="21"/>
      <c r="T44" s="21"/>
      <c r="U44" s="21"/>
      <c r="V44" s="21"/>
      <c r="W44" s="10" t="s">
        <v>6</v>
      </c>
      <c r="X44" s="21"/>
      <c r="Y44" s="10" t="s">
        <v>6</v>
      </c>
      <c r="Z44" s="22"/>
      <c r="AA44" s="21"/>
      <c r="AB44" s="10" t="s">
        <v>6</v>
      </c>
      <c r="AC44" s="21"/>
      <c r="AD44" s="10" t="s">
        <v>6</v>
      </c>
      <c r="AE44" s="21"/>
      <c r="AF44" s="34"/>
      <c r="AG44" s="22"/>
      <c r="AH44" s="23"/>
    </row>
    <row r="45" ht="30.0" customHeight="1">
      <c r="B45" s="32" t="s">
        <v>73</v>
      </c>
      <c r="C45" s="21"/>
      <c r="D45" s="21"/>
      <c r="E45" s="21"/>
      <c r="F45" s="22"/>
      <c r="G45" s="42"/>
      <c r="H45" s="10" t="s">
        <v>6</v>
      </c>
      <c r="I45" s="21"/>
      <c r="J45" s="33"/>
      <c r="K45" s="33"/>
      <c r="L45" s="33"/>
      <c r="M45" s="21"/>
      <c r="N45" s="22"/>
      <c r="O45" s="22"/>
      <c r="P45" s="33"/>
      <c r="Q45" s="21"/>
      <c r="R45" s="21"/>
      <c r="S45" s="33"/>
      <c r="T45" s="21"/>
      <c r="U45" s="10" t="s">
        <v>6</v>
      </c>
      <c r="V45" s="10" t="s">
        <v>6</v>
      </c>
      <c r="W45" s="33"/>
      <c r="X45" s="10" t="s">
        <v>6</v>
      </c>
      <c r="Y45" s="10" t="s">
        <v>6</v>
      </c>
      <c r="Z45" s="33"/>
      <c r="AA45" s="21"/>
      <c r="AB45" s="21"/>
      <c r="AC45" s="33"/>
      <c r="AD45" s="33"/>
      <c r="AE45" s="21"/>
      <c r="AF45" s="35"/>
      <c r="AG45" s="21"/>
      <c r="AH45" s="23"/>
    </row>
    <row r="46" ht="30.0" customHeight="1">
      <c r="B46" s="32" t="s">
        <v>74</v>
      </c>
      <c r="C46" s="21"/>
      <c r="D46" s="21"/>
      <c r="E46" s="21"/>
      <c r="F46" s="22"/>
      <c r="G46" s="42"/>
      <c r="H46" s="22"/>
      <c r="I46" s="10" t="s">
        <v>6</v>
      </c>
      <c r="J46" s="33"/>
      <c r="K46" s="10" t="s">
        <v>6</v>
      </c>
      <c r="L46" s="33"/>
      <c r="M46" s="21"/>
      <c r="N46" s="22"/>
      <c r="O46" s="22"/>
      <c r="P46" s="21"/>
      <c r="Q46" s="21"/>
      <c r="R46" s="21"/>
      <c r="S46" s="21"/>
      <c r="T46" s="21"/>
      <c r="U46" s="21"/>
      <c r="V46" s="21"/>
      <c r="W46" s="10" t="s">
        <v>6</v>
      </c>
      <c r="X46" s="21"/>
      <c r="Y46" s="10" t="s">
        <v>6</v>
      </c>
      <c r="Z46" s="21"/>
      <c r="AA46" s="21"/>
      <c r="AB46" s="10" t="s">
        <v>6</v>
      </c>
      <c r="AC46" s="21"/>
      <c r="AD46" s="10" t="s">
        <v>6</v>
      </c>
      <c r="AE46" s="33"/>
      <c r="AF46" s="35"/>
      <c r="AG46" s="21"/>
      <c r="AH46" s="23"/>
    </row>
    <row r="47" ht="30.0" customHeight="1">
      <c r="B47" s="32" t="s">
        <v>75</v>
      </c>
      <c r="C47" s="21"/>
      <c r="D47" s="21"/>
      <c r="E47" s="21"/>
      <c r="F47" s="22"/>
      <c r="G47" s="42"/>
      <c r="H47" s="22"/>
      <c r="I47" s="10" t="s">
        <v>6</v>
      </c>
      <c r="J47" s="21"/>
      <c r="K47" s="21"/>
      <c r="L47" s="33"/>
      <c r="M47" s="21"/>
      <c r="N47" s="10" t="s">
        <v>6</v>
      </c>
      <c r="O47" s="33"/>
      <c r="P47" s="21"/>
      <c r="Q47" s="33"/>
      <c r="R47" s="21"/>
      <c r="S47" s="10" t="s">
        <v>6</v>
      </c>
      <c r="T47" s="21"/>
      <c r="U47" s="10" t="s">
        <v>6</v>
      </c>
      <c r="V47" s="33"/>
      <c r="W47" s="21"/>
      <c r="X47" s="33"/>
      <c r="Y47" s="21"/>
      <c r="Z47" s="21"/>
      <c r="AA47" s="21"/>
      <c r="AB47" s="10" t="s">
        <v>6</v>
      </c>
      <c r="AC47" s="21"/>
      <c r="AD47" s="10" t="s">
        <v>6</v>
      </c>
      <c r="AE47" s="21"/>
      <c r="AF47" s="35"/>
      <c r="AG47" s="10" t="s">
        <v>6</v>
      </c>
      <c r="AH47" s="23"/>
    </row>
    <row r="48" ht="30.0" customHeight="1">
      <c r="B48" s="32" t="s">
        <v>76</v>
      </c>
      <c r="C48" s="21"/>
      <c r="D48" s="21"/>
      <c r="E48" s="21"/>
      <c r="F48" s="22"/>
      <c r="G48" s="42"/>
      <c r="H48" s="10" t="s">
        <v>6</v>
      </c>
      <c r="I48" s="10" t="s">
        <v>6</v>
      </c>
      <c r="J48" s="21"/>
      <c r="K48" s="33"/>
      <c r="L48" s="21"/>
      <c r="M48" s="33"/>
      <c r="N48" s="10" t="s">
        <v>6</v>
      </c>
      <c r="O48" s="22"/>
      <c r="P48" s="33"/>
      <c r="Q48" s="21"/>
      <c r="R48" s="10" t="s">
        <v>6</v>
      </c>
      <c r="S48" s="33"/>
      <c r="T48" s="21"/>
      <c r="U48" s="10" t="s">
        <v>6</v>
      </c>
      <c r="V48" s="21"/>
      <c r="W48" s="10" t="s">
        <v>6</v>
      </c>
      <c r="X48" s="21"/>
      <c r="Y48" s="10" t="s">
        <v>6</v>
      </c>
      <c r="Z48" s="21"/>
      <c r="AA48" s="21"/>
      <c r="AB48" s="10" t="s">
        <v>6</v>
      </c>
      <c r="AC48" s="21"/>
      <c r="AD48" s="10" t="s">
        <v>6</v>
      </c>
      <c r="AE48" s="21"/>
      <c r="AF48" s="35"/>
      <c r="AG48" s="21"/>
      <c r="AH48" s="23"/>
    </row>
    <row r="49" ht="30.0" customHeight="1">
      <c r="B49" s="40" t="s">
        <v>77</v>
      </c>
      <c r="C49" s="21"/>
      <c r="D49" s="21"/>
      <c r="E49" s="21"/>
      <c r="F49" s="22"/>
      <c r="G49" s="42"/>
      <c r="H49" s="22"/>
      <c r="I49" s="10" t="s">
        <v>6</v>
      </c>
      <c r="J49" s="21"/>
      <c r="K49" s="33"/>
      <c r="L49" s="21"/>
      <c r="M49" s="21"/>
      <c r="N49" s="22"/>
      <c r="O49" s="22"/>
      <c r="P49" s="33"/>
      <c r="Q49" s="21"/>
      <c r="R49" s="33"/>
      <c r="S49" s="21"/>
      <c r="T49" s="21"/>
      <c r="U49" s="21"/>
      <c r="V49" s="21"/>
      <c r="W49" s="21"/>
      <c r="X49" s="21"/>
      <c r="Y49" s="33"/>
      <c r="Z49" s="21"/>
      <c r="AA49" s="21"/>
      <c r="AB49" s="21"/>
      <c r="AC49" s="21"/>
      <c r="AD49" s="21"/>
      <c r="AE49" s="21"/>
      <c r="AF49" s="35"/>
      <c r="AG49" s="21"/>
      <c r="AH49" s="23"/>
    </row>
    <row r="50" ht="30.0" customHeight="1">
      <c r="B50" s="32" t="s">
        <v>78</v>
      </c>
      <c r="C50" s="21"/>
      <c r="D50" s="21"/>
      <c r="E50" s="21"/>
      <c r="F50" s="22"/>
      <c r="G50" s="42"/>
      <c r="H50" s="22"/>
      <c r="I50" s="21"/>
      <c r="J50" s="21"/>
      <c r="K50" s="21"/>
      <c r="L50" s="10" t="s">
        <v>6</v>
      </c>
      <c r="M50" s="21"/>
      <c r="N50" s="22"/>
      <c r="O50" s="22"/>
      <c r="P50" s="21"/>
      <c r="Q50" s="21"/>
      <c r="R50" s="21"/>
      <c r="S50" s="10" t="s">
        <v>6</v>
      </c>
      <c r="T50" s="33"/>
      <c r="U50" s="21"/>
      <c r="V50" s="21"/>
      <c r="W50" s="21"/>
      <c r="X50" s="21"/>
      <c r="Y50" s="21"/>
      <c r="Z50" s="10" t="s">
        <v>6</v>
      </c>
      <c r="AA50" s="21"/>
      <c r="AB50" s="21"/>
      <c r="AC50" s="21"/>
      <c r="AD50" s="21"/>
      <c r="AE50" s="21"/>
      <c r="AF50" s="35"/>
      <c r="AG50" s="33"/>
      <c r="AH50" s="23"/>
    </row>
    <row r="51" ht="30.0" customHeight="1">
      <c r="B51" s="32" t="s">
        <v>79</v>
      </c>
      <c r="C51" s="21"/>
      <c r="D51" s="21"/>
      <c r="E51" s="21"/>
      <c r="F51" s="22"/>
      <c r="G51" s="42"/>
      <c r="H51" s="22"/>
      <c r="I51" s="21"/>
      <c r="J51" s="21"/>
      <c r="K51" s="21"/>
      <c r="L51" s="10" t="s">
        <v>6</v>
      </c>
      <c r="M51" s="33"/>
      <c r="N51" s="22"/>
      <c r="O51" s="22"/>
      <c r="P51" s="21"/>
      <c r="Q51" s="21"/>
      <c r="R51" s="21"/>
      <c r="S51" s="10" t="s">
        <v>6</v>
      </c>
      <c r="T51" s="33"/>
      <c r="U51" s="21"/>
      <c r="V51" s="21"/>
      <c r="W51" s="21"/>
      <c r="X51" s="21"/>
      <c r="Y51" s="21"/>
      <c r="Z51" s="10" t="s">
        <v>6</v>
      </c>
      <c r="AA51" s="21"/>
      <c r="AB51" s="21"/>
      <c r="AC51" s="21"/>
      <c r="AD51" s="21"/>
      <c r="AE51" s="21"/>
      <c r="AF51" s="35"/>
      <c r="AG51" s="10" t="s">
        <v>6</v>
      </c>
      <c r="AH51" s="23"/>
    </row>
    <row r="52" ht="30.0" customHeight="1">
      <c r="B52" s="32" t="s">
        <v>80</v>
      </c>
      <c r="C52" s="21"/>
      <c r="D52" s="21"/>
      <c r="E52" s="21"/>
      <c r="F52" s="22"/>
      <c r="G52" s="42"/>
      <c r="H52" s="22"/>
      <c r="I52" s="21"/>
      <c r="J52" s="21"/>
      <c r="K52" s="21"/>
      <c r="L52" s="10" t="s">
        <v>6</v>
      </c>
      <c r="M52" s="43"/>
      <c r="N52" s="22"/>
      <c r="O52" s="22"/>
      <c r="P52" s="21"/>
      <c r="Q52" s="21"/>
      <c r="R52" s="10" t="s">
        <v>6</v>
      </c>
      <c r="S52" s="10" t="s">
        <v>6</v>
      </c>
      <c r="T52" s="21"/>
      <c r="U52" s="21"/>
      <c r="V52" s="21"/>
      <c r="W52" s="21"/>
      <c r="X52" s="21"/>
      <c r="Y52" s="21"/>
      <c r="Z52" s="10" t="s">
        <v>6</v>
      </c>
      <c r="AA52" s="21"/>
      <c r="AB52" s="21"/>
      <c r="AC52" s="21"/>
      <c r="AD52" s="21"/>
      <c r="AE52" s="21"/>
      <c r="AF52" s="35"/>
      <c r="AG52" s="21"/>
      <c r="AH52" s="23"/>
    </row>
    <row r="53" ht="30.0" customHeight="1">
      <c r="B53" s="32" t="s">
        <v>81</v>
      </c>
      <c r="C53" s="21"/>
      <c r="D53" s="21"/>
      <c r="E53" s="21"/>
      <c r="F53" s="22"/>
      <c r="G53" s="42"/>
      <c r="H53" s="22"/>
      <c r="I53" s="21"/>
      <c r="J53" s="10" t="s">
        <v>6</v>
      </c>
      <c r="K53" s="21"/>
      <c r="L53" s="10" t="s">
        <v>6</v>
      </c>
      <c r="M53" s="43"/>
      <c r="N53" s="22"/>
      <c r="O53" s="22"/>
      <c r="P53" s="21"/>
      <c r="Q53" s="21"/>
      <c r="R53" s="10" t="s">
        <v>6</v>
      </c>
      <c r="S53" s="10" t="s">
        <v>6</v>
      </c>
      <c r="T53" s="21"/>
      <c r="U53" s="21"/>
      <c r="V53" s="21"/>
      <c r="W53" s="21"/>
      <c r="X53" s="10" t="s">
        <v>6</v>
      </c>
      <c r="Y53" s="21"/>
      <c r="Z53" s="10" t="s">
        <v>6</v>
      </c>
      <c r="AA53" s="21"/>
      <c r="AB53" s="21"/>
      <c r="AC53" s="21"/>
      <c r="AD53" s="21"/>
      <c r="AE53" s="21"/>
      <c r="AF53" s="35"/>
      <c r="AG53" s="21"/>
      <c r="AH53" s="23"/>
    </row>
    <row r="54" ht="30.0" customHeight="1">
      <c r="B54" s="32" t="s">
        <v>82</v>
      </c>
      <c r="C54" s="21"/>
      <c r="D54" s="21"/>
      <c r="E54" s="21"/>
      <c r="F54" s="22"/>
      <c r="G54" s="42"/>
      <c r="H54" s="22"/>
      <c r="I54" s="21"/>
      <c r="J54" s="21"/>
      <c r="K54" s="21"/>
      <c r="L54" s="21"/>
      <c r="M54" s="43"/>
      <c r="N54" s="22"/>
      <c r="O54" s="10" t="s">
        <v>6</v>
      </c>
      <c r="P54" s="21"/>
      <c r="Q54" s="10" t="s">
        <v>6</v>
      </c>
      <c r="R54" s="21"/>
      <c r="S54" s="33"/>
      <c r="T54" s="21"/>
      <c r="U54" s="21"/>
      <c r="V54" s="10" t="s">
        <v>6</v>
      </c>
      <c r="W54" s="21"/>
      <c r="X54" s="10" t="s">
        <v>6</v>
      </c>
      <c r="Y54" s="21"/>
      <c r="Z54" s="21"/>
      <c r="AA54" s="21"/>
      <c r="AB54" s="21"/>
      <c r="AC54" s="10" t="s">
        <v>6</v>
      </c>
      <c r="AD54" s="21"/>
      <c r="AE54" s="10" t="s">
        <v>6</v>
      </c>
      <c r="AF54" s="35"/>
      <c r="AG54" s="21"/>
      <c r="AH54" s="23"/>
    </row>
    <row r="55" ht="30.0" customHeight="1">
      <c r="B55" s="32" t="s">
        <v>83</v>
      </c>
      <c r="C55" s="21"/>
      <c r="D55" s="21"/>
      <c r="E55" s="21"/>
      <c r="F55" s="22"/>
      <c r="G55" s="42"/>
      <c r="H55" s="10" t="s">
        <v>6</v>
      </c>
      <c r="I55" s="21"/>
      <c r="J55" s="21"/>
      <c r="K55" s="21"/>
      <c r="L55" s="21"/>
      <c r="M55" s="43"/>
      <c r="N55" s="22"/>
      <c r="O55" s="10" t="s">
        <v>6</v>
      </c>
      <c r="P55" s="21"/>
      <c r="Q55" s="10" t="s">
        <v>6</v>
      </c>
      <c r="R55" s="21"/>
      <c r="S55" s="33"/>
      <c r="T55" s="21"/>
      <c r="U55" s="21"/>
      <c r="V55" s="10" t="s">
        <v>6</v>
      </c>
      <c r="W55" s="21"/>
      <c r="X55" s="10" t="s">
        <v>6</v>
      </c>
      <c r="Y55" s="21"/>
      <c r="Z55" s="21"/>
      <c r="AA55" s="21"/>
      <c r="AB55" s="21"/>
      <c r="AC55" s="10" t="s">
        <v>6</v>
      </c>
      <c r="AD55" s="21"/>
      <c r="AE55" s="10" t="s">
        <v>6</v>
      </c>
      <c r="AF55" s="35"/>
      <c r="AG55" s="21"/>
      <c r="AH55" s="23"/>
    </row>
    <row r="56" ht="30.0" customHeight="1">
      <c r="B56" s="32" t="s">
        <v>84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10" t="s">
        <v>6</v>
      </c>
      <c r="R56" s="25"/>
      <c r="S56" s="25"/>
      <c r="T56" s="25"/>
      <c r="U56" s="10" t="s">
        <v>6</v>
      </c>
      <c r="V56" s="25"/>
      <c r="W56" s="25"/>
      <c r="X56" s="25"/>
      <c r="Y56" s="25"/>
      <c r="Z56" s="25"/>
      <c r="AA56" s="25"/>
      <c r="AB56" s="25"/>
      <c r="AC56" s="10" t="s">
        <v>6</v>
      </c>
      <c r="AD56" s="25"/>
      <c r="AE56" s="10" t="s">
        <v>6</v>
      </c>
      <c r="AF56" s="38"/>
      <c r="AG56" s="25"/>
      <c r="AH56" s="25"/>
    </row>
    <row r="57" ht="30.0" customHeight="1">
      <c r="B57" s="32" t="s">
        <v>85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10" t="s">
        <v>6</v>
      </c>
      <c r="X57" s="25"/>
      <c r="Y57" s="10" t="s">
        <v>6</v>
      </c>
      <c r="Z57" s="25"/>
      <c r="AA57" s="25"/>
      <c r="AB57" s="25"/>
      <c r="AC57" s="10" t="s">
        <v>6</v>
      </c>
      <c r="AD57" s="25"/>
      <c r="AE57" s="10" t="s">
        <v>6</v>
      </c>
      <c r="AF57" s="38"/>
      <c r="AG57" s="25"/>
      <c r="AH57" s="25"/>
    </row>
    <row r="58" ht="30.0" customHeight="1">
      <c r="B58" s="32" t="s">
        <v>86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10" t="s">
        <v>6</v>
      </c>
      <c r="Y58" s="25"/>
      <c r="Z58" s="25"/>
      <c r="AA58" s="25"/>
      <c r="AB58" s="25"/>
      <c r="AC58" s="10" t="s">
        <v>6</v>
      </c>
      <c r="AD58" s="25"/>
      <c r="AE58" s="10" t="s">
        <v>6</v>
      </c>
      <c r="AF58" s="38"/>
      <c r="AG58" s="10" t="s">
        <v>6</v>
      </c>
      <c r="AH58" s="25"/>
    </row>
    <row r="59" ht="30.0" customHeight="1">
      <c r="B59" s="32" t="s">
        <v>87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10" t="s">
        <v>6</v>
      </c>
      <c r="AF59" s="38"/>
      <c r="AG59" s="10" t="s">
        <v>6</v>
      </c>
      <c r="AH59" s="25"/>
    </row>
    <row r="60" ht="30.0" customHeight="1">
      <c r="B60" s="32" t="s">
        <v>88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38"/>
      <c r="AG60" s="10" t="s">
        <v>6</v>
      </c>
      <c r="AH60" s="25"/>
    </row>
    <row r="61" ht="30.0" customHeight="1">
      <c r="B61" s="24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38"/>
      <c r="AG61" s="25"/>
      <c r="AH61" s="25"/>
    </row>
    <row r="62" ht="30.0" customHeight="1">
      <c r="B62" s="24" t="str">
        <f>Enero!MonthName&amp;" Total"</f>
        <v>Enero Total</v>
      </c>
      <c r="C62" s="25">
        <f>SUBTOTAL(103,Enero!$C$7)</f>
        <v>0</v>
      </c>
      <c r="D62" s="25">
        <f>SUBTOTAL(103,Enero!$D$7)</f>
        <v>0</v>
      </c>
      <c r="E62" s="25">
        <f>SUBTOTAL(103,Enero!$E$7)</f>
        <v>0</v>
      </c>
      <c r="F62" s="25"/>
      <c r="G62" s="25">
        <f>SUBTOTAL(103,Enero!$G$7)</f>
        <v>0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38"/>
      <c r="AG62" s="25"/>
      <c r="AH62" s="25"/>
    </row>
    <row r="63" ht="30.0" customHeight="1">
      <c r="AH63" s="5"/>
    </row>
    <row r="64" ht="30.0" customHeight="1">
      <c r="B64" s="30" t="s">
        <v>12</v>
      </c>
      <c r="C64" s="27" t="s">
        <v>89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39">
        <v>2026.0</v>
      </c>
    </row>
    <row r="65" ht="30.0" customHeight="1">
      <c r="B65" s="30"/>
      <c r="C65" s="16" t="str">
        <f>TEXT(WEEKDAY(DATE(Enero!CalendarioAño,1,1),1),"ddd")</f>
        <v>jue</v>
      </c>
      <c r="D65" s="16" t="str">
        <f>TEXT(WEEKDAY(DATE(Enero!CalendarioAño,1,2),1),"ddd")</f>
        <v>vie</v>
      </c>
      <c r="E65" s="16" t="str">
        <f>TEXT(WEEKDAY(DATE(Enero!CalendarioAño,1,3),1),"ddd")</f>
        <v>sáb</v>
      </c>
      <c r="F65" s="16" t="str">
        <f>TEXT(WEEKDAY(DATE(Enero!CalendarioAño,1,4),1),"ddd")</f>
        <v>dom</v>
      </c>
      <c r="G65" s="16" t="str">
        <f>TEXT(WEEKDAY(DATE(Enero!CalendarioAño,1,5),1),"ddd")</f>
        <v>lun</v>
      </c>
      <c r="H65" s="16" t="str">
        <f>TEXT(WEEKDAY(DATE(Enero!CalendarioAño,1,6),1),"ddd")</f>
        <v>mar</v>
      </c>
      <c r="I65" s="16" t="str">
        <f>TEXT(WEEKDAY(DATE(Enero!CalendarioAño,1,7),1),"ddd")</f>
        <v>mié</v>
      </c>
      <c r="J65" s="16" t="str">
        <f>TEXT(WEEKDAY(DATE(Enero!CalendarioAño,1,8),1),"ddd")</f>
        <v>jue</v>
      </c>
      <c r="K65" s="16" t="str">
        <f>TEXT(WEEKDAY(DATE(Enero!CalendarioAño,1,9),1),"ddd")</f>
        <v>vie</v>
      </c>
      <c r="L65" s="16" t="str">
        <f>TEXT(WEEKDAY(DATE(Enero!CalendarioAño,1,10),1),"ddd")</f>
        <v>sáb</v>
      </c>
      <c r="M65" s="16" t="str">
        <f>TEXT(WEEKDAY(DATE(Enero!CalendarioAño,1,11),1),"ddd")</f>
        <v>dom</v>
      </c>
      <c r="N65" s="16" t="str">
        <f>TEXT(WEEKDAY(DATE(Enero!CalendarioAño,1,12),1),"ddd")</f>
        <v>lun</v>
      </c>
      <c r="O65" s="16" t="str">
        <f>TEXT(WEEKDAY(DATE(Enero!CalendarioAño,1,13),1),"ddd")</f>
        <v>mar</v>
      </c>
      <c r="P65" s="16" t="str">
        <f>TEXT(WEEKDAY(DATE(Enero!CalendarioAño,1,14),1),"ddd")</f>
        <v>mié</v>
      </c>
      <c r="Q65" s="16" t="str">
        <f>TEXT(WEEKDAY(DATE(Enero!CalendarioAño,1,15),1),"ddd")</f>
        <v>jue</v>
      </c>
      <c r="R65" s="16" t="str">
        <f>TEXT(WEEKDAY(DATE(Enero!CalendarioAño,1,16),1),"ddd")</f>
        <v>vie</v>
      </c>
      <c r="S65" s="16" t="str">
        <f>TEXT(WEEKDAY(DATE(Enero!CalendarioAño,1,17),1),"ddd")</f>
        <v>sáb</v>
      </c>
      <c r="T65" s="16" t="str">
        <f>TEXT(WEEKDAY(DATE(Enero!CalendarioAño,1,18),1),"ddd")</f>
        <v>dom</v>
      </c>
      <c r="U65" s="16" t="str">
        <f>TEXT(WEEKDAY(DATE(Enero!CalendarioAño,1,19),1),"ddd")</f>
        <v>lun</v>
      </c>
      <c r="V65" s="16" t="str">
        <f>TEXT(WEEKDAY(DATE(Enero!CalendarioAño,1,20),1),"ddd")</f>
        <v>mar</v>
      </c>
      <c r="W65" s="16" t="str">
        <f>TEXT(WEEKDAY(DATE(Enero!CalendarioAño,1,21),1),"ddd")</f>
        <v>mié</v>
      </c>
      <c r="X65" s="16" t="str">
        <f>TEXT(WEEKDAY(DATE(Enero!CalendarioAño,1,22),1),"ddd")</f>
        <v>jue</v>
      </c>
      <c r="Y65" s="16" t="str">
        <f>TEXT(WEEKDAY(DATE(Enero!CalendarioAño,1,23),1),"ddd")</f>
        <v>vie</v>
      </c>
      <c r="Z65" s="16" t="str">
        <f>TEXT(WEEKDAY(DATE(Enero!CalendarioAño,1,24),1),"ddd")</f>
        <v>sáb</v>
      </c>
      <c r="AA65" s="16" t="str">
        <f>TEXT(WEEKDAY(DATE(Enero!CalendarioAño,1,25),1),"ddd")</f>
        <v>dom</v>
      </c>
      <c r="AB65" s="16" t="str">
        <f>TEXT(WEEKDAY(DATE(Enero!CalendarioAño,1,26),1),"ddd")</f>
        <v>lun</v>
      </c>
      <c r="AC65" s="16" t="str">
        <f>TEXT(WEEKDAY(DATE(Enero!CalendarioAño,1,27),1),"ddd")</f>
        <v>mar</v>
      </c>
      <c r="AD65" s="16" t="str">
        <f>TEXT(WEEKDAY(DATE(Enero!CalendarioAño,1,28),1),"ddd")</f>
        <v>mié</v>
      </c>
      <c r="AE65" s="16" t="str">
        <f>TEXT(WEEKDAY(DATE(Enero!CalendarioAño,1,29),1),"ddd")</f>
        <v>jue</v>
      </c>
      <c r="AF65" s="16" t="str">
        <f>TEXT(WEEKDAY(DATE(Enero!CalendarioAño,1,30),1),"ddd")</f>
        <v>vie</v>
      </c>
      <c r="AG65" s="16" t="str">
        <f>TEXT(WEEKDAY(DATE(Enero!CalendarioAño,1,31),1),"ddd")</f>
        <v>sáb</v>
      </c>
      <c r="AH65" s="30"/>
    </row>
    <row r="66" ht="30.0" customHeight="1">
      <c r="A66" s="17"/>
      <c r="B66" s="31" t="s">
        <v>14</v>
      </c>
      <c r="C66" s="19" t="s">
        <v>15</v>
      </c>
      <c r="D66" s="19" t="s">
        <v>16</v>
      </c>
      <c r="E66" s="19" t="s">
        <v>17</v>
      </c>
      <c r="F66" s="19" t="s">
        <v>18</v>
      </c>
      <c r="G66" s="19" t="s">
        <v>19</v>
      </c>
      <c r="H66" s="19" t="s">
        <v>20</v>
      </c>
      <c r="I66" s="19" t="s">
        <v>21</v>
      </c>
      <c r="J66" s="19" t="s">
        <v>22</v>
      </c>
      <c r="K66" s="19" t="s">
        <v>23</v>
      </c>
      <c r="L66" s="19" t="s">
        <v>24</v>
      </c>
      <c r="M66" s="19" t="s">
        <v>25</v>
      </c>
      <c r="N66" s="19" t="s">
        <v>26</v>
      </c>
      <c r="O66" s="19" t="s">
        <v>27</v>
      </c>
      <c r="P66" s="19" t="s">
        <v>28</v>
      </c>
      <c r="Q66" s="19" t="s">
        <v>29</v>
      </c>
      <c r="R66" s="19" t="s">
        <v>30</v>
      </c>
      <c r="S66" s="19" t="s">
        <v>31</v>
      </c>
      <c r="T66" s="19" t="s">
        <v>32</v>
      </c>
      <c r="U66" s="19" t="s">
        <v>33</v>
      </c>
      <c r="V66" s="19" t="s">
        <v>34</v>
      </c>
      <c r="W66" s="19" t="s">
        <v>35</v>
      </c>
      <c r="X66" s="19" t="s">
        <v>36</v>
      </c>
      <c r="Y66" s="19" t="s">
        <v>37</v>
      </c>
      <c r="Z66" s="19" t="s">
        <v>38</v>
      </c>
      <c r="AA66" s="19" t="s">
        <v>39</v>
      </c>
      <c r="AB66" s="19" t="s">
        <v>40</v>
      </c>
      <c r="AC66" s="19" t="s">
        <v>41</v>
      </c>
      <c r="AD66" s="19" t="s">
        <v>42</v>
      </c>
      <c r="AE66" s="19" t="s">
        <v>43</v>
      </c>
      <c r="AF66" s="19" t="s">
        <v>44</v>
      </c>
      <c r="AG66" s="19" t="s">
        <v>45</v>
      </c>
      <c r="AH66" s="19" t="s">
        <v>46</v>
      </c>
    </row>
    <row r="67" ht="30.0" customHeight="1">
      <c r="B67" s="40" t="s">
        <v>90</v>
      </c>
      <c r="C67" s="21"/>
      <c r="D67" s="21"/>
      <c r="E67" s="21"/>
      <c r="F67" s="21"/>
      <c r="G67" s="10" t="s">
        <v>6</v>
      </c>
      <c r="H67" s="21"/>
      <c r="I67" s="33"/>
      <c r="J67" s="21"/>
      <c r="K67" s="10" t="s">
        <v>6</v>
      </c>
      <c r="L67" s="21"/>
      <c r="M67" s="33"/>
      <c r="N67" s="21"/>
      <c r="O67" s="21"/>
      <c r="P67" s="21"/>
      <c r="Q67" s="21"/>
      <c r="R67" s="10" t="s">
        <v>6</v>
      </c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10" t="s">
        <v>6</v>
      </c>
      <c r="AE67" s="21"/>
      <c r="AF67" s="34"/>
      <c r="AG67" s="21"/>
      <c r="AH67" s="23"/>
    </row>
    <row r="68" ht="30.0" customHeight="1">
      <c r="B68" s="40" t="s">
        <v>91</v>
      </c>
      <c r="C68" s="21"/>
      <c r="D68" s="21"/>
      <c r="E68" s="21"/>
      <c r="F68" s="22"/>
      <c r="G68" s="22"/>
      <c r="H68" s="10" t="s">
        <v>6</v>
      </c>
      <c r="I68" s="33"/>
      <c r="J68" s="10" t="s">
        <v>6</v>
      </c>
      <c r="K68" s="33"/>
      <c r="L68" s="21"/>
      <c r="M68" s="21"/>
      <c r="N68" s="10" t="s">
        <v>6</v>
      </c>
      <c r="O68" s="21"/>
      <c r="P68" s="33"/>
      <c r="Q68" s="22"/>
      <c r="R68" s="33"/>
      <c r="S68" s="21"/>
      <c r="T68" s="22"/>
      <c r="U68" s="10" t="s">
        <v>6</v>
      </c>
      <c r="V68" s="21"/>
      <c r="W68" s="10" t="s">
        <v>6</v>
      </c>
      <c r="X68" s="21"/>
      <c r="Y68" s="33"/>
      <c r="Z68" s="21"/>
      <c r="AA68" s="22"/>
      <c r="AB68" s="21"/>
      <c r="AC68" s="22"/>
      <c r="AD68" s="10" t="s">
        <v>6</v>
      </c>
      <c r="AE68" s="22"/>
      <c r="AF68" s="34"/>
      <c r="AG68" s="21"/>
      <c r="AH68" s="23"/>
    </row>
    <row r="69" ht="30.0" customHeight="1">
      <c r="B69" s="40" t="s">
        <v>92</v>
      </c>
      <c r="C69" s="21"/>
      <c r="D69" s="21"/>
      <c r="E69" s="21"/>
      <c r="F69" s="21"/>
      <c r="G69" s="22"/>
      <c r="H69" s="10" t="s">
        <v>6</v>
      </c>
      <c r="I69" s="33"/>
      <c r="J69" s="10" t="s">
        <v>6</v>
      </c>
      <c r="K69" s="33"/>
      <c r="L69" s="22"/>
      <c r="M69" s="21"/>
      <c r="N69" s="22"/>
      <c r="O69" s="10" t="s">
        <v>6</v>
      </c>
      <c r="P69" s="33"/>
      <c r="Q69" s="10" t="s">
        <v>6</v>
      </c>
      <c r="R69" s="33"/>
      <c r="S69" s="22"/>
      <c r="T69" s="21"/>
      <c r="U69" s="22"/>
      <c r="V69" s="10" t="s">
        <v>6</v>
      </c>
      <c r="W69" s="33"/>
      <c r="X69" s="22"/>
      <c r="Y69" s="33"/>
      <c r="Z69" s="22"/>
      <c r="AA69" s="21"/>
      <c r="AB69" s="21"/>
      <c r="AC69" s="21"/>
      <c r="AD69" s="21"/>
      <c r="AE69" s="22"/>
      <c r="AF69" s="34"/>
      <c r="AG69" s="22"/>
      <c r="AH69" s="23"/>
    </row>
    <row r="70" ht="30.0" customHeight="1">
      <c r="B70" s="40" t="s">
        <v>93</v>
      </c>
      <c r="C70" s="21"/>
      <c r="D70" s="21"/>
      <c r="E70" s="21"/>
      <c r="F70" s="21"/>
      <c r="G70" s="22"/>
      <c r="H70" s="10" t="s">
        <v>6</v>
      </c>
      <c r="I70" s="33"/>
      <c r="J70" s="10" t="s">
        <v>6</v>
      </c>
      <c r="K70" s="21"/>
      <c r="L70" s="22"/>
      <c r="M70" s="21"/>
      <c r="N70" s="22"/>
      <c r="O70" s="10" t="s">
        <v>6</v>
      </c>
      <c r="P70" s="33"/>
      <c r="Q70" s="10" t="s">
        <v>6</v>
      </c>
      <c r="R70" s="33"/>
      <c r="S70" s="22"/>
      <c r="T70" s="33"/>
      <c r="U70" s="22"/>
      <c r="V70" s="10" t="s">
        <v>6</v>
      </c>
      <c r="W70" s="33"/>
      <c r="X70" s="22"/>
      <c r="Y70" s="33"/>
      <c r="Z70" s="10" t="s">
        <v>6</v>
      </c>
      <c r="AA70" s="21"/>
      <c r="AB70" s="21"/>
      <c r="AC70" s="21"/>
      <c r="AD70" s="33"/>
      <c r="AE70" s="22"/>
      <c r="AF70" s="34"/>
      <c r="AG70" s="10" t="s">
        <v>6</v>
      </c>
      <c r="AH70" s="23"/>
    </row>
    <row r="71" ht="30.0" customHeight="1">
      <c r="B71" s="32" t="s">
        <v>94</v>
      </c>
      <c r="C71" s="21"/>
      <c r="D71" s="21"/>
      <c r="E71" s="21"/>
      <c r="F71" s="21"/>
      <c r="G71" s="22"/>
      <c r="H71" s="10" t="s">
        <v>6</v>
      </c>
      <c r="I71" s="33"/>
      <c r="J71" s="33"/>
      <c r="K71" s="10" t="s">
        <v>6</v>
      </c>
      <c r="L71" s="22"/>
      <c r="M71" s="21"/>
      <c r="N71" s="22"/>
      <c r="O71" s="10" t="s">
        <v>6</v>
      </c>
      <c r="P71" s="33"/>
      <c r="Q71" s="10" t="s">
        <v>6</v>
      </c>
      <c r="R71" s="33"/>
      <c r="S71" s="21"/>
      <c r="T71" s="21"/>
      <c r="U71" s="22"/>
      <c r="V71" s="10" t="s">
        <v>6</v>
      </c>
      <c r="W71" s="33"/>
      <c r="X71" s="33"/>
      <c r="Y71" s="33"/>
      <c r="Z71" s="22"/>
      <c r="AA71" s="21"/>
      <c r="AB71" s="21"/>
      <c r="AC71" s="10" t="s">
        <v>6</v>
      </c>
      <c r="AD71" s="33"/>
      <c r="AE71" s="21"/>
      <c r="AF71" s="34"/>
      <c r="AG71" s="22"/>
      <c r="AH71" s="23"/>
    </row>
    <row r="72" ht="30.0" customHeight="1">
      <c r="B72" s="40" t="s">
        <v>95</v>
      </c>
      <c r="C72" s="21"/>
      <c r="D72" s="21"/>
      <c r="E72" s="21"/>
      <c r="F72" s="21"/>
      <c r="G72" s="21"/>
      <c r="H72" s="10" t="s">
        <v>6</v>
      </c>
      <c r="I72" s="33"/>
      <c r="J72" s="21"/>
      <c r="K72" s="10" t="s">
        <v>6</v>
      </c>
      <c r="L72" s="33"/>
      <c r="M72" s="21"/>
      <c r="N72" s="21"/>
      <c r="O72" s="21"/>
      <c r="P72" s="33"/>
      <c r="Q72" s="10" t="s">
        <v>6</v>
      </c>
      <c r="R72" s="10" t="s">
        <v>6</v>
      </c>
      <c r="S72" s="21"/>
      <c r="T72" s="21"/>
      <c r="U72" s="21"/>
      <c r="V72" s="21"/>
      <c r="W72" s="33"/>
      <c r="X72" s="21"/>
      <c r="Y72" s="33"/>
      <c r="Z72" s="21"/>
      <c r="AA72" s="21"/>
      <c r="AB72" s="21"/>
      <c r="AC72" s="21"/>
      <c r="AD72" s="21"/>
      <c r="AE72" s="21"/>
      <c r="AF72" s="35"/>
      <c r="AG72" s="21"/>
      <c r="AH72" s="23"/>
    </row>
    <row r="73" ht="30.0" customHeight="1">
      <c r="B73" s="32" t="s">
        <v>96</v>
      </c>
      <c r="C73" s="21"/>
      <c r="D73" s="21"/>
      <c r="E73" s="21"/>
      <c r="F73" s="21"/>
      <c r="G73" s="21"/>
      <c r="H73" s="21"/>
      <c r="I73" s="33"/>
      <c r="J73" s="21"/>
      <c r="K73" s="10" t="s">
        <v>6</v>
      </c>
      <c r="L73" s="10" t="s">
        <v>6</v>
      </c>
      <c r="M73" s="21"/>
      <c r="N73" s="21"/>
      <c r="O73" s="10" t="s">
        <v>6</v>
      </c>
      <c r="P73" s="33"/>
      <c r="Q73" s="21"/>
      <c r="R73" s="10" t="s">
        <v>6</v>
      </c>
      <c r="S73" s="21"/>
      <c r="T73" s="21"/>
      <c r="U73" s="21"/>
      <c r="V73" s="10" t="s">
        <v>6</v>
      </c>
      <c r="W73" s="21"/>
      <c r="X73" s="21"/>
      <c r="Y73" s="21"/>
      <c r="Z73" s="21"/>
      <c r="AA73" s="21"/>
      <c r="AB73" s="21"/>
      <c r="AC73" s="10" t="s">
        <v>6</v>
      </c>
      <c r="AD73" s="33"/>
      <c r="AE73" s="21"/>
      <c r="AF73" s="35"/>
      <c r="AG73" s="21"/>
      <c r="AH73" s="23"/>
    </row>
    <row r="74" ht="30.0" customHeight="1">
      <c r="B74" s="32" t="s">
        <v>97</v>
      </c>
      <c r="C74" s="21"/>
      <c r="D74" s="21"/>
      <c r="E74" s="21"/>
      <c r="F74" s="21"/>
      <c r="G74" s="21"/>
      <c r="H74" s="10" t="s">
        <v>6</v>
      </c>
      <c r="I74" s="33"/>
      <c r="J74" s="10" t="s">
        <v>6</v>
      </c>
      <c r="K74" s="33"/>
      <c r="L74" s="21"/>
      <c r="M74" s="21"/>
      <c r="N74" s="21"/>
      <c r="O74" s="10" t="s">
        <v>6</v>
      </c>
      <c r="P74" s="33"/>
      <c r="Q74" s="21"/>
      <c r="R74" s="43"/>
      <c r="S74" s="33"/>
      <c r="T74" s="21"/>
      <c r="U74" s="21"/>
      <c r="V74" s="21"/>
      <c r="W74" s="33"/>
      <c r="X74" s="21"/>
      <c r="Y74" s="33"/>
      <c r="Z74" s="21"/>
      <c r="AA74" s="21"/>
      <c r="AB74" s="21"/>
      <c r="AC74" s="21"/>
      <c r="AD74" s="33"/>
      <c r="AE74" s="21"/>
      <c r="AF74" s="34"/>
      <c r="AG74" s="21"/>
      <c r="AH74" s="23"/>
    </row>
    <row r="75" ht="30.0" customHeight="1">
      <c r="B75" s="32" t="s">
        <v>98</v>
      </c>
      <c r="C75" s="21"/>
      <c r="D75" s="21"/>
      <c r="E75" s="21"/>
      <c r="F75" s="21"/>
      <c r="G75" s="21"/>
      <c r="H75" s="21"/>
      <c r="I75" s="10" t="s">
        <v>6</v>
      </c>
      <c r="J75" s="21"/>
      <c r="K75" s="21"/>
      <c r="L75" s="33"/>
      <c r="M75" s="21"/>
      <c r="N75" s="21"/>
      <c r="O75" s="21"/>
      <c r="P75" s="21"/>
      <c r="Q75" s="21"/>
      <c r="R75" s="33"/>
      <c r="S75" s="10" t="s">
        <v>6</v>
      </c>
      <c r="T75" s="21"/>
      <c r="U75" s="21"/>
      <c r="V75" s="10" t="s">
        <v>6</v>
      </c>
      <c r="W75" s="21"/>
      <c r="X75" s="21"/>
      <c r="Y75" s="21"/>
      <c r="Z75" s="10" t="s">
        <v>6</v>
      </c>
      <c r="AA75" s="21"/>
      <c r="AB75" s="21"/>
      <c r="AC75" s="21"/>
      <c r="AD75" s="21"/>
      <c r="AE75" s="10" t="s">
        <v>6</v>
      </c>
      <c r="AF75" s="35"/>
      <c r="AG75" s="10" t="s">
        <v>6</v>
      </c>
      <c r="AH75" s="23"/>
    </row>
    <row r="76" ht="30.0" customHeight="1">
      <c r="B76" s="32" t="s">
        <v>99</v>
      </c>
      <c r="C76" s="21"/>
      <c r="D76" s="21"/>
      <c r="E76" s="21"/>
      <c r="F76" s="21"/>
      <c r="G76" s="21"/>
      <c r="H76" s="21"/>
      <c r="I76" s="10" t="s">
        <v>6</v>
      </c>
      <c r="J76" s="33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35"/>
      <c r="AG76" s="21"/>
      <c r="AH76" s="23"/>
    </row>
    <row r="77" ht="30.0" customHeight="1">
      <c r="B77" s="32" t="s">
        <v>100</v>
      </c>
      <c r="C77" s="21"/>
      <c r="D77" s="21"/>
      <c r="E77" s="21"/>
      <c r="F77" s="21"/>
      <c r="G77" s="21"/>
      <c r="H77" s="21"/>
      <c r="I77" s="10" t="s">
        <v>6</v>
      </c>
      <c r="J77" s="33"/>
      <c r="K77" s="21"/>
      <c r="L77" s="21"/>
      <c r="M77" s="33"/>
      <c r="N77" s="21"/>
      <c r="O77" s="21"/>
      <c r="P77" s="21"/>
      <c r="Q77" s="33"/>
      <c r="R77" s="10" t="s">
        <v>6</v>
      </c>
      <c r="S77" s="21"/>
      <c r="T77" s="33"/>
      <c r="U77" s="21"/>
      <c r="V77" s="21"/>
      <c r="W77" s="10" t="s">
        <v>6</v>
      </c>
      <c r="X77" s="33"/>
      <c r="Y77" s="21"/>
      <c r="Z77" s="21"/>
      <c r="AA77" s="21"/>
      <c r="AB77" s="21"/>
      <c r="AC77" s="21"/>
      <c r="AD77" s="10" t="s">
        <v>6</v>
      </c>
      <c r="AE77" s="33"/>
      <c r="AF77" s="35"/>
      <c r="AG77" s="21"/>
      <c r="AH77" s="23"/>
    </row>
    <row r="78" ht="30.0" customHeight="1">
      <c r="B78" s="32" t="s">
        <v>101</v>
      </c>
      <c r="C78" s="21"/>
      <c r="D78" s="21"/>
      <c r="E78" s="21"/>
      <c r="F78" s="21"/>
      <c r="G78" s="21"/>
      <c r="H78" s="21"/>
      <c r="I78" s="10" t="s">
        <v>6</v>
      </c>
      <c r="J78" s="33"/>
      <c r="K78" s="33"/>
      <c r="L78" s="21"/>
      <c r="M78" s="21"/>
      <c r="N78" s="10" t="s">
        <v>6</v>
      </c>
      <c r="O78" s="21"/>
      <c r="P78" s="21"/>
      <c r="Q78" s="21"/>
      <c r="R78" s="10" t="s">
        <v>6</v>
      </c>
      <c r="S78" s="21"/>
      <c r="T78" s="21"/>
      <c r="U78" s="10" t="s">
        <v>6</v>
      </c>
      <c r="V78" s="33"/>
      <c r="W78" s="10" t="s">
        <v>6</v>
      </c>
      <c r="X78" s="21"/>
      <c r="Y78" s="21"/>
      <c r="Z78" s="21"/>
      <c r="AA78" s="21"/>
      <c r="AB78" s="10" t="s">
        <v>6</v>
      </c>
      <c r="AC78" s="33"/>
      <c r="AD78" s="10" t="s">
        <v>6</v>
      </c>
      <c r="AE78" s="21"/>
      <c r="AF78" s="35"/>
      <c r="AG78" s="21"/>
      <c r="AH78" s="23"/>
    </row>
    <row r="79" ht="30.0" customHeight="1">
      <c r="B79" s="32" t="s">
        <v>102</v>
      </c>
      <c r="C79" s="21"/>
      <c r="D79" s="21"/>
      <c r="E79" s="21"/>
      <c r="F79" s="21"/>
      <c r="G79" s="21"/>
      <c r="H79" s="21"/>
      <c r="I79" s="10" t="s">
        <v>6</v>
      </c>
      <c r="J79" s="33"/>
      <c r="K79" s="21"/>
      <c r="L79" s="21"/>
      <c r="M79" s="21"/>
      <c r="N79" s="21"/>
      <c r="O79" s="21"/>
      <c r="P79" s="21"/>
      <c r="Q79" s="10" t="s">
        <v>6</v>
      </c>
      <c r="R79" s="21"/>
      <c r="S79" s="10" t="s">
        <v>6</v>
      </c>
      <c r="T79" s="21"/>
      <c r="U79" s="21"/>
      <c r="V79" s="21"/>
      <c r="W79" s="21"/>
      <c r="X79" s="10" t="s">
        <v>6</v>
      </c>
      <c r="Y79" s="21"/>
      <c r="Z79" s="10" t="s">
        <v>6</v>
      </c>
      <c r="AA79" s="21"/>
      <c r="AB79" s="21"/>
      <c r="AC79" s="21"/>
      <c r="AD79" s="21"/>
      <c r="AE79" s="33"/>
      <c r="AF79" s="35"/>
      <c r="AG79" s="10" t="s">
        <v>6</v>
      </c>
      <c r="AH79" s="23"/>
    </row>
    <row r="80" ht="30.0" customHeight="1">
      <c r="B80" s="32" t="s">
        <v>103</v>
      </c>
      <c r="C80" s="21"/>
      <c r="D80" s="21"/>
      <c r="E80" s="21"/>
      <c r="F80" s="21"/>
      <c r="G80" s="21"/>
      <c r="H80" s="21"/>
      <c r="I80" s="43"/>
      <c r="J80" s="43"/>
      <c r="K80" s="33"/>
      <c r="L80" s="10" t="s">
        <v>6</v>
      </c>
      <c r="M80" s="21"/>
      <c r="N80" s="21"/>
      <c r="O80" s="21"/>
      <c r="P80" s="21"/>
      <c r="Q80" s="21"/>
      <c r="R80" s="21"/>
      <c r="S80" s="10" t="s">
        <v>6</v>
      </c>
      <c r="T80" s="21"/>
      <c r="U80" s="21"/>
      <c r="V80" s="21"/>
      <c r="W80" s="21"/>
      <c r="X80" s="33"/>
      <c r="Y80" s="21"/>
      <c r="Z80" s="10" t="s">
        <v>6</v>
      </c>
      <c r="AA80" s="21"/>
      <c r="AB80" s="21"/>
      <c r="AC80" s="21"/>
      <c r="AD80" s="33"/>
      <c r="AE80" s="21"/>
      <c r="AF80" s="34"/>
      <c r="AG80" s="10" t="s">
        <v>6</v>
      </c>
      <c r="AH80" s="23"/>
    </row>
    <row r="81" ht="30.0" customHeight="1">
      <c r="A81" s="44"/>
      <c r="B81" s="45" t="s">
        <v>104</v>
      </c>
      <c r="C81" s="35"/>
      <c r="D81" s="35"/>
      <c r="E81" s="35"/>
      <c r="F81" s="35"/>
      <c r="G81" s="35"/>
      <c r="H81" s="35"/>
      <c r="I81" s="34"/>
      <c r="J81" s="34"/>
      <c r="K81" s="34"/>
      <c r="L81" s="46" t="s">
        <v>6</v>
      </c>
      <c r="M81" s="35"/>
      <c r="N81" s="35"/>
      <c r="O81" s="35"/>
      <c r="P81" s="34"/>
      <c r="Q81" s="35"/>
      <c r="R81" s="46" t="s">
        <v>6</v>
      </c>
      <c r="S81" s="46" t="s">
        <v>6</v>
      </c>
      <c r="T81" s="35"/>
      <c r="U81" s="35"/>
      <c r="V81" s="35"/>
      <c r="W81" s="35"/>
      <c r="X81" s="35"/>
      <c r="Y81" s="35"/>
      <c r="Z81" s="46" t="s">
        <v>6</v>
      </c>
      <c r="AA81" s="35"/>
      <c r="AB81" s="35"/>
      <c r="AC81" s="35"/>
      <c r="AD81" s="35"/>
      <c r="AE81" s="35"/>
      <c r="AF81" s="35"/>
      <c r="AG81" s="46" t="s">
        <v>6</v>
      </c>
      <c r="AH81" s="47"/>
    </row>
    <row r="82" ht="30.0" customHeight="1">
      <c r="B82" s="32" t="s">
        <v>105</v>
      </c>
      <c r="C82" s="21"/>
      <c r="D82" s="21"/>
      <c r="E82" s="21"/>
      <c r="F82" s="21"/>
      <c r="G82" s="21"/>
      <c r="H82" s="21"/>
      <c r="I82" s="43"/>
      <c r="J82" s="43"/>
      <c r="K82" s="33"/>
      <c r="L82" s="10" t="s">
        <v>6</v>
      </c>
      <c r="M82" s="21"/>
      <c r="N82" s="21"/>
      <c r="O82" s="33"/>
      <c r="P82" s="21"/>
      <c r="Q82" s="21"/>
      <c r="R82" s="33"/>
      <c r="S82" s="21"/>
      <c r="T82" s="21"/>
      <c r="U82" s="21"/>
      <c r="V82" s="33"/>
      <c r="W82" s="21"/>
      <c r="X82" s="21"/>
      <c r="Y82" s="33"/>
      <c r="Z82" s="21"/>
      <c r="AA82" s="21"/>
      <c r="AB82" s="21"/>
      <c r="AC82" s="33"/>
      <c r="AD82" s="21"/>
      <c r="AE82" s="21"/>
      <c r="AF82" s="34"/>
      <c r="AG82" s="21"/>
      <c r="AH82" s="23"/>
    </row>
    <row r="83" ht="30.0" customHeight="1">
      <c r="B83" s="40" t="s">
        <v>106</v>
      </c>
      <c r="C83" s="21"/>
      <c r="D83" s="21"/>
      <c r="E83" s="21"/>
      <c r="F83" s="21"/>
      <c r="G83" s="21"/>
      <c r="H83" s="10" t="s">
        <v>6</v>
      </c>
      <c r="I83" s="43"/>
      <c r="J83" s="43"/>
      <c r="K83" s="43"/>
      <c r="L83" s="10" t="s">
        <v>6</v>
      </c>
      <c r="M83" s="21"/>
      <c r="N83" s="21"/>
      <c r="O83" s="21"/>
      <c r="P83" s="21"/>
      <c r="Q83" s="21"/>
      <c r="R83" s="33"/>
      <c r="S83" s="10" t="s">
        <v>6</v>
      </c>
      <c r="T83" s="21"/>
      <c r="U83" s="21"/>
      <c r="V83" s="21"/>
      <c r="W83" s="21"/>
      <c r="X83" s="10" t="s">
        <v>6</v>
      </c>
      <c r="Y83" s="33"/>
      <c r="Z83" s="10" t="s">
        <v>6</v>
      </c>
      <c r="AA83" s="21"/>
      <c r="AB83" s="21"/>
      <c r="AC83" s="21"/>
      <c r="AD83" s="21"/>
      <c r="AE83" s="10" t="s">
        <v>6</v>
      </c>
      <c r="AF83" s="35"/>
      <c r="AG83" s="10" t="s">
        <v>6</v>
      </c>
      <c r="AH83" s="23"/>
    </row>
    <row r="84" ht="30.0" customHeight="1">
      <c r="B84" s="40" t="s">
        <v>107</v>
      </c>
      <c r="C84" s="21"/>
      <c r="D84" s="21"/>
      <c r="E84" s="21"/>
      <c r="F84" s="21"/>
      <c r="G84" s="21"/>
      <c r="H84" s="21"/>
      <c r="I84" s="43"/>
      <c r="J84" s="43"/>
      <c r="K84" s="43"/>
      <c r="L84" s="10" t="s">
        <v>6</v>
      </c>
      <c r="M84" s="21"/>
      <c r="N84" s="21"/>
      <c r="O84" s="21"/>
      <c r="P84" s="33"/>
      <c r="Q84" s="21"/>
      <c r="R84" s="33"/>
      <c r="S84" s="10" t="s">
        <v>6</v>
      </c>
      <c r="T84" s="21"/>
      <c r="U84" s="21"/>
      <c r="V84" s="21"/>
      <c r="W84" s="10" t="s">
        <v>6</v>
      </c>
      <c r="X84" s="21"/>
      <c r="Y84" s="33"/>
      <c r="Z84" s="10" t="s">
        <v>6</v>
      </c>
      <c r="AA84" s="21"/>
      <c r="AB84" s="21"/>
      <c r="AC84" s="21"/>
      <c r="AD84" s="10" t="s">
        <v>6</v>
      </c>
      <c r="AE84" s="21"/>
      <c r="AF84" s="34"/>
      <c r="AG84" s="21"/>
      <c r="AH84" s="23"/>
    </row>
    <row r="85" ht="30.0" customHeight="1">
      <c r="B85" s="32" t="s">
        <v>108</v>
      </c>
      <c r="C85" s="21"/>
      <c r="D85" s="21"/>
      <c r="E85" s="21"/>
      <c r="F85" s="21"/>
      <c r="G85" s="21"/>
      <c r="H85" s="10" t="s">
        <v>6</v>
      </c>
      <c r="I85" s="43"/>
      <c r="J85" s="43"/>
      <c r="K85" s="43"/>
      <c r="L85" s="43"/>
      <c r="M85" s="33"/>
      <c r="N85" s="10" t="s">
        <v>6</v>
      </c>
      <c r="O85" s="21"/>
      <c r="P85" s="21"/>
      <c r="Q85" s="10" t="s">
        <v>6</v>
      </c>
      <c r="R85" s="21"/>
      <c r="S85" s="21"/>
      <c r="T85" s="33"/>
      <c r="U85" s="21"/>
      <c r="V85" s="10" t="s">
        <v>6</v>
      </c>
      <c r="W85" s="21"/>
      <c r="X85" s="21"/>
      <c r="Y85" s="21"/>
      <c r="Z85" s="21"/>
      <c r="AA85" s="21"/>
      <c r="AB85" s="21"/>
      <c r="AC85" s="21"/>
      <c r="AD85" s="21"/>
      <c r="AE85" s="10" t="s">
        <v>6</v>
      </c>
      <c r="AF85" s="35"/>
      <c r="AG85" s="21"/>
      <c r="AH85" s="23"/>
    </row>
    <row r="86" ht="30.0" customHeight="1">
      <c r="B86" s="32" t="s">
        <v>109</v>
      </c>
      <c r="C86" s="21"/>
      <c r="D86" s="21"/>
      <c r="E86" s="21"/>
      <c r="F86" s="21"/>
      <c r="G86" s="21"/>
      <c r="H86" s="21"/>
      <c r="I86" s="43"/>
      <c r="J86" s="43"/>
      <c r="K86" s="43"/>
      <c r="L86" s="43"/>
      <c r="M86" s="33"/>
      <c r="N86" s="10" t="s">
        <v>6</v>
      </c>
      <c r="O86" s="21"/>
      <c r="P86" s="21"/>
      <c r="Q86" s="21"/>
      <c r="R86" s="21"/>
      <c r="S86" s="10" t="s">
        <v>6</v>
      </c>
      <c r="T86" s="21"/>
      <c r="U86" s="10" t="s">
        <v>6</v>
      </c>
      <c r="V86" s="21"/>
      <c r="W86" s="10" t="s">
        <v>6</v>
      </c>
      <c r="X86" s="21"/>
      <c r="Y86" s="21"/>
      <c r="Z86" s="10" t="s">
        <v>6</v>
      </c>
      <c r="AA86" s="21"/>
      <c r="AB86" s="21"/>
      <c r="AC86" s="10" t="s">
        <v>6</v>
      </c>
      <c r="AD86" s="10" t="s">
        <v>6</v>
      </c>
      <c r="AE86" s="10" t="s">
        <v>6</v>
      </c>
      <c r="AF86" s="35"/>
      <c r="AG86" s="21"/>
      <c r="AH86" s="23"/>
    </row>
    <row r="87" ht="30.0" customHeight="1">
      <c r="B87" s="32" t="s">
        <v>110</v>
      </c>
      <c r="C87" s="21"/>
      <c r="D87" s="21"/>
      <c r="E87" s="21"/>
      <c r="F87" s="21"/>
      <c r="G87" s="21"/>
      <c r="H87" s="21"/>
      <c r="I87" s="43"/>
      <c r="J87" s="43"/>
      <c r="K87" s="43"/>
      <c r="L87" s="43"/>
      <c r="M87" s="43"/>
      <c r="N87" s="21"/>
      <c r="O87" s="10" t="s">
        <v>6</v>
      </c>
      <c r="P87" s="33"/>
      <c r="Q87" s="10" t="s">
        <v>6</v>
      </c>
      <c r="R87" s="21"/>
      <c r="S87" s="21"/>
      <c r="T87" s="21"/>
      <c r="U87" s="21"/>
      <c r="V87" s="10" t="s">
        <v>6</v>
      </c>
      <c r="W87" s="21"/>
      <c r="X87" s="10" t="s">
        <v>6</v>
      </c>
      <c r="Y87" s="21"/>
      <c r="Z87" s="21"/>
      <c r="AA87" s="21"/>
      <c r="AB87" s="21"/>
      <c r="AC87" s="10" t="s">
        <v>6</v>
      </c>
      <c r="AD87" s="21"/>
      <c r="AE87" s="10" t="s">
        <v>6</v>
      </c>
      <c r="AF87" s="35"/>
      <c r="AG87" s="21"/>
      <c r="AH87" s="23"/>
    </row>
    <row r="88" ht="30.0" customHeight="1">
      <c r="B88" s="32" t="s">
        <v>111</v>
      </c>
      <c r="C88" s="21"/>
      <c r="D88" s="21"/>
      <c r="E88" s="21"/>
      <c r="F88" s="21"/>
      <c r="G88" s="21"/>
      <c r="H88" s="21"/>
      <c r="I88" s="43"/>
      <c r="J88" s="43"/>
      <c r="K88" s="43"/>
      <c r="L88" s="43"/>
      <c r="M88" s="43"/>
      <c r="N88" s="21"/>
      <c r="O88" s="10" t="s">
        <v>6</v>
      </c>
      <c r="P88" s="21"/>
      <c r="Q88" s="33"/>
      <c r="R88" s="21"/>
      <c r="S88" s="21"/>
      <c r="T88" s="21"/>
      <c r="U88" s="21"/>
      <c r="V88" s="10" t="s">
        <v>6</v>
      </c>
      <c r="W88" s="21"/>
      <c r="X88" s="10" t="s">
        <v>6</v>
      </c>
      <c r="Y88" s="21"/>
      <c r="Z88" s="21"/>
      <c r="AA88" s="21"/>
      <c r="AB88" s="21"/>
      <c r="AC88" s="10" t="s">
        <v>6</v>
      </c>
      <c r="AD88" s="33"/>
      <c r="AE88" s="33"/>
      <c r="AF88" s="35"/>
      <c r="AG88" s="21"/>
      <c r="AH88" s="23"/>
    </row>
    <row r="89" ht="30.0" customHeight="1">
      <c r="B89" s="32" t="s">
        <v>112</v>
      </c>
      <c r="C89" s="21"/>
      <c r="D89" s="21"/>
      <c r="E89" s="21"/>
      <c r="F89" s="21"/>
      <c r="G89" s="21"/>
      <c r="H89" s="21"/>
      <c r="I89" s="43"/>
      <c r="J89" s="43"/>
      <c r="K89" s="43"/>
      <c r="L89" s="43"/>
      <c r="M89" s="43"/>
      <c r="N89" s="21"/>
      <c r="O89" s="43"/>
      <c r="P89" s="33"/>
      <c r="Q89" s="10" t="s">
        <v>6</v>
      </c>
      <c r="R89" s="33"/>
      <c r="S89" s="21"/>
      <c r="T89" s="21"/>
      <c r="U89" s="21"/>
      <c r="V89" s="33"/>
      <c r="W89" s="10" t="s">
        <v>6</v>
      </c>
      <c r="X89" s="10" t="s">
        <v>6</v>
      </c>
      <c r="Y89" s="21"/>
      <c r="Z89" s="21"/>
      <c r="AA89" s="21"/>
      <c r="AB89" s="21"/>
      <c r="AC89" s="21"/>
      <c r="AD89" s="10" t="s">
        <v>6</v>
      </c>
      <c r="AE89" s="21"/>
      <c r="AF89" s="34"/>
      <c r="AG89" s="21"/>
      <c r="AH89" s="23"/>
    </row>
    <row r="90" ht="30.0" customHeight="1">
      <c r="B90" s="32" t="s">
        <v>113</v>
      </c>
      <c r="C90" s="21"/>
      <c r="D90" s="21"/>
      <c r="E90" s="21"/>
      <c r="F90" s="21"/>
      <c r="G90" s="21"/>
      <c r="H90" s="21"/>
      <c r="I90" s="43"/>
      <c r="J90" s="43"/>
      <c r="K90" s="43"/>
      <c r="L90" s="43"/>
      <c r="M90" s="43"/>
      <c r="N90" s="21"/>
      <c r="O90" s="43"/>
      <c r="P90" s="43"/>
      <c r="Q90" s="33"/>
      <c r="R90" s="21"/>
      <c r="S90" s="10" t="s">
        <v>6</v>
      </c>
      <c r="T90" s="21"/>
      <c r="U90" s="21"/>
      <c r="V90" s="10" t="s">
        <v>6</v>
      </c>
      <c r="W90" s="21"/>
      <c r="X90" s="33"/>
      <c r="Y90" s="21"/>
      <c r="Z90" s="10" t="s">
        <v>6</v>
      </c>
      <c r="AA90" s="21"/>
      <c r="AB90" s="21"/>
      <c r="AC90" s="21"/>
      <c r="AD90" s="21"/>
      <c r="AE90" s="33"/>
      <c r="AF90" s="35"/>
      <c r="AG90" s="33"/>
      <c r="AH90" s="23"/>
    </row>
    <row r="91" ht="30.0" customHeight="1">
      <c r="B91" s="32" t="s">
        <v>114</v>
      </c>
      <c r="C91" s="21"/>
      <c r="D91" s="21"/>
      <c r="E91" s="21"/>
      <c r="F91" s="21"/>
      <c r="G91" s="21"/>
      <c r="H91" s="21"/>
      <c r="I91" s="43"/>
      <c r="J91" s="43"/>
      <c r="K91" s="43"/>
      <c r="L91" s="43"/>
      <c r="M91" s="43"/>
      <c r="N91" s="21"/>
      <c r="O91" s="43"/>
      <c r="P91" s="43"/>
      <c r="Q91" s="43"/>
      <c r="R91" s="21"/>
      <c r="S91" s="43"/>
      <c r="T91" s="21"/>
      <c r="U91" s="21"/>
      <c r="V91" s="10" t="s">
        <v>6</v>
      </c>
      <c r="W91" s="10" t="s">
        <v>6</v>
      </c>
      <c r="X91" s="43"/>
      <c r="Y91" s="21"/>
      <c r="Z91" s="43"/>
      <c r="AA91" s="21"/>
      <c r="AB91" s="21"/>
      <c r="AC91" s="21"/>
      <c r="AD91" s="21"/>
      <c r="AE91" s="33"/>
      <c r="AF91" s="35"/>
      <c r="AG91" s="33"/>
      <c r="AH91" s="23"/>
    </row>
    <row r="92" ht="30.0" customHeight="1">
      <c r="A92" s="44"/>
      <c r="B92" s="45" t="s">
        <v>115</v>
      </c>
      <c r="C92" s="35"/>
      <c r="D92" s="35"/>
      <c r="E92" s="35"/>
      <c r="F92" s="35"/>
      <c r="G92" s="35"/>
      <c r="H92" s="35"/>
      <c r="I92" s="34"/>
      <c r="J92" s="34"/>
      <c r="K92" s="34"/>
      <c r="L92" s="34"/>
      <c r="M92" s="34"/>
      <c r="N92" s="35"/>
      <c r="O92" s="34"/>
      <c r="P92" s="34"/>
      <c r="Q92" s="34"/>
      <c r="R92" s="35"/>
      <c r="S92" s="34"/>
      <c r="T92" s="35"/>
      <c r="U92" s="46" t="s">
        <v>6</v>
      </c>
      <c r="V92" s="35"/>
      <c r="W92" s="35"/>
      <c r="X92" s="46" t="s">
        <v>6</v>
      </c>
      <c r="Y92" s="35"/>
      <c r="Z92" s="34"/>
      <c r="AA92" s="35"/>
      <c r="AB92" s="46" t="s">
        <v>6</v>
      </c>
      <c r="AC92" s="35"/>
      <c r="AD92" s="35"/>
      <c r="AE92" s="34"/>
      <c r="AF92" s="35"/>
      <c r="AG92" s="46" t="s">
        <v>6</v>
      </c>
      <c r="AH92" s="47"/>
    </row>
    <row r="93" ht="30.0" customHeight="1">
      <c r="B93" s="32" t="s">
        <v>116</v>
      </c>
      <c r="C93" s="21"/>
      <c r="D93" s="21"/>
      <c r="E93" s="21"/>
      <c r="F93" s="21"/>
      <c r="G93" s="21"/>
      <c r="H93" s="21"/>
      <c r="I93" s="43"/>
      <c r="J93" s="43"/>
      <c r="K93" s="43"/>
      <c r="L93" s="43"/>
      <c r="M93" s="43"/>
      <c r="N93" s="21"/>
      <c r="O93" s="43"/>
      <c r="P93" s="43"/>
      <c r="Q93" s="43"/>
      <c r="R93" s="21"/>
      <c r="S93" s="43"/>
      <c r="T93" s="21"/>
      <c r="U93" s="21"/>
      <c r="V93" s="21"/>
      <c r="W93" s="21"/>
      <c r="X93" s="43"/>
      <c r="Y93" s="21"/>
      <c r="Z93" s="43"/>
      <c r="AA93" s="21"/>
      <c r="AB93" s="21"/>
      <c r="AC93" s="10" t="s">
        <v>6</v>
      </c>
      <c r="AD93" s="21"/>
      <c r="AE93" s="10" t="s">
        <v>6</v>
      </c>
      <c r="AF93" s="35"/>
      <c r="AG93" s="33"/>
      <c r="AH93" s="23"/>
    </row>
    <row r="94" ht="30.0" customHeight="1">
      <c r="B94" s="32" t="s">
        <v>117</v>
      </c>
      <c r="C94" s="21"/>
      <c r="D94" s="21"/>
      <c r="E94" s="21"/>
      <c r="F94" s="21"/>
      <c r="G94" s="21"/>
      <c r="H94" s="21"/>
      <c r="I94" s="43"/>
      <c r="J94" s="43"/>
      <c r="K94" s="43"/>
      <c r="L94" s="43"/>
      <c r="M94" s="43"/>
      <c r="N94" s="21"/>
      <c r="O94" s="43"/>
      <c r="P94" s="43"/>
      <c r="Q94" s="43"/>
      <c r="R94" s="21"/>
      <c r="S94" s="43"/>
      <c r="T94" s="21"/>
      <c r="U94" s="21"/>
      <c r="V94" s="21"/>
      <c r="W94" s="21"/>
      <c r="X94" s="43"/>
      <c r="Y94" s="21"/>
      <c r="Z94" s="43"/>
      <c r="AA94" s="21"/>
      <c r="AB94" s="21"/>
      <c r="AC94" s="21"/>
      <c r="AD94" s="10" t="s">
        <v>6</v>
      </c>
      <c r="AE94" s="33"/>
      <c r="AF94" s="35"/>
      <c r="AG94" s="10" t="s">
        <v>6</v>
      </c>
      <c r="AH94" s="23"/>
    </row>
    <row r="95" ht="30.0" customHeight="1">
      <c r="B95" s="48" t="str">
        <f>Enero!MonthName&amp;" Total"</f>
        <v>Enero Total</v>
      </c>
      <c r="C95" s="25">
        <f>SUBTOTAL(103,Enero!$C$7)</f>
        <v>0</v>
      </c>
      <c r="D95" s="25">
        <f>SUBTOTAL(103,Enero!$D$7)</f>
        <v>0</v>
      </c>
      <c r="E95" s="25">
        <f>SUBTOTAL(103,Enero!$E$7)</f>
        <v>0</v>
      </c>
      <c r="F95" s="25"/>
      <c r="G95" s="25">
        <f>SUBTOTAL(103,Enero!$G$7)</f>
        <v>0</v>
      </c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38"/>
      <c r="AG95" s="25"/>
      <c r="AH95" s="25"/>
    </row>
    <row r="96" ht="30.0" customHeight="1">
      <c r="AH96" s="5"/>
    </row>
    <row r="97" ht="30.0" customHeight="1">
      <c r="B97" s="30" t="s">
        <v>12</v>
      </c>
      <c r="C97" s="27" t="s">
        <v>118</v>
      </c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39">
        <v>2026.0</v>
      </c>
    </row>
    <row r="98" ht="30.0" customHeight="1">
      <c r="B98" s="30"/>
      <c r="C98" s="16" t="str">
        <f>TEXT(WEEKDAY(DATE(Enero!CalendarioAño,1,1),1),"ddd")</f>
        <v>jue</v>
      </c>
      <c r="D98" s="16" t="str">
        <f>TEXT(WEEKDAY(DATE(Enero!CalendarioAño,1,2),1),"ddd")</f>
        <v>vie</v>
      </c>
      <c r="E98" s="16" t="str">
        <f>TEXT(WEEKDAY(DATE(Enero!CalendarioAño,1,3),1),"ddd")</f>
        <v>sáb</v>
      </c>
      <c r="F98" s="16" t="str">
        <f>TEXT(WEEKDAY(DATE(Enero!CalendarioAño,1,4),1),"ddd")</f>
        <v>dom</v>
      </c>
      <c r="G98" s="16" t="str">
        <f>TEXT(WEEKDAY(DATE(Enero!CalendarioAño,1,5),1),"ddd")</f>
        <v>lun</v>
      </c>
      <c r="H98" s="16" t="str">
        <f>TEXT(WEEKDAY(DATE(Enero!CalendarioAño,1,6),1),"ddd")</f>
        <v>mar</v>
      </c>
      <c r="I98" s="16" t="str">
        <f>TEXT(WEEKDAY(DATE(Enero!CalendarioAño,1,7),1),"ddd")</f>
        <v>mié</v>
      </c>
      <c r="J98" s="16" t="str">
        <f>TEXT(WEEKDAY(DATE(Enero!CalendarioAño,1,8),1),"ddd")</f>
        <v>jue</v>
      </c>
      <c r="K98" s="16" t="str">
        <f>TEXT(WEEKDAY(DATE(Enero!CalendarioAño,1,9),1),"ddd")</f>
        <v>vie</v>
      </c>
      <c r="L98" s="16" t="str">
        <f>TEXT(WEEKDAY(DATE(Enero!CalendarioAño,1,10),1),"ddd")</f>
        <v>sáb</v>
      </c>
      <c r="M98" s="16" t="str">
        <f>TEXT(WEEKDAY(DATE(Enero!CalendarioAño,1,11),1),"ddd")</f>
        <v>dom</v>
      </c>
      <c r="N98" s="16" t="str">
        <f>TEXT(WEEKDAY(DATE(Enero!CalendarioAño,1,12),1),"ddd")</f>
        <v>lun</v>
      </c>
      <c r="O98" s="16" t="str">
        <f>TEXT(WEEKDAY(DATE(Enero!CalendarioAño,1,13),1),"ddd")</f>
        <v>mar</v>
      </c>
      <c r="P98" s="16" t="str">
        <f>TEXT(WEEKDAY(DATE(Enero!CalendarioAño,1,14),1),"ddd")</f>
        <v>mié</v>
      </c>
      <c r="Q98" s="16" t="str">
        <f>TEXT(WEEKDAY(DATE(Enero!CalendarioAño,1,15),1),"ddd")</f>
        <v>jue</v>
      </c>
      <c r="R98" s="16" t="str">
        <f>TEXT(WEEKDAY(DATE(Enero!CalendarioAño,1,16),1),"ddd")</f>
        <v>vie</v>
      </c>
      <c r="S98" s="16" t="str">
        <f>TEXT(WEEKDAY(DATE(Enero!CalendarioAño,1,17),1),"ddd")</f>
        <v>sáb</v>
      </c>
      <c r="T98" s="16" t="str">
        <f>TEXT(WEEKDAY(DATE(Enero!CalendarioAño,1,18),1),"ddd")</f>
        <v>dom</v>
      </c>
      <c r="U98" s="16" t="str">
        <f>TEXT(WEEKDAY(DATE(Enero!CalendarioAño,1,19),1),"ddd")</f>
        <v>lun</v>
      </c>
      <c r="V98" s="16" t="str">
        <f>TEXT(WEEKDAY(DATE(Enero!CalendarioAño,1,20),1),"ddd")</f>
        <v>mar</v>
      </c>
      <c r="W98" s="16" t="str">
        <f>TEXT(WEEKDAY(DATE(Enero!CalendarioAño,1,21),1),"ddd")</f>
        <v>mié</v>
      </c>
      <c r="X98" s="16" t="str">
        <f>TEXT(WEEKDAY(DATE(Enero!CalendarioAño,1,22),1),"ddd")</f>
        <v>jue</v>
      </c>
      <c r="Y98" s="16" t="str">
        <f>TEXT(WEEKDAY(DATE(Enero!CalendarioAño,1,23),1),"ddd")</f>
        <v>vie</v>
      </c>
      <c r="Z98" s="16" t="str">
        <f>TEXT(WEEKDAY(DATE(Enero!CalendarioAño,1,24),1),"ddd")</f>
        <v>sáb</v>
      </c>
      <c r="AA98" s="16" t="str">
        <f>TEXT(WEEKDAY(DATE(Enero!CalendarioAño,1,25),1),"ddd")</f>
        <v>dom</v>
      </c>
      <c r="AB98" s="16" t="str">
        <f>TEXT(WEEKDAY(DATE(Enero!CalendarioAño,1,26),1),"ddd")</f>
        <v>lun</v>
      </c>
      <c r="AC98" s="16" t="str">
        <f>TEXT(WEEKDAY(DATE(Enero!CalendarioAño,1,27),1),"ddd")</f>
        <v>mar</v>
      </c>
      <c r="AD98" s="16" t="str">
        <f>TEXT(WEEKDAY(DATE(Enero!CalendarioAño,1,28),1),"ddd")</f>
        <v>mié</v>
      </c>
      <c r="AE98" s="16" t="str">
        <f>TEXT(WEEKDAY(DATE(Enero!CalendarioAño,1,29),1),"ddd")</f>
        <v>jue</v>
      </c>
      <c r="AF98" s="16" t="str">
        <f>TEXT(WEEKDAY(DATE(Enero!CalendarioAño,1,30),1),"ddd")</f>
        <v>vie</v>
      </c>
      <c r="AG98" s="16" t="str">
        <f>TEXT(WEEKDAY(DATE(Enero!CalendarioAño,1,31),1),"ddd")</f>
        <v>sáb</v>
      </c>
      <c r="AH98" s="30"/>
    </row>
    <row r="99" ht="30.0" customHeight="1">
      <c r="A99" s="17"/>
      <c r="B99" s="31" t="s">
        <v>14</v>
      </c>
      <c r="C99" s="19" t="s">
        <v>15</v>
      </c>
      <c r="D99" s="19" t="s">
        <v>16</v>
      </c>
      <c r="E99" s="19" t="s">
        <v>17</v>
      </c>
      <c r="F99" s="19" t="s">
        <v>18</v>
      </c>
      <c r="G99" s="19" t="s">
        <v>19</v>
      </c>
      <c r="H99" s="19" t="s">
        <v>20</v>
      </c>
      <c r="I99" s="19" t="s">
        <v>21</v>
      </c>
      <c r="J99" s="19" t="s">
        <v>22</v>
      </c>
      <c r="K99" s="19" t="s">
        <v>23</v>
      </c>
      <c r="L99" s="19" t="s">
        <v>24</v>
      </c>
      <c r="M99" s="19" t="s">
        <v>25</v>
      </c>
      <c r="N99" s="19" t="s">
        <v>26</v>
      </c>
      <c r="O99" s="19" t="s">
        <v>27</v>
      </c>
      <c r="P99" s="19" t="s">
        <v>28</v>
      </c>
      <c r="Q99" s="19" t="s">
        <v>29</v>
      </c>
      <c r="R99" s="19" t="s">
        <v>30</v>
      </c>
      <c r="S99" s="19" t="s">
        <v>31</v>
      </c>
      <c r="T99" s="19" t="s">
        <v>32</v>
      </c>
      <c r="U99" s="19" t="s">
        <v>33</v>
      </c>
      <c r="V99" s="19" t="s">
        <v>34</v>
      </c>
      <c r="W99" s="19" t="s">
        <v>35</v>
      </c>
      <c r="X99" s="19" t="s">
        <v>36</v>
      </c>
      <c r="Y99" s="19" t="s">
        <v>37</v>
      </c>
      <c r="Z99" s="19" t="s">
        <v>38</v>
      </c>
      <c r="AA99" s="19" t="s">
        <v>39</v>
      </c>
      <c r="AB99" s="19" t="s">
        <v>40</v>
      </c>
      <c r="AC99" s="19" t="s">
        <v>41</v>
      </c>
      <c r="AD99" s="19" t="s">
        <v>42</v>
      </c>
      <c r="AE99" s="19" t="s">
        <v>43</v>
      </c>
      <c r="AF99" s="19" t="s">
        <v>44</v>
      </c>
      <c r="AG99" s="19" t="s">
        <v>45</v>
      </c>
      <c r="AH99" s="19" t="s">
        <v>46</v>
      </c>
    </row>
    <row r="100" ht="30.0" customHeight="1">
      <c r="B100" s="32" t="s">
        <v>119</v>
      </c>
      <c r="C100" s="21"/>
      <c r="D100" s="21"/>
      <c r="E100" s="21"/>
      <c r="F100" s="21"/>
      <c r="G100" s="10" t="s">
        <v>6</v>
      </c>
      <c r="H100" s="49"/>
      <c r="I100" s="10" t="s">
        <v>6</v>
      </c>
      <c r="J100" s="21"/>
      <c r="K100" s="33"/>
      <c r="L100" s="22"/>
      <c r="M100" s="21"/>
      <c r="N100" s="10" t="s">
        <v>6</v>
      </c>
      <c r="O100" s="22"/>
      <c r="P100" s="21"/>
      <c r="Q100" s="21"/>
      <c r="R100" s="33"/>
      <c r="S100" s="21"/>
      <c r="T100" s="21"/>
      <c r="U100" s="21"/>
      <c r="V100" s="22"/>
      <c r="W100" s="10" t="s">
        <v>6</v>
      </c>
      <c r="X100" s="21"/>
      <c r="Y100" s="33"/>
      <c r="Z100" s="21"/>
      <c r="AA100" s="21"/>
      <c r="AB100" s="10" t="s">
        <v>6</v>
      </c>
      <c r="AC100" s="22"/>
      <c r="AD100" s="10" t="s">
        <v>6</v>
      </c>
      <c r="AE100" s="21"/>
      <c r="AF100" s="35"/>
      <c r="AG100" s="21"/>
      <c r="AH100" s="23"/>
    </row>
    <row r="101" ht="30.0" customHeight="1">
      <c r="B101" s="32" t="s">
        <v>120</v>
      </c>
      <c r="C101" s="21"/>
      <c r="D101" s="21"/>
      <c r="E101" s="21"/>
      <c r="F101" s="21"/>
      <c r="G101" s="10" t="s">
        <v>6</v>
      </c>
      <c r="H101" s="49"/>
      <c r="I101" s="10" t="s">
        <v>6</v>
      </c>
      <c r="J101" s="21"/>
      <c r="K101" s="21"/>
      <c r="L101" s="33"/>
      <c r="M101" s="21"/>
      <c r="N101" s="21"/>
      <c r="O101" s="22"/>
      <c r="P101" s="21"/>
      <c r="Q101" s="33"/>
      <c r="R101" s="21"/>
      <c r="S101" s="33"/>
      <c r="T101" s="21"/>
      <c r="U101" s="21"/>
      <c r="V101" s="22"/>
      <c r="W101" s="10" t="s">
        <v>6</v>
      </c>
      <c r="X101" s="10" t="s">
        <v>6</v>
      </c>
      <c r="Y101" s="21"/>
      <c r="Z101" s="10" t="s">
        <v>6</v>
      </c>
      <c r="AA101" s="21"/>
      <c r="AB101" s="10" t="s">
        <v>6</v>
      </c>
      <c r="AC101" s="22"/>
      <c r="AD101" s="10" t="s">
        <v>6</v>
      </c>
      <c r="AE101" s="21"/>
      <c r="AF101" s="34"/>
      <c r="AG101" s="21"/>
      <c r="AH101" s="23"/>
    </row>
    <row r="102" ht="30.0" customHeight="1">
      <c r="B102" s="32" t="s">
        <v>121</v>
      </c>
      <c r="C102" s="21"/>
      <c r="D102" s="21"/>
      <c r="E102" s="21"/>
      <c r="F102" s="21"/>
      <c r="G102" s="10" t="s">
        <v>6</v>
      </c>
      <c r="H102" s="21"/>
      <c r="I102" s="10" t="s">
        <v>6</v>
      </c>
      <c r="J102" s="21"/>
      <c r="K102" s="33"/>
      <c r="L102" s="21"/>
      <c r="M102" s="21"/>
      <c r="N102" s="10" t="s">
        <v>6</v>
      </c>
      <c r="O102" s="21"/>
      <c r="P102" s="33"/>
      <c r="Q102" s="21"/>
      <c r="R102" s="10" t="s">
        <v>6</v>
      </c>
      <c r="S102" s="21"/>
      <c r="T102" s="21"/>
      <c r="U102" s="21"/>
      <c r="V102" s="21"/>
      <c r="W102" s="10" t="s">
        <v>6</v>
      </c>
      <c r="X102" s="21"/>
      <c r="Y102" s="21"/>
      <c r="Z102" s="21"/>
      <c r="AA102" s="21"/>
      <c r="AB102" s="10" t="s">
        <v>6</v>
      </c>
      <c r="AC102" s="21"/>
      <c r="AD102" s="10" t="s">
        <v>6</v>
      </c>
      <c r="AE102" s="21"/>
      <c r="AF102" s="34"/>
      <c r="AG102" s="21"/>
      <c r="AH102" s="23"/>
    </row>
    <row r="103" ht="30.0" customHeight="1">
      <c r="B103" s="32" t="s">
        <v>122</v>
      </c>
      <c r="C103" s="21"/>
      <c r="D103" s="21"/>
      <c r="E103" s="21"/>
      <c r="F103" s="21"/>
      <c r="G103" s="10" t="s">
        <v>6</v>
      </c>
      <c r="H103" s="21"/>
      <c r="I103" s="33"/>
      <c r="J103" s="10" t="s">
        <v>6</v>
      </c>
      <c r="K103" s="10" t="s">
        <v>6</v>
      </c>
      <c r="L103" s="21"/>
      <c r="M103" s="21"/>
      <c r="N103" s="21"/>
      <c r="O103" s="10" t="s">
        <v>6</v>
      </c>
      <c r="P103" s="33"/>
      <c r="Q103" s="21"/>
      <c r="R103" s="33"/>
      <c r="S103" s="33"/>
      <c r="T103" s="21"/>
      <c r="U103" s="21"/>
      <c r="V103" s="33"/>
      <c r="W103" s="10" t="s">
        <v>6</v>
      </c>
      <c r="X103" s="33"/>
      <c r="Y103" s="10" t="s">
        <v>6</v>
      </c>
      <c r="Z103" s="33"/>
      <c r="AA103" s="21"/>
      <c r="AB103" s="10" t="s">
        <v>6</v>
      </c>
      <c r="AC103" s="33"/>
      <c r="AD103" s="10" t="s">
        <v>6</v>
      </c>
      <c r="AE103" s="10" t="s">
        <v>6</v>
      </c>
      <c r="AF103" s="34"/>
      <c r="AG103" s="33"/>
      <c r="AH103" s="23"/>
    </row>
    <row r="104" ht="30.0" customHeight="1">
      <c r="B104" s="32" t="s">
        <v>123</v>
      </c>
      <c r="C104" s="21"/>
      <c r="D104" s="21"/>
      <c r="E104" s="21"/>
      <c r="F104" s="21"/>
      <c r="G104" s="21"/>
      <c r="H104" s="21"/>
      <c r="I104" s="33"/>
      <c r="J104" s="10" t="s">
        <v>6</v>
      </c>
      <c r="K104" s="21"/>
      <c r="L104" s="21"/>
      <c r="M104" s="21"/>
      <c r="N104" s="10" t="s">
        <v>6</v>
      </c>
      <c r="O104" s="21"/>
      <c r="P104" s="21"/>
      <c r="Q104" s="33"/>
      <c r="R104" s="21"/>
      <c r="S104" s="10" t="s">
        <v>6</v>
      </c>
      <c r="T104" s="21"/>
      <c r="U104" s="21"/>
      <c r="V104" s="21"/>
      <c r="W104" s="21"/>
      <c r="X104" s="21"/>
      <c r="Y104" s="21"/>
      <c r="Z104" s="10" t="s">
        <v>6</v>
      </c>
      <c r="AA104" s="21"/>
      <c r="AB104" s="21"/>
      <c r="AC104" s="33"/>
      <c r="AD104" s="21"/>
      <c r="AE104" s="21"/>
      <c r="AF104" s="34"/>
      <c r="AG104" s="33"/>
      <c r="AH104" s="23"/>
    </row>
    <row r="105" ht="30.0" customHeight="1">
      <c r="B105" s="32" t="s">
        <v>124</v>
      </c>
      <c r="C105" s="21"/>
      <c r="D105" s="21"/>
      <c r="E105" s="21"/>
      <c r="F105" s="21"/>
      <c r="G105" s="21"/>
      <c r="H105" s="21"/>
      <c r="I105" s="33"/>
      <c r="J105" s="21"/>
      <c r="K105" s="10" t="s">
        <v>6</v>
      </c>
      <c r="L105" s="21"/>
      <c r="M105" s="21"/>
      <c r="N105" s="10" t="s">
        <v>6</v>
      </c>
      <c r="O105" s="21"/>
      <c r="P105" s="33"/>
      <c r="Q105" s="10" t="s">
        <v>6</v>
      </c>
      <c r="R105" s="33"/>
      <c r="S105" s="21"/>
      <c r="T105" s="21"/>
      <c r="U105" s="21"/>
      <c r="V105" s="10" t="s">
        <v>6</v>
      </c>
      <c r="W105" s="33"/>
      <c r="X105" s="21"/>
      <c r="Y105" s="10" t="s">
        <v>6</v>
      </c>
      <c r="Z105" s="21"/>
      <c r="AA105" s="21"/>
      <c r="AB105" s="10" t="s">
        <v>6</v>
      </c>
      <c r="AC105" s="21"/>
      <c r="AD105" s="10" t="s">
        <v>6</v>
      </c>
      <c r="AE105" s="21"/>
      <c r="AF105" s="34"/>
      <c r="AG105" s="21"/>
      <c r="AH105" s="23"/>
    </row>
    <row r="106" ht="30.0" customHeight="1">
      <c r="B106" s="32" t="s">
        <v>125</v>
      </c>
      <c r="C106" s="21"/>
      <c r="D106" s="21"/>
      <c r="E106" s="21"/>
      <c r="F106" s="21"/>
      <c r="G106" s="21"/>
      <c r="H106" s="10" t="s">
        <v>6</v>
      </c>
      <c r="I106" s="21"/>
      <c r="J106" s="10" t="s">
        <v>6</v>
      </c>
      <c r="K106" s="21"/>
      <c r="L106" s="21"/>
      <c r="M106" s="21"/>
      <c r="N106" s="21"/>
      <c r="O106" s="10" t="s">
        <v>6</v>
      </c>
      <c r="P106" s="21"/>
      <c r="Q106" s="10" t="s">
        <v>6</v>
      </c>
      <c r="R106" s="21"/>
      <c r="S106" s="21"/>
      <c r="T106" s="21"/>
      <c r="U106" s="21"/>
      <c r="V106" s="10" t="s">
        <v>6</v>
      </c>
      <c r="W106" s="21"/>
      <c r="X106" s="21"/>
      <c r="Y106" s="21"/>
      <c r="Z106" s="21"/>
      <c r="AA106" s="21"/>
      <c r="AB106" s="21"/>
      <c r="AC106" s="10" t="s">
        <v>6</v>
      </c>
      <c r="AD106" s="33"/>
      <c r="AE106" s="10" t="s">
        <v>6</v>
      </c>
      <c r="AF106" s="34"/>
      <c r="AG106" s="21"/>
      <c r="AH106" s="23"/>
    </row>
    <row r="107" ht="30.0" customHeight="1">
      <c r="B107" s="32" t="s">
        <v>126</v>
      </c>
      <c r="C107" s="21"/>
      <c r="D107" s="21"/>
      <c r="E107" s="21"/>
      <c r="F107" s="21"/>
      <c r="G107" s="21"/>
      <c r="H107" s="10" t="s">
        <v>6</v>
      </c>
      <c r="I107" s="43"/>
      <c r="J107" s="10" t="s">
        <v>6</v>
      </c>
      <c r="K107" s="33"/>
      <c r="L107" s="21"/>
      <c r="M107" s="21"/>
      <c r="N107" s="21"/>
      <c r="O107" s="10" t="s">
        <v>6</v>
      </c>
      <c r="P107" s="33"/>
      <c r="Q107" s="10" t="s">
        <v>6</v>
      </c>
      <c r="R107" s="21"/>
      <c r="S107" s="21"/>
      <c r="T107" s="21"/>
      <c r="U107" s="21"/>
      <c r="V107" s="10" t="s">
        <v>6</v>
      </c>
      <c r="W107" s="33"/>
      <c r="X107" s="10" t="s">
        <v>6</v>
      </c>
      <c r="Y107" s="33"/>
      <c r="Z107" s="21"/>
      <c r="AA107" s="21"/>
      <c r="AB107" s="21"/>
      <c r="AC107" s="10" t="s">
        <v>6</v>
      </c>
      <c r="AD107" s="21"/>
      <c r="AE107" s="10" t="s">
        <v>6</v>
      </c>
      <c r="AF107" s="34"/>
      <c r="AG107" s="21"/>
      <c r="AH107" s="23"/>
    </row>
    <row r="108" ht="30.0" customHeight="1">
      <c r="B108" s="32" t="s">
        <v>127</v>
      </c>
      <c r="C108" s="21"/>
      <c r="D108" s="21"/>
      <c r="E108" s="21"/>
      <c r="F108" s="21"/>
      <c r="G108" s="21"/>
      <c r="H108" s="10" t="s">
        <v>6</v>
      </c>
      <c r="I108" s="10" t="s">
        <v>6</v>
      </c>
      <c r="J108" s="21"/>
      <c r="K108" s="21"/>
      <c r="L108" s="33"/>
      <c r="M108" s="21"/>
      <c r="N108" s="21"/>
      <c r="O108" s="10" t="s">
        <v>6</v>
      </c>
      <c r="P108" s="21"/>
      <c r="Q108" s="10" t="s">
        <v>6</v>
      </c>
      <c r="R108" s="10" t="s">
        <v>6</v>
      </c>
      <c r="S108" s="33"/>
      <c r="T108" s="21"/>
      <c r="U108" s="21"/>
      <c r="V108" s="10" t="s">
        <v>6</v>
      </c>
      <c r="W108" s="21"/>
      <c r="X108" s="10" t="s">
        <v>6</v>
      </c>
      <c r="Y108" s="21"/>
      <c r="Z108" s="33"/>
      <c r="AA108" s="21"/>
      <c r="AB108" s="21"/>
      <c r="AC108" s="10" t="s">
        <v>6</v>
      </c>
      <c r="AD108" s="21"/>
      <c r="AE108" s="10" t="s">
        <v>6</v>
      </c>
      <c r="AF108" s="35"/>
      <c r="AG108" s="33"/>
      <c r="AH108" s="23"/>
    </row>
    <row r="109" ht="30.0" customHeight="1">
      <c r="A109" s="50"/>
      <c r="B109" s="51" t="s">
        <v>128</v>
      </c>
      <c r="C109" s="36"/>
      <c r="D109" s="36"/>
      <c r="E109" s="36"/>
      <c r="F109" s="36"/>
      <c r="G109" s="36"/>
      <c r="H109" s="36"/>
      <c r="I109" s="10" t="s">
        <v>6</v>
      </c>
      <c r="J109" s="36"/>
      <c r="K109" s="52"/>
      <c r="L109" s="33"/>
      <c r="M109" s="33"/>
      <c r="N109" s="36"/>
      <c r="O109" s="36"/>
      <c r="P109" s="36"/>
      <c r="Q109" s="36"/>
      <c r="R109" s="36"/>
      <c r="S109" s="33"/>
      <c r="T109" s="33"/>
      <c r="U109" s="36"/>
      <c r="V109" s="36"/>
      <c r="W109" s="36"/>
      <c r="X109" s="10" t="s">
        <v>6</v>
      </c>
      <c r="Y109" s="36"/>
      <c r="Z109" s="33"/>
      <c r="AA109" s="33"/>
      <c r="AB109" s="36"/>
      <c r="AC109" s="10" t="s">
        <v>6</v>
      </c>
      <c r="AD109" s="36"/>
      <c r="AE109" s="10" t="s">
        <v>6</v>
      </c>
      <c r="AF109" s="53"/>
      <c r="AG109" s="10" t="s">
        <v>6</v>
      </c>
      <c r="AH109" s="23"/>
    </row>
    <row r="110" ht="30.0" customHeight="1">
      <c r="A110" s="50"/>
      <c r="B110" s="51" t="s">
        <v>129</v>
      </c>
      <c r="C110" s="36"/>
      <c r="D110" s="36"/>
      <c r="E110" s="36"/>
      <c r="F110" s="36"/>
      <c r="G110" s="36"/>
      <c r="H110" s="36"/>
      <c r="I110" s="36"/>
      <c r="J110" s="36"/>
      <c r="K110" s="52"/>
      <c r="L110" s="10" t="s">
        <v>6</v>
      </c>
      <c r="M110" s="33"/>
      <c r="N110" s="36"/>
      <c r="O110" s="36"/>
      <c r="P110" s="36"/>
      <c r="Q110" s="36"/>
      <c r="R110" s="36"/>
      <c r="S110" s="10" t="s">
        <v>6</v>
      </c>
      <c r="T110" s="33"/>
      <c r="U110" s="36"/>
      <c r="V110" s="36"/>
      <c r="W110" s="36"/>
      <c r="X110" s="36"/>
      <c r="Y110" s="36"/>
      <c r="Z110" s="10" t="s">
        <v>6</v>
      </c>
      <c r="AA110" s="36"/>
      <c r="AB110" s="36"/>
      <c r="AC110" s="36"/>
      <c r="AD110" s="36"/>
      <c r="AE110" s="36"/>
      <c r="AF110" s="53"/>
      <c r="AG110" s="10" t="s">
        <v>6</v>
      </c>
      <c r="AH110" s="23"/>
    </row>
    <row r="111" ht="30.0" customHeight="1">
      <c r="A111" s="50"/>
      <c r="B111" s="51" t="s">
        <v>130</v>
      </c>
      <c r="C111" s="36"/>
      <c r="D111" s="36"/>
      <c r="E111" s="36"/>
      <c r="F111" s="36"/>
      <c r="G111" s="36"/>
      <c r="H111" s="36"/>
      <c r="I111" s="36"/>
      <c r="J111" s="36"/>
      <c r="K111" s="52"/>
      <c r="L111" s="10" t="s">
        <v>6</v>
      </c>
      <c r="M111" s="43"/>
      <c r="N111" s="36"/>
      <c r="O111" s="33"/>
      <c r="P111" s="36"/>
      <c r="Q111" s="36"/>
      <c r="R111" s="36"/>
      <c r="S111" s="10" t="s">
        <v>6</v>
      </c>
      <c r="T111" s="36"/>
      <c r="U111" s="36"/>
      <c r="V111" s="36"/>
      <c r="W111" s="36"/>
      <c r="X111" s="36"/>
      <c r="Y111" s="36"/>
      <c r="Z111" s="10" t="s">
        <v>6</v>
      </c>
      <c r="AA111" s="36"/>
      <c r="AB111" s="36"/>
      <c r="AC111" s="36"/>
      <c r="AD111" s="36"/>
      <c r="AE111" s="36"/>
      <c r="AF111" s="53"/>
      <c r="AG111" s="10" t="s">
        <v>6</v>
      </c>
      <c r="AH111" s="23"/>
    </row>
    <row r="112" ht="30.0" customHeight="1">
      <c r="A112" s="50"/>
      <c r="B112" s="51" t="s">
        <v>131</v>
      </c>
      <c r="C112" s="36"/>
      <c r="D112" s="36"/>
      <c r="E112" s="36"/>
      <c r="F112" s="36"/>
      <c r="G112" s="36"/>
      <c r="H112" s="36"/>
      <c r="I112" s="36"/>
      <c r="J112" s="36"/>
      <c r="K112" s="52"/>
      <c r="L112" s="43"/>
      <c r="M112" s="43"/>
      <c r="N112" s="10" t="s">
        <v>6</v>
      </c>
      <c r="O112" s="33"/>
      <c r="P112" s="36"/>
      <c r="Q112" s="33"/>
      <c r="R112" s="36"/>
      <c r="S112" s="33"/>
      <c r="T112" s="33"/>
      <c r="U112" s="36"/>
      <c r="V112" s="33"/>
      <c r="W112" s="36"/>
      <c r="X112" s="33"/>
      <c r="Y112" s="36"/>
      <c r="Z112" s="36"/>
      <c r="AA112" s="36"/>
      <c r="AB112" s="36"/>
      <c r="AC112" s="36"/>
      <c r="AD112" s="36"/>
      <c r="AE112" s="36"/>
      <c r="AF112" s="53"/>
      <c r="AG112" s="36"/>
      <c r="AH112" s="23"/>
    </row>
    <row r="113" ht="30.0" customHeight="1">
      <c r="A113" s="50"/>
      <c r="B113" s="51" t="s">
        <v>132</v>
      </c>
      <c r="C113" s="36"/>
      <c r="D113" s="36"/>
      <c r="E113" s="36"/>
      <c r="F113" s="36"/>
      <c r="G113" s="36"/>
      <c r="H113" s="36"/>
      <c r="I113" s="36"/>
      <c r="J113" s="36"/>
      <c r="K113" s="52"/>
      <c r="L113" s="43"/>
      <c r="M113" s="43"/>
      <c r="N113" s="36"/>
      <c r="O113" s="10" t="s">
        <v>6</v>
      </c>
      <c r="P113" s="33"/>
      <c r="Q113" s="36"/>
      <c r="R113" s="33"/>
      <c r="S113" s="36"/>
      <c r="T113" s="36"/>
      <c r="U113" s="36"/>
      <c r="V113" s="10" t="s">
        <v>6</v>
      </c>
      <c r="W113" s="36"/>
      <c r="X113" s="10" t="s">
        <v>6</v>
      </c>
      <c r="Y113" s="36"/>
      <c r="Z113" s="36"/>
      <c r="AA113" s="36"/>
      <c r="AB113" s="36"/>
      <c r="AC113" s="10" t="s">
        <v>6</v>
      </c>
      <c r="AD113" s="36"/>
      <c r="AE113" s="36"/>
      <c r="AF113" s="34"/>
      <c r="AG113" s="36"/>
      <c r="AH113" s="23"/>
    </row>
    <row r="114" ht="30.0" customHeight="1">
      <c r="A114" s="50"/>
      <c r="B114" s="51" t="s">
        <v>133</v>
      </c>
      <c r="C114" s="36"/>
      <c r="D114" s="36"/>
      <c r="E114" s="36"/>
      <c r="F114" s="36"/>
      <c r="G114" s="36"/>
      <c r="H114" s="36"/>
      <c r="I114" s="36"/>
      <c r="J114" s="36"/>
      <c r="K114" s="52"/>
      <c r="L114" s="43"/>
      <c r="M114" s="43"/>
      <c r="N114" s="36"/>
      <c r="O114" s="43"/>
      <c r="P114" s="43"/>
      <c r="Q114" s="10" t="s">
        <v>6</v>
      </c>
      <c r="R114" s="36"/>
      <c r="S114" s="36"/>
      <c r="T114" s="33"/>
      <c r="U114" s="36"/>
      <c r="V114" s="36"/>
      <c r="W114" s="36"/>
      <c r="X114" s="36"/>
      <c r="Y114" s="36"/>
      <c r="Z114" s="36"/>
      <c r="AA114" s="33"/>
      <c r="AB114" s="36"/>
      <c r="AC114" s="36"/>
      <c r="AD114" s="36"/>
      <c r="AE114" s="36"/>
      <c r="AF114" s="53"/>
      <c r="AG114" s="36"/>
      <c r="AH114" s="23"/>
    </row>
    <row r="115" ht="30.0" customHeight="1">
      <c r="A115" s="50"/>
      <c r="B115" s="51" t="s">
        <v>134</v>
      </c>
      <c r="C115" s="36"/>
      <c r="D115" s="36"/>
      <c r="E115" s="36"/>
      <c r="F115" s="36"/>
      <c r="G115" s="36"/>
      <c r="H115" s="36"/>
      <c r="I115" s="36"/>
      <c r="J115" s="36"/>
      <c r="K115" s="52"/>
      <c r="L115" s="43"/>
      <c r="M115" s="43"/>
      <c r="N115" s="36"/>
      <c r="O115" s="43"/>
      <c r="P115" s="43"/>
      <c r="Q115" s="36"/>
      <c r="R115" s="10" t="s">
        <v>6</v>
      </c>
      <c r="S115" s="36"/>
      <c r="T115" s="33"/>
      <c r="U115" s="36"/>
      <c r="V115" s="10" t="s">
        <v>6</v>
      </c>
      <c r="W115" s="36"/>
      <c r="X115" s="36"/>
      <c r="Y115" s="10" t="s">
        <v>6</v>
      </c>
      <c r="Z115" s="36"/>
      <c r="AA115" s="33"/>
      <c r="AB115" s="36"/>
      <c r="AC115" s="10" t="s">
        <v>6</v>
      </c>
      <c r="AD115" s="10" t="s">
        <v>6</v>
      </c>
      <c r="AE115" s="36"/>
      <c r="AF115" s="53"/>
      <c r="AG115" s="36"/>
      <c r="AH115" s="23"/>
    </row>
    <row r="116" ht="30.0" customHeight="1">
      <c r="A116" s="50"/>
      <c r="B116" s="51" t="s">
        <v>135</v>
      </c>
      <c r="C116" s="36"/>
      <c r="D116" s="36"/>
      <c r="E116" s="36"/>
      <c r="F116" s="36"/>
      <c r="G116" s="36"/>
      <c r="H116" s="10" t="s">
        <v>6</v>
      </c>
      <c r="I116" s="36"/>
      <c r="J116" s="36"/>
      <c r="K116" s="52"/>
      <c r="L116" s="43"/>
      <c r="M116" s="43"/>
      <c r="N116" s="36"/>
      <c r="O116" s="43"/>
      <c r="P116" s="43"/>
      <c r="Q116" s="36"/>
      <c r="R116" s="36"/>
      <c r="S116" s="36"/>
      <c r="T116" s="33"/>
      <c r="U116" s="36"/>
      <c r="V116" s="10" t="s">
        <v>6</v>
      </c>
      <c r="W116" s="36"/>
      <c r="X116" s="36"/>
      <c r="Y116" s="36"/>
      <c r="Z116" s="36"/>
      <c r="AA116" s="33"/>
      <c r="AB116" s="36"/>
      <c r="AC116" s="10" t="s">
        <v>6</v>
      </c>
      <c r="AD116" s="36"/>
      <c r="AE116" s="10" t="s">
        <v>6</v>
      </c>
      <c r="AF116" s="53"/>
      <c r="AG116" s="36"/>
      <c r="AH116" s="23"/>
    </row>
    <row r="117" ht="30.0" customHeight="1">
      <c r="A117" s="50"/>
      <c r="B117" s="51" t="s">
        <v>136</v>
      </c>
      <c r="C117" s="36"/>
      <c r="D117" s="36"/>
      <c r="E117" s="36"/>
      <c r="F117" s="36"/>
      <c r="G117" s="36"/>
      <c r="H117" s="36"/>
      <c r="I117" s="36"/>
      <c r="J117" s="36"/>
      <c r="K117" s="52"/>
      <c r="L117" s="43"/>
      <c r="M117" s="43"/>
      <c r="N117" s="36"/>
      <c r="O117" s="43"/>
      <c r="P117" s="43"/>
      <c r="Q117" s="36"/>
      <c r="R117" s="36"/>
      <c r="S117" s="36"/>
      <c r="T117" s="43"/>
      <c r="U117" s="10" t="s">
        <v>6</v>
      </c>
      <c r="V117" s="36"/>
      <c r="W117" s="36"/>
      <c r="X117" s="36"/>
      <c r="Y117" s="10" t="s">
        <v>6</v>
      </c>
      <c r="Z117" s="33"/>
      <c r="AA117" s="43"/>
      <c r="AB117" s="36"/>
      <c r="AC117" s="36"/>
      <c r="AD117" s="36"/>
      <c r="AE117" s="36"/>
      <c r="AF117" s="53"/>
      <c r="AG117" s="36"/>
      <c r="AH117" s="23"/>
    </row>
    <row r="118" ht="30.0" customHeight="1">
      <c r="A118" s="50"/>
      <c r="B118" s="51" t="s">
        <v>137</v>
      </c>
      <c r="C118" s="36"/>
      <c r="D118" s="36"/>
      <c r="E118" s="36"/>
      <c r="F118" s="36"/>
      <c r="G118" s="36"/>
      <c r="H118" s="36"/>
      <c r="I118" s="36"/>
      <c r="J118" s="36"/>
      <c r="K118" s="52"/>
      <c r="L118" s="43"/>
      <c r="M118" s="43"/>
      <c r="N118" s="36"/>
      <c r="O118" s="43"/>
      <c r="P118" s="43"/>
      <c r="Q118" s="36"/>
      <c r="R118" s="36"/>
      <c r="S118" s="36"/>
      <c r="T118" s="43"/>
      <c r="U118" s="36"/>
      <c r="V118" s="36"/>
      <c r="W118" s="36"/>
      <c r="X118" s="36"/>
      <c r="Y118" s="36"/>
      <c r="Z118" s="10" t="s">
        <v>6</v>
      </c>
      <c r="AA118" s="43"/>
      <c r="AB118" s="36"/>
      <c r="AC118" s="36"/>
      <c r="AD118" s="36"/>
      <c r="AE118" s="36"/>
      <c r="AF118" s="34"/>
      <c r="AG118" s="36"/>
      <c r="AH118" s="23"/>
    </row>
    <row r="119" ht="30.0" customHeight="1">
      <c r="A119" s="50"/>
      <c r="B119" s="51" t="s">
        <v>138</v>
      </c>
      <c r="C119" s="36"/>
      <c r="D119" s="36"/>
      <c r="E119" s="36"/>
      <c r="F119" s="36"/>
      <c r="G119" s="36"/>
      <c r="H119" s="36"/>
      <c r="I119" s="36"/>
      <c r="J119" s="36"/>
      <c r="K119" s="52"/>
      <c r="L119" s="43"/>
      <c r="M119" s="43"/>
      <c r="N119" s="36"/>
      <c r="O119" s="43"/>
      <c r="P119" s="43"/>
      <c r="Q119" s="36"/>
      <c r="R119" s="36"/>
      <c r="S119" s="36"/>
      <c r="T119" s="43"/>
      <c r="U119" s="36"/>
      <c r="V119" s="36"/>
      <c r="W119" s="36"/>
      <c r="X119" s="36"/>
      <c r="Y119" s="36"/>
      <c r="Z119" s="36"/>
      <c r="AA119" s="43"/>
      <c r="AB119" s="36"/>
      <c r="AC119" s="36"/>
      <c r="AD119" s="36"/>
      <c r="AE119" s="36"/>
      <c r="AF119" s="34"/>
      <c r="AG119" s="10" t="s">
        <v>6</v>
      </c>
      <c r="AH119" s="23"/>
    </row>
    <row r="120" ht="30.0" customHeight="1">
      <c r="A120" s="50"/>
      <c r="B120" s="51" t="s">
        <v>139</v>
      </c>
      <c r="C120" s="36"/>
      <c r="D120" s="36"/>
      <c r="E120" s="36"/>
      <c r="F120" s="36"/>
      <c r="G120" s="36"/>
      <c r="H120" s="36"/>
      <c r="I120" s="36"/>
      <c r="J120" s="36"/>
      <c r="K120" s="52"/>
      <c r="L120" s="43"/>
      <c r="M120" s="43"/>
      <c r="N120" s="36"/>
      <c r="O120" s="43"/>
      <c r="P120" s="43"/>
      <c r="Q120" s="36"/>
      <c r="R120" s="36"/>
      <c r="S120" s="36"/>
      <c r="T120" s="43"/>
      <c r="U120" s="36"/>
      <c r="V120" s="36"/>
      <c r="W120" s="36"/>
      <c r="X120" s="36"/>
      <c r="Y120" s="36"/>
      <c r="Z120" s="36"/>
      <c r="AA120" s="43"/>
      <c r="AB120" s="36"/>
      <c r="AC120" s="36"/>
      <c r="AD120" s="36"/>
      <c r="AE120" s="36"/>
      <c r="AF120" s="34"/>
      <c r="AG120" s="10" t="s">
        <v>6</v>
      </c>
      <c r="AH120" s="23"/>
    </row>
    <row r="121" ht="30.0" customHeight="1">
      <c r="B121" s="48" t="str">
        <f>Enero!MonthName&amp;" Total"</f>
        <v>Enero Total</v>
      </c>
      <c r="C121" s="25">
        <f>SUBTOTAL(103,Enero!$C$7)</f>
        <v>0</v>
      </c>
      <c r="D121" s="25">
        <f>SUBTOTAL(103,Enero!$D$7)</f>
        <v>0</v>
      </c>
      <c r="E121" s="25">
        <f>SUBTOTAL(103,Enero!$E$7)</f>
        <v>0</v>
      </c>
      <c r="F121" s="25"/>
      <c r="G121" s="25"/>
      <c r="H121" s="25">
        <f>SUBTOTAL(103,Enero!$H$7)</f>
        <v>0</v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38"/>
      <c r="AG121" s="25"/>
      <c r="AH121" s="25"/>
    </row>
    <row r="122" ht="30.0" customHeight="1">
      <c r="AH122" s="5"/>
    </row>
    <row r="123" ht="30.0" customHeight="1">
      <c r="B123" s="30" t="s">
        <v>12</v>
      </c>
      <c r="C123" s="27" t="s">
        <v>140</v>
      </c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39">
        <v>2026.0</v>
      </c>
    </row>
    <row r="124" ht="30.0" customHeight="1">
      <c r="B124" s="30"/>
      <c r="C124" s="16" t="str">
        <f>TEXT(WEEKDAY(DATE(Enero!CalendarioAño,1,1),1),"ddd")</f>
        <v>jue</v>
      </c>
      <c r="D124" s="16" t="str">
        <f>TEXT(WEEKDAY(DATE(Enero!CalendarioAño,1,2),1),"ddd")</f>
        <v>vie</v>
      </c>
      <c r="E124" s="16" t="str">
        <f>TEXT(WEEKDAY(DATE(Enero!CalendarioAño,1,3),1),"ddd")</f>
        <v>sáb</v>
      </c>
      <c r="F124" s="16" t="str">
        <f>TEXT(WEEKDAY(DATE(Enero!CalendarioAño,1,4),1),"ddd")</f>
        <v>dom</v>
      </c>
      <c r="G124" s="16" t="str">
        <f>TEXT(WEEKDAY(DATE(Enero!CalendarioAño,1,5),1),"ddd")</f>
        <v>lun</v>
      </c>
      <c r="H124" s="16" t="str">
        <f>TEXT(WEEKDAY(DATE(Enero!CalendarioAño,1,6),1),"ddd")</f>
        <v>mar</v>
      </c>
      <c r="I124" s="16" t="str">
        <f>TEXT(WEEKDAY(DATE(Enero!CalendarioAño,1,7),1),"ddd")</f>
        <v>mié</v>
      </c>
      <c r="J124" s="16" t="str">
        <f>TEXT(WEEKDAY(DATE(Enero!CalendarioAño,1,8),1),"ddd")</f>
        <v>jue</v>
      </c>
      <c r="K124" s="16" t="str">
        <f>TEXT(WEEKDAY(DATE(Enero!CalendarioAño,1,9),1),"ddd")</f>
        <v>vie</v>
      </c>
      <c r="L124" s="16" t="str">
        <f>TEXT(WEEKDAY(DATE(Enero!CalendarioAño,1,10),1),"ddd")</f>
        <v>sáb</v>
      </c>
      <c r="M124" s="16" t="str">
        <f>TEXT(WEEKDAY(DATE(Enero!CalendarioAño,1,11),1),"ddd")</f>
        <v>dom</v>
      </c>
      <c r="N124" s="16" t="str">
        <f>TEXT(WEEKDAY(DATE(Enero!CalendarioAño,1,12),1),"ddd")</f>
        <v>lun</v>
      </c>
      <c r="O124" s="16" t="str">
        <f>TEXT(WEEKDAY(DATE(Enero!CalendarioAño,1,13),1),"ddd")</f>
        <v>mar</v>
      </c>
      <c r="P124" s="16" t="str">
        <f>TEXT(WEEKDAY(DATE(Enero!CalendarioAño,1,14),1),"ddd")</f>
        <v>mié</v>
      </c>
      <c r="Q124" s="16" t="str">
        <f>TEXT(WEEKDAY(DATE(Enero!CalendarioAño,1,15),1),"ddd")</f>
        <v>jue</v>
      </c>
      <c r="R124" s="16" t="str">
        <f>TEXT(WEEKDAY(DATE(Enero!CalendarioAño,1,16),1),"ddd")</f>
        <v>vie</v>
      </c>
      <c r="S124" s="16" t="str">
        <f>TEXT(WEEKDAY(DATE(Enero!CalendarioAño,1,17),1),"ddd")</f>
        <v>sáb</v>
      </c>
      <c r="T124" s="16" t="str">
        <f>TEXT(WEEKDAY(DATE(Enero!CalendarioAño,1,18),1),"ddd")</f>
        <v>dom</v>
      </c>
      <c r="U124" s="16" t="str">
        <f>TEXT(WEEKDAY(DATE(Enero!CalendarioAño,1,19),1),"ddd")</f>
        <v>lun</v>
      </c>
      <c r="V124" s="16" t="str">
        <f>TEXT(WEEKDAY(DATE(Enero!CalendarioAño,1,20),1),"ddd")</f>
        <v>mar</v>
      </c>
      <c r="W124" s="16" t="str">
        <f>TEXT(WEEKDAY(DATE(Enero!CalendarioAño,1,21),1),"ddd")</f>
        <v>mié</v>
      </c>
      <c r="X124" s="16" t="str">
        <f>TEXT(WEEKDAY(DATE(Enero!CalendarioAño,1,22),1),"ddd")</f>
        <v>jue</v>
      </c>
      <c r="Y124" s="16" t="str">
        <f>TEXT(WEEKDAY(DATE(Enero!CalendarioAño,1,23),1),"ddd")</f>
        <v>vie</v>
      </c>
      <c r="Z124" s="16" t="str">
        <f>TEXT(WEEKDAY(DATE(Enero!CalendarioAño,1,24),1),"ddd")</f>
        <v>sáb</v>
      </c>
      <c r="AA124" s="16" t="str">
        <f>TEXT(WEEKDAY(DATE(Enero!CalendarioAño,1,25),1),"ddd")</f>
        <v>dom</v>
      </c>
      <c r="AB124" s="16" t="str">
        <f>TEXT(WEEKDAY(DATE(Enero!CalendarioAño,1,26),1),"ddd")</f>
        <v>lun</v>
      </c>
      <c r="AC124" s="16" t="str">
        <f>TEXT(WEEKDAY(DATE(Enero!CalendarioAño,1,27),1),"ddd")</f>
        <v>mar</v>
      </c>
      <c r="AD124" s="16" t="str">
        <f>TEXT(WEEKDAY(DATE(Enero!CalendarioAño,1,28),1),"ddd")</f>
        <v>mié</v>
      </c>
      <c r="AE124" s="16" t="str">
        <f>TEXT(WEEKDAY(DATE(Enero!CalendarioAño,1,29),1),"ddd")</f>
        <v>jue</v>
      </c>
      <c r="AF124" s="16" t="str">
        <f>TEXT(WEEKDAY(DATE(Enero!CalendarioAño,1,30),1),"ddd")</f>
        <v>vie</v>
      </c>
      <c r="AG124" s="16" t="str">
        <f>TEXT(WEEKDAY(DATE(Enero!CalendarioAño,1,31),1),"ddd")</f>
        <v>sáb</v>
      </c>
      <c r="AH124" s="30"/>
    </row>
    <row r="125" ht="30.0" customHeight="1">
      <c r="A125" s="17"/>
      <c r="B125" s="31" t="s">
        <v>14</v>
      </c>
      <c r="C125" s="19" t="s">
        <v>15</v>
      </c>
      <c r="D125" s="19" t="s">
        <v>16</v>
      </c>
      <c r="E125" s="19" t="s">
        <v>17</v>
      </c>
      <c r="F125" s="19" t="s">
        <v>18</v>
      </c>
      <c r="G125" s="19" t="s">
        <v>19</v>
      </c>
      <c r="H125" s="19" t="s">
        <v>20</v>
      </c>
      <c r="I125" s="19" t="s">
        <v>21</v>
      </c>
      <c r="J125" s="19" t="s">
        <v>22</v>
      </c>
      <c r="K125" s="19" t="s">
        <v>23</v>
      </c>
      <c r="L125" s="19" t="s">
        <v>24</v>
      </c>
      <c r="M125" s="19" t="s">
        <v>25</v>
      </c>
      <c r="N125" s="19" t="s">
        <v>26</v>
      </c>
      <c r="O125" s="19" t="s">
        <v>27</v>
      </c>
      <c r="P125" s="19" t="s">
        <v>28</v>
      </c>
      <c r="Q125" s="19" t="s">
        <v>29</v>
      </c>
      <c r="R125" s="19" t="s">
        <v>30</v>
      </c>
      <c r="S125" s="19" t="s">
        <v>31</v>
      </c>
      <c r="T125" s="19" t="s">
        <v>32</v>
      </c>
      <c r="U125" s="19" t="s">
        <v>33</v>
      </c>
      <c r="V125" s="19" t="s">
        <v>34</v>
      </c>
      <c r="W125" s="19" t="s">
        <v>35</v>
      </c>
      <c r="X125" s="19" t="s">
        <v>36</v>
      </c>
      <c r="Y125" s="19" t="s">
        <v>37</v>
      </c>
      <c r="Z125" s="19" t="s">
        <v>38</v>
      </c>
      <c r="AA125" s="19" t="s">
        <v>39</v>
      </c>
      <c r="AB125" s="19" t="s">
        <v>40</v>
      </c>
      <c r="AC125" s="19" t="s">
        <v>41</v>
      </c>
      <c r="AD125" s="19" t="s">
        <v>42</v>
      </c>
      <c r="AE125" s="19" t="s">
        <v>43</v>
      </c>
      <c r="AF125" s="19" t="s">
        <v>44</v>
      </c>
      <c r="AG125" s="19" t="s">
        <v>45</v>
      </c>
      <c r="AH125" s="19" t="s">
        <v>46</v>
      </c>
    </row>
    <row r="126" ht="30.0" customHeight="1">
      <c r="B126" s="40" t="s">
        <v>141</v>
      </c>
      <c r="C126" s="21"/>
      <c r="D126" s="21"/>
      <c r="E126" s="21"/>
      <c r="F126" s="25"/>
      <c r="G126" s="10" t="s">
        <v>6</v>
      </c>
      <c r="H126" s="49"/>
      <c r="I126" s="33"/>
      <c r="J126" s="33"/>
      <c r="K126" s="33"/>
      <c r="L126" s="33"/>
      <c r="M126" s="21"/>
      <c r="N126" s="21"/>
      <c r="O126" s="10" t="s">
        <v>6</v>
      </c>
      <c r="P126" s="33"/>
      <c r="Q126" s="10" t="s">
        <v>6</v>
      </c>
      <c r="R126" s="33"/>
      <c r="S126" s="21"/>
      <c r="T126" s="21"/>
      <c r="U126" s="21"/>
      <c r="V126" s="10" t="s">
        <v>6</v>
      </c>
      <c r="W126" s="33"/>
      <c r="X126" s="21"/>
      <c r="Y126" s="33"/>
      <c r="Z126" s="21"/>
      <c r="AA126" s="21"/>
      <c r="AB126" s="10" t="s">
        <v>6</v>
      </c>
      <c r="AC126" s="22"/>
      <c r="AD126" s="33"/>
      <c r="AE126" s="10" t="s">
        <v>6</v>
      </c>
      <c r="AF126" s="34"/>
      <c r="AG126" s="21"/>
      <c r="AH126" s="23"/>
    </row>
    <row r="127" ht="30.0" customHeight="1">
      <c r="B127" s="32" t="s">
        <v>142</v>
      </c>
      <c r="C127" s="21"/>
      <c r="D127" s="21"/>
      <c r="E127" s="21"/>
      <c r="F127" s="21"/>
      <c r="G127" s="21"/>
      <c r="H127" s="49"/>
      <c r="I127" s="10" t="s">
        <v>6</v>
      </c>
      <c r="J127" s="21"/>
      <c r="K127" s="10" t="s">
        <v>6</v>
      </c>
      <c r="L127" s="22"/>
      <c r="M127" s="21"/>
      <c r="N127" s="21"/>
      <c r="O127" s="33"/>
      <c r="P127" s="33"/>
      <c r="Q127" s="21"/>
      <c r="R127" s="10" t="s">
        <v>6</v>
      </c>
      <c r="S127" s="21"/>
      <c r="T127" s="21"/>
      <c r="U127" s="21"/>
      <c r="V127" s="22"/>
      <c r="W127" s="10" t="s">
        <v>6</v>
      </c>
      <c r="X127" s="33"/>
      <c r="Y127" s="10" t="s">
        <v>6</v>
      </c>
      <c r="Z127" s="21"/>
      <c r="AA127" s="33"/>
      <c r="AB127" s="21"/>
      <c r="AC127" s="33"/>
      <c r="AD127" s="10" t="s">
        <v>6</v>
      </c>
      <c r="AE127" s="21"/>
      <c r="AF127" s="35"/>
      <c r="AG127" s="21"/>
      <c r="AH127" s="23"/>
    </row>
    <row r="128" ht="30.0" customHeight="1">
      <c r="B128" s="32" t="s">
        <v>143</v>
      </c>
      <c r="C128" s="21"/>
      <c r="D128" s="21"/>
      <c r="E128" s="21"/>
      <c r="F128" s="21"/>
      <c r="G128" s="21"/>
      <c r="H128" s="21"/>
      <c r="I128" s="10" t="s">
        <v>6</v>
      </c>
      <c r="J128" s="21"/>
      <c r="K128" s="10" t="s">
        <v>6</v>
      </c>
      <c r="L128" s="33"/>
      <c r="M128" s="21"/>
      <c r="N128" s="10" t="s">
        <v>6</v>
      </c>
      <c r="O128" s="21"/>
      <c r="P128" s="33"/>
      <c r="Q128" s="21"/>
      <c r="R128" s="33"/>
      <c r="S128" s="10" t="s">
        <v>6</v>
      </c>
      <c r="T128" s="21"/>
      <c r="U128" s="21"/>
      <c r="V128" s="10" t="s">
        <v>6</v>
      </c>
      <c r="W128" s="10" t="s">
        <v>6</v>
      </c>
      <c r="X128" s="21"/>
      <c r="Y128" s="21"/>
      <c r="Z128" s="21"/>
      <c r="AA128" s="21"/>
      <c r="AB128" s="10" t="s">
        <v>6</v>
      </c>
      <c r="AC128" s="21"/>
      <c r="AD128" s="21"/>
      <c r="AE128" s="21"/>
      <c r="AF128" s="34"/>
      <c r="AG128" s="10" t="s">
        <v>6</v>
      </c>
      <c r="AH128" s="23"/>
    </row>
    <row r="129" ht="30.0" customHeight="1">
      <c r="B129" s="32" t="s">
        <v>144</v>
      </c>
      <c r="C129" s="21"/>
      <c r="D129" s="21"/>
      <c r="E129" s="21"/>
      <c r="F129" s="21"/>
      <c r="G129" s="21"/>
      <c r="H129" s="21"/>
      <c r="I129" s="10" t="s">
        <v>6</v>
      </c>
      <c r="J129" s="21"/>
      <c r="K129" s="10" t="s">
        <v>6</v>
      </c>
      <c r="L129" s="21"/>
      <c r="M129" s="21"/>
      <c r="N129" s="21"/>
      <c r="O129" s="21"/>
      <c r="P129" s="33"/>
      <c r="Q129" s="21"/>
      <c r="R129" s="10" t="s">
        <v>6</v>
      </c>
      <c r="S129" s="21"/>
      <c r="T129" s="21"/>
      <c r="U129" s="21"/>
      <c r="V129" s="21"/>
      <c r="W129" s="10" t="s">
        <v>6</v>
      </c>
      <c r="X129" s="21"/>
      <c r="Y129" s="33"/>
      <c r="Z129" s="21"/>
      <c r="AA129" s="21"/>
      <c r="AB129" s="21"/>
      <c r="AC129" s="21"/>
      <c r="AD129" s="33"/>
      <c r="AE129" s="21"/>
      <c r="AF129" s="35"/>
      <c r="AG129" s="33"/>
      <c r="AH129" s="23"/>
    </row>
    <row r="130" ht="30.0" customHeight="1">
      <c r="B130" s="32" t="s">
        <v>145</v>
      </c>
      <c r="C130" s="21"/>
      <c r="D130" s="21"/>
      <c r="E130" s="21"/>
      <c r="F130" s="21"/>
      <c r="G130" s="21"/>
      <c r="H130" s="10" t="s">
        <v>6</v>
      </c>
      <c r="I130" s="33"/>
      <c r="J130" s="10" t="s">
        <v>6</v>
      </c>
      <c r="K130" s="33"/>
      <c r="L130" s="21"/>
      <c r="M130" s="21"/>
      <c r="N130" s="21"/>
      <c r="O130" s="10" t="s">
        <v>6</v>
      </c>
      <c r="P130" s="33"/>
      <c r="Q130" s="10" t="s">
        <v>6</v>
      </c>
      <c r="R130" s="33"/>
      <c r="S130" s="21"/>
      <c r="T130" s="21"/>
      <c r="U130" s="21"/>
      <c r="V130" s="10" t="s">
        <v>6</v>
      </c>
      <c r="W130" s="33"/>
      <c r="X130" s="33"/>
      <c r="Y130" s="33"/>
      <c r="Z130" s="21"/>
      <c r="AA130" s="21"/>
      <c r="AB130" s="21"/>
      <c r="AC130" s="21"/>
      <c r="AD130" s="21"/>
      <c r="AE130" s="21"/>
      <c r="AF130" s="34"/>
      <c r="AG130" s="21"/>
      <c r="AH130" s="23"/>
    </row>
    <row r="131" ht="30.0" customHeight="1">
      <c r="B131" s="40" t="s">
        <v>146</v>
      </c>
      <c r="C131" s="21"/>
      <c r="D131" s="21"/>
      <c r="E131" s="21"/>
      <c r="F131" s="21"/>
      <c r="G131" s="21"/>
      <c r="H131" s="10" t="s">
        <v>6</v>
      </c>
      <c r="I131" s="33"/>
      <c r="J131" s="10" t="s">
        <v>6</v>
      </c>
      <c r="K131" s="33"/>
      <c r="L131" s="10" t="s">
        <v>6</v>
      </c>
      <c r="M131" s="21"/>
      <c r="N131" s="21"/>
      <c r="O131" s="10" t="s">
        <v>6</v>
      </c>
      <c r="P131" s="33"/>
      <c r="Q131" s="10" t="s">
        <v>6</v>
      </c>
      <c r="R131" s="21"/>
      <c r="S131" s="10" t="s">
        <v>6</v>
      </c>
      <c r="T131" s="21"/>
      <c r="U131" s="21"/>
      <c r="V131" s="10" t="s">
        <v>6</v>
      </c>
      <c r="W131" s="33"/>
      <c r="X131" s="10" t="s">
        <v>6</v>
      </c>
      <c r="Y131" s="33"/>
      <c r="Z131" s="21"/>
      <c r="AA131" s="21"/>
      <c r="AB131" s="21"/>
      <c r="AC131" s="21"/>
      <c r="AD131" s="21"/>
      <c r="AE131" s="21"/>
      <c r="AF131" s="34"/>
      <c r="AG131" s="21"/>
      <c r="AH131" s="23"/>
    </row>
    <row r="132" ht="30.0" customHeight="1">
      <c r="B132" s="32" t="s">
        <v>147</v>
      </c>
      <c r="C132" s="21"/>
      <c r="D132" s="21"/>
      <c r="E132" s="21"/>
      <c r="F132" s="21"/>
      <c r="G132" s="21"/>
      <c r="H132" s="10" t="s">
        <v>6</v>
      </c>
      <c r="I132" s="10" t="s">
        <v>6</v>
      </c>
      <c r="J132" s="33"/>
      <c r="K132" s="21"/>
      <c r="L132" s="10" t="s">
        <v>6</v>
      </c>
      <c r="M132" s="21"/>
      <c r="N132" s="21"/>
      <c r="O132" s="33"/>
      <c r="P132" s="21"/>
      <c r="Q132" s="33"/>
      <c r="R132" s="21"/>
      <c r="S132" s="10" t="s">
        <v>6</v>
      </c>
      <c r="T132" s="21"/>
      <c r="U132" s="21"/>
      <c r="V132" s="33"/>
      <c r="W132" s="21"/>
      <c r="X132" s="33"/>
      <c r="Y132" s="21"/>
      <c r="Z132" s="10" t="s">
        <v>6</v>
      </c>
      <c r="AA132" s="21"/>
      <c r="AB132" s="21"/>
      <c r="AC132" s="21"/>
      <c r="AD132" s="21"/>
      <c r="AE132" s="21"/>
      <c r="AF132" s="35"/>
      <c r="AG132" s="21"/>
      <c r="AH132" s="23"/>
    </row>
    <row r="133" ht="30.0" customHeight="1">
      <c r="B133" s="32" t="s">
        <v>148</v>
      </c>
      <c r="C133" s="21"/>
      <c r="D133" s="21"/>
      <c r="E133" s="21"/>
      <c r="F133" s="21"/>
      <c r="G133" s="21"/>
      <c r="H133" s="21"/>
      <c r="I133" s="10" t="s">
        <v>6</v>
      </c>
      <c r="J133" s="33"/>
      <c r="K133" s="33"/>
      <c r="L133" s="33"/>
      <c r="M133" s="21"/>
      <c r="N133" s="21"/>
      <c r="O133" s="33"/>
      <c r="P133" s="21"/>
      <c r="Q133" s="33"/>
      <c r="R133" s="33"/>
      <c r="S133" s="33"/>
      <c r="T133" s="21"/>
      <c r="U133" s="21"/>
      <c r="V133" s="21"/>
      <c r="W133" s="10" t="s">
        <v>6</v>
      </c>
      <c r="X133" s="33"/>
      <c r="Y133" s="21"/>
      <c r="Z133" s="33"/>
      <c r="AA133" s="21"/>
      <c r="AB133" s="21"/>
      <c r="AC133" s="33"/>
      <c r="AD133" s="21"/>
      <c r="AE133" s="21"/>
      <c r="AF133" s="34"/>
      <c r="AG133" s="33"/>
      <c r="AH133" s="23"/>
    </row>
    <row r="134" ht="30.0" customHeight="1">
      <c r="B134" s="32" t="s">
        <v>149</v>
      </c>
      <c r="C134" s="21"/>
      <c r="D134" s="21"/>
      <c r="E134" s="21"/>
      <c r="F134" s="21"/>
      <c r="G134" s="21"/>
      <c r="H134" s="21"/>
      <c r="I134" s="43"/>
      <c r="J134" s="43"/>
      <c r="K134" s="43"/>
      <c r="L134" s="33"/>
      <c r="M134" s="33"/>
      <c r="N134" s="10" t="s">
        <v>6</v>
      </c>
      <c r="O134" s="10" t="s">
        <v>6</v>
      </c>
      <c r="P134" s="21"/>
      <c r="Q134" s="21"/>
      <c r="R134" s="21"/>
      <c r="S134" s="10" t="s">
        <v>6</v>
      </c>
      <c r="T134" s="33"/>
      <c r="U134" s="21"/>
      <c r="V134" s="33"/>
      <c r="W134" s="21"/>
      <c r="X134" s="21"/>
      <c r="Y134" s="21"/>
      <c r="Z134" s="21"/>
      <c r="AA134" s="33"/>
      <c r="AB134" s="10" t="s">
        <v>6</v>
      </c>
      <c r="AC134" s="33"/>
      <c r="AD134" s="10" t="s">
        <v>6</v>
      </c>
      <c r="AE134" s="21"/>
      <c r="AF134" s="35"/>
      <c r="AG134" s="21"/>
      <c r="AH134" s="23"/>
    </row>
    <row r="135" ht="30.0" customHeight="1">
      <c r="B135" s="32" t="s">
        <v>150</v>
      </c>
      <c r="C135" s="21"/>
      <c r="D135" s="21"/>
      <c r="E135" s="21"/>
      <c r="F135" s="21"/>
      <c r="G135" s="21"/>
      <c r="H135" s="21"/>
      <c r="I135" s="43"/>
      <c r="J135" s="43"/>
      <c r="K135" s="43"/>
      <c r="L135" s="43"/>
      <c r="M135" s="43"/>
      <c r="N135" s="10" t="s">
        <v>6</v>
      </c>
      <c r="O135" s="33"/>
      <c r="P135" s="21"/>
      <c r="Q135" s="10" t="s">
        <v>6</v>
      </c>
      <c r="R135" s="21"/>
      <c r="S135" s="21"/>
      <c r="T135" s="21"/>
      <c r="U135" s="21"/>
      <c r="V135" s="21"/>
      <c r="W135" s="10" t="s">
        <v>6</v>
      </c>
      <c r="X135" s="10" t="s">
        <v>6</v>
      </c>
      <c r="Y135" s="21"/>
      <c r="Z135" s="21"/>
      <c r="AA135" s="21"/>
      <c r="AB135" s="21"/>
      <c r="AC135" s="10" t="s">
        <v>6</v>
      </c>
      <c r="AD135" s="21"/>
      <c r="AE135" s="10" t="s">
        <v>6</v>
      </c>
      <c r="AF135" s="35"/>
      <c r="AG135" s="21"/>
      <c r="AH135" s="23"/>
    </row>
    <row r="136" ht="30.0" customHeight="1">
      <c r="B136" s="32" t="s">
        <v>151</v>
      </c>
      <c r="C136" s="21"/>
      <c r="D136" s="21"/>
      <c r="E136" s="21"/>
      <c r="F136" s="21"/>
      <c r="G136" s="21"/>
      <c r="H136" s="21"/>
      <c r="I136" s="43"/>
      <c r="J136" s="43"/>
      <c r="K136" s="43"/>
      <c r="L136" s="43"/>
      <c r="M136" s="43"/>
      <c r="N136" s="21"/>
      <c r="O136" s="33"/>
      <c r="P136" s="21"/>
      <c r="Q136" s="33"/>
      <c r="R136" s="10" t="s">
        <v>6</v>
      </c>
      <c r="S136" s="21"/>
      <c r="T136" s="21"/>
      <c r="U136" s="21"/>
      <c r="V136" s="21"/>
      <c r="W136" s="21"/>
      <c r="X136" s="33"/>
      <c r="Y136" s="10" t="s">
        <v>6</v>
      </c>
      <c r="Z136" s="21"/>
      <c r="AA136" s="21"/>
      <c r="AB136" s="21"/>
      <c r="AC136" s="21"/>
      <c r="AD136" s="21"/>
      <c r="AE136" s="21"/>
      <c r="AF136" s="35"/>
      <c r="AG136" s="21"/>
      <c r="AH136" s="23"/>
    </row>
    <row r="137" ht="30.0" customHeight="1">
      <c r="B137" s="32" t="s">
        <v>152</v>
      </c>
      <c r="C137" s="21"/>
      <c r="D137" s="21"/>
      <c r="E137" s="21"/>
      <c r="F137" s="21"/>
      <c r="G137" s="21"/>
      <c r="H137" s="21"/>
      <c r="I137" s="43"/>
      <c r="J137" s="43"/>
      <c r="K137" s="43"/>
      <c r="L137" s="43"/>
      <c r="M137" s="43"/>
      <c r="N137" s="21"/>
      <c r="O137" s="33"/>
      <c r="P137" s="21"/>
      <c r="Q137" s="33"/>
      <c r="R137" s="10" t="s">
        <v>6</v>
      </c>
      <c r="S137" s="21"/>
      <c r="T137" s="21"/>
      <c r="U137" s="21"/>
      <c r="V137" s="10" t="s">
        <v>6</v>
      </c>
      <c r="W137" s="21"/>
      <c r="X137" s="33"/>
      <c r="Y137" s="21"/>
      <c r="Z137" s="21"/>
      <c r="AA137" s="21"/>
      <c r="AB137" s="21"/>
      <c r="AC137" s="10" t="s">
        <v>6</v>
      </c>
      <c r="AD137" s="21"/>
      <c r="AE137" s="10" t="s">
        <v>6</v>
      </c>
      <c r="AF137" s="35"/>
      <c r="AG137" s="21"/>
      <c r="AH137" s="23"/>
    </row>
    <row r="138" ht="30.0" customHeight="1">
      <c r="B138" s="32" t="s">
        <v>153</v>
      </c>
      <c r="C138" s="21"/>
      <c r="D138" s="21"/>
      <c r="E138" s="21"/>
      <c r="F138" s="21"/>
      <c r="G138" s="21"/>
      <c r="H138" s="21"/>
      <c r="I138" s="43"/>
      <c r="J138" s="43"/>
      <c r="K138" s="43"/>
      <c r="L138" s="43"/>
      <c r="M138" s="43"/>
      <c r="N138" s="21"/>
      <c r="O138" s="33"/>
      <c r="P138" s="21"/>
      <c r="Q138" s="33"/>
      <c r="R138" s="10" t="s">
        <v>6</v>
      </c>
      <c r="S138" s="21"/>
      <c r="T138" s="21"/>
      <c r="U138" s="21"/>
      <c r="V138" s="21"/>
      <c r="W138" s="21"/>
      <c r="X138" s="33"/>
      <c r="Y138" s="21"/>
      <c r="Z138" s="21"/>
      <c r="AA138" s="21"/>
      <c r="AB138" s="21"/>
      <c r="AC138" s="21"/>
      <c r="AD138" s="21"/>
      <c r="AE138" s="21"/>
      <c r="AF138" s="35"/>
      <c r="AG138" s="21"/>
      <c r="AH138" s="23"/>
    </row>
    <row r="139" ht="30.0" customHeight="1">
      <c r="B139" s="32" t="s">
        <v>105</v>
      </c>
      <c r="C139" s="21"/>
      <c r="D139" s="21"/>
      <c r="E139" s="21"/>
      <c r="F139" s="21"/>
      <c r="G139" s="21"/>
      <c r="H139" s="21"/>
      <c r="I139" s="43"/>
      <c r="J139" s="43"/>
      <c r="K139" s="43"/>
      <c r="L139" s="43"/>
      <c r="M139" s="43"/>
      <c r="N139" s="21"/>
      <c r="O139" s="33"/>
      <c r="P139" s="21"/>
      <c r="Q139" s="33"/>
      <c r="R139" s="21"/>
      <c r="S139" s="10" t="s">
        <v>6</v>
      </c>
      <c r="T139" s="21"/>
      <c r="U139" s="21"/>
      <c r="V139" s="21"/>
      <c r="W139" s="21"/>
      <c r="X139" s="33"/>
      <c r="Y139" s="21"/>
      <c r="Z139" s="21"/>
      <c r="AA139" s="21"/>
      <c r="AB139" s="21"/>
      <c r="AC139" s="21"/>
      <c r="AD139" s="21"/>
      <c r="AE139" s="21"/>
      <c r="AF139" s="35"/>
      <c r="AG139" s="21"/>
      <c r="AH139" s="23"/>
    </row>
    <row r="140" ht="30.0" customHeight="1">
      <c r="B140" s="32" t="s">
        <v>154</v>
      </c>
      <c r="C140" s="21"/>
      <c r="D140" s="21"/>
      <c r="E140" s="21"/>
      <c r="F140" s="21"/>
      <c r="G140" s="21"/>
      <c r="H140" s="21"/>
      <c r="I140" s="43"/>
      <c r="J140" s="43"/>
      <c r="K140" s="43"/>
      <c r="L140" s="43"/>
      <c r="M140" s="43"/>
      <c r="N140" s="21"/>
      <c r="O140" s="33"/>
      <c r="P140" s="21"/>
      <c r="Q140" s="33"/>
      <c r="R140" s="21"/>
      <c r="S140" s="10" t="s">
        <v>6</v>
      </c>
      <c r="T140" s="21"/>
      <c r="U140" s="21"/>
      <c r="V140" s="21"/>
      <c r="W140" s="21"/>
      <c r="X140" s="33"/>
      <c r="Y140" s="21"/>
      <c r="Z140" s="10" t="s">
        <v>6</v>
      </c>
      <c r="AA140" s="21"/>
      <c r="AB140" s="21"/>
      <c r="AC140" s="21"/>
      <c r="AD140" s="21"/>
      <c r="AE140" s="21"/>
      <c r="AF140" s="35"/>
      <c r="AG140" s="10" t="s">
        <v>6</v>
      </c>
      <c r="AH140" s="23"/>
    </row>
    <row r="141" ht="30.0" customHeight="1">
      <c r="B141" s="32" t="s">
        <v>155</v>
      </c>
      <c r="C141" s="21"/>
      <c r="D141" s="21"/>
      <c r="E141" s="21"/>
      <c r="F141" s="21"/>
      <c r="G141" s="21"/>
      <c r="H141" s="21"/>
      <c r="I141" s="43"/>
      <c r="J141" s="43"/>
      <c r="K141" s="43"/>
      <c r="L141" s="43"/>
      <c r="M141" s="43"/>
      <c r="N141" s="21"/>
      <c r="O141" s="33"/>
      <c r="P141" s="21"/>
      <c r="Q141" s="33"/>
      <c r="R141" s="21"/>
      <c r="S141" s="10" t="s">
        <v>6</v>
      </c>
      <c r="T141" s="21"/>
      <c r="U141" s="21"/>
      <c r="V141" s="21"/>
      <c r="W141" s="21"/>
      <c r="X141" s="33"/>
      <c r="Y141" s="21"/>
      <c r="Z141" s="10" t="s">
        <v>6</v>
      </c>
      <c r="AA141" s="21"/>
      <c r="AB141" s="21"/>
      <c r="AC141" s="21"/>
      <c r="AD141" s="21"/>
      <c r="AE141" s="21"/>
      <c r="AF141" s="35"/>
      <c r="AG141" s="10" t="s">
        <v>6</v>
      </c>
      <c r="AH141" s="23"/>
    </row>
    <row r="142" ht="30.0" customHeight="1">
      <c r="B142" s="32" t="s">
        <v>156</v>
      </c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10" t="s">
        <v>6</v>
      </c>
      <c r="Z142" s="25"/>
      <c r="AA142" s="25"/>
      <c r="AB142" s="25"/>
      <c r="AC142" s="25"/>
      <c r="AD142" s="25"/>
      <c r="AE142" s="25"/>
      <c r="AF142" s="38"/>
      <c r="AG142" s="25"/>
      <c r="AH142" s="25"/>
    </row>
    <row r="143" ht="30.0" customHeight="1">
      <c r="B143" s="32" t="s">
        <v>157</v>
      </c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10" t="s">
        <v>6</v>
      </c>
      <c r="Z143" s="25"/>
      <c r="AA143" s="25"/>
      <c r="AB143" s="10" t="s">
        <v>6</v>
      </c>
      <c r="AC143" s="25"/>
      <c r="AD143" s="25"/>
      <c r="AE143" s="25"/>
      <c r="AF143" s="38"/>
      <c r="AG143" s="25"/>
      <c r="AH143" s="25"/>
    </row>
    <row r="144" ht="30.0" customHeight="1">
      <c r="B144" s="32" t="s">
        <v>158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10" t="s">
        <v>6</v>
      </c>
      <c r="AD144" s="10" t="s">
        <v>6</v>
      </c>
      <c r="AE144" s="10" t="s">
        <v>6</v>
      </c>
      <c r="AF144" s="38"/>
      <c r="AG144" s="25"/>
      <c r="AH144" s="25"/>
    </row>
    <row r="145" ht="30.0" customHeight="1">
      <c r="B145" s="32" t="s">
        <v>159</v>
      </c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10" t="s">
        <v>6</v>
      </c>
      <c r="AE145" s="25"/>
      <c r="AF145" s="38"/>
      <c r="AG145" s="25"/>
      <c r="AH145" s="25"/>
    </row>
    <row r="146" ht="30.0" customHeight="1">
      <c r="B146" s="48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38"/>
      <c r="AG146" s="25"/>
      <c r="AH146" s="25"/>
    </row>
    <row r="147" ht="30.0" customHeight="1">
      <c r="B147" s="48" t="str">
        <f>Enero!MonthName&amp;" Total"</f>
        <v>Enero Total</v>
      </c>
      <c r="C147" s="25">
        <f>SUBTOTAL(103,Enero!$C$7)</f>
        <v>0</v>
      </c>
      <c r="D147" s="25">
        <f>SUBTOTAL(103,Enero!$D$7)</f>
        <v>0</v>
      </c>
      <c r="E147" s="25">
        <f>SUBTOTAL(103,Enero!$E$7)</f>
        <v>0</v>
      </c>
      <c r="F147" s="25"/>
      <c r="G147" s="25"/>
      <c r="H147" s="25">
        <f>SUBTOTAL(103,Enero!$H$7)</f>
        <v>0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>
        <f>SUBTOTAL(103,Enero!$AE$7)</f>
        <v>0</v>
      </c>
      <c r="AF147" s="25">
        <f>SUBTOTAL(103,Enero!$AE$7)</f>
        <v>0</v>
      </c>
      <c r="AG147" s="25">
        <f>SUBTOTAL(103,Enero!$AG$7)</f>
        <v>0</v>
      </c>
      <c r="AH147" s="25">
        <f>SUM(C147:AG147)</f>
        <v>0</v>
      </c>
    </row>
    <row r="148" ht="30.0" customHeight="1">
      <c r="B148" s="54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21"/>
    </row>
    <row r="149" ht="30.0" customHeight="1">
      <c r="B149" s="30" t="s">
        <v>12</v>
      </c>
      <c r="C149" s="27" t="s">
        <v>160</v>
      </c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39">
        <v>2026.0</v>
      </c>
    </row>
    <row r="150" ht="30.0" customHeight="1">
      <c r="B150" s="30"/>
      <c r="C150" s="16" t="str">
        <f>TEXT(WEEKDAY(DATE(Enero!CalendarioAño,1,1),1),"ddd")</f>
        <v>jue</v>
      </c>
      <c r="D150" s="16" t="str">
        <f>TEXT(WEEKDAY(DATE(Enero!CalendarioAño,1,2),1),"ddd")</f>
        <v>vie</v>
      </c>
      <c r="E150" s="16" t="str">
        <f>TEXT(WEEKDAY(DATE(Enero!CalendarioAño,1,3),1),"ddd")</f>
        <v>sáb</v>
      </c>
      <c r="F150" s="16" t="str">
        <f>TEXT(WEEKDAY(DATE(Enero!CalendarioAño,1,4),1),"ddd")</f>
        <v>dom</v>
      </c>
      <c r="G150" s="16" t="str">
        <f>TEXT(WEEKDAY(DATE(Enero!CalendarioAño,1,5),1),"ddd")</f>
        <v>lun</v>
      </c>
      <c r="H150" s="16" t="str">
        <f>TEXT(WEEKDAY(DATE(Enero!CalendarioAño,1,6),1),"ddd")</f>
        <v>mar</v>
      </c>
      <c r="I150" s="16" t="str">
        <f>TEXT(WEEKDAY(DATE(Enero!CalendarioAño,1,7),1),"ddd")</f>
        <v>mié</v>
      </c>
      <c r="J150" s="16" t="str">
        <f>TEXT(WEEKDAY(DATE(Enero!CalendarioAño,1,8),1),"ddd")</f>
        <v>jue</v>
      </c>
      <c r="K150" s="16" t="str">
        <f>TEXT(WEEKDAY(DATE(Enero!CalendarioAño,1,9),1),"ddd")</f>
        <v>vie</v>
      </c>
      <c r="L150" s="16" t="str">
        <f>TEXT(WEEKDAY(DATE(Enero!CalendarioAño,1,10),1),"ddd")</f>
        <v>sáb</v>
      </c>
      <c r="M150" s="16" t="str">
        <f>TEXT(WEEKDAY(DATE(Enero!CalendarioAño,1,11),1),"ddd")</f>
        <v>dom</v>
      </c>
      <c r="N150" s="16" t="str">
        <f>TEXT(WEEKDAY(DATE(Enero!CalendarioAño,1,12),1),"ddd")</f>
        <v>lun</v>
      </c>
      <c r="O150" s="16" t="str">
        <f>TEXT(WEEKDAY(DATE(Enero!CalendarioAño,1,13),1),"ddd")</f>
        <v>mar</v>
      </c>
      <c r="P150" s="16" t="str">
        <f>TEXT(WEEKDAY(DATE(Enero!CalendarioAño,1,14),1),"ddd")</f>
        <v>mié</v>
      </c>
      <c r="Q150" s="16" t="str">
        <f>TEXT(WEEKDAY(DATE(Enero!CalendarioAño,1,15),1),"ddd")</f>
        <v>jue</v>
      </c>
      <c r="R150" s="16" t="str">
        <f>TEXT(WEEKDAY(DATE(Enero!CalendarioAño,1,16),1),"ddd")</f>
        <v>vie</v>
      </c>
      <c r="S150" s="16" t="str">
        <f>TEXT(WEEKDAY(DATE(Enero!CalendarioAño,1,17),1),"ddd")</f>
        <v>sáb</v>
      </c>
      <c r="T150" s="16" t="str">
        <f>TEXT(WEEKDAY(DATE(Enero!CalendarioAño,1,18),1),"ddd")</f>
        <v>dom</v>
      </c>
      <c r="U150" s="16" t="str">
        <f>TEXT(WEEKDAY(DATE(Enero!CalendarioAño,1,19),1),"ddd")</f>
        <v>lun</v>
      </c>
      <c r="V150" s="16" t="str">
        <f>TEXT(WEEKDAY(DATE(Enero!CalendarioAño,1,20),1),"ddd")</f>
        <v>mar</v>
      </c>
      <c r="W150" s="16" t="str">
        <f>TEXT(WEEKDAY(DATE(Enero!CalendarioAño,1,21),1),"ddd")</f>
        <v>mié</v>
      </c>
      <c r="X150" s="16" t="str">
        <f>TEXT(WEEKDAY(DATE(Enero!CalendarioAño,1,22),1),"ddd")</f>
        <v>jue</v>
      </c>
      <c r="Y150" s="16" t="str">
        <f>TEXT(WEEKDAY(DATE(Enero!CalendarioAño,1,23),1),"ddd")</f>
        <v>vie</v>
      </c>
      <c r="Z150" s="16" t="str">
        <f>TEXT(WEEKDAY(DATE(Enero!CalendarioAño,1,24),1),"ddd")</f>
        <v>sáb</v>
      </c>
      <c r="AA150" s="16" t="str">
        <f>TEXT(WEEKDAY(DATE(Enero!CalendarioAño,1,25),1),"ddd")</f>
        <v>dom</v>
      </c>
      <c r="AB150" s="16" t="str">
        <f>TEXT(WEEKDAY(DATE(Enero!CalendarioAño,1,26),1),"ddd")</f>
        <v>lun</v>
      </c>
      <c r="AC150" s="16" t="str">
        <f>TEXT(WEEKDAY(DATE(Enero!CalendarioAño,1,27),1),"ddd")</f>
        <v>mar</v>
      </c>
      <c r="AD150" s="16" t="str">
        <f>TEXT(WEEKDAY(DATE(Enero!CalendarioAño,1,28),1),"ddd")</f>
        <v>mié</v>
      </c>
      <c r="AE150" s="16" t="str">
        <f>TEXT(WEEKDAY(DATE(Enero!CalendarioAño,1,29),1),"ddd")</f>
        <v>jue</v>
      </c>
      <c r="AF150" s="16" t="str">
        <f>TEXT(WEEKDAY(DATE(Enero!CalendarioAño,1,30),1),"ddd")</f>
        <v>vie</v>
      </c>
      <c r="AG150" s="16" t="str">
        <f>TEXT(WEEKDAY(DATE(Enero!CalendarioAño,1,31),1),"ddd")</f>
        <v>sáb</v>
      </c>
      <c r="AH150" s="30"/>
    </row>
    <row r="151" ht="30.0" customHeight="1">
      <c r="A151" s="17"/>
      <c r="B151" s="31" t="s">
        <v>14</v>
      </c>
      <c r="C151" s="19" t="s">
        <v>15</v>
      </c>
      <c r="D151" s="19" t="s">
        <v>16</v>
      </c>
      <c r="E151" s="19" t="s">
        <v>17</v>
      </c>
      <c r="F151" s="19" t="s">
        <v>18</v>
      </c>
      <c r="G151" s="19" t="s">
        <v>19</v>
      </c>
      <c r="H151" s="19" t="s">
        <v>20</v>
      </c>
      <c r="I151" s="19" t="s">
        <v>21</v>
      </c>
      <c r="J151" s="19" t="s">
        <v>22</v>
      </c>
      <c r="K151" s="19" t="s">
        <v>23</v>
      </c>
      <c r="L151" s="19" t="s">
        <v>24</v>
      </c>
      <c r="M151" s="19" t="s">
        <v>25</v>
      </c>
      <c r="N151" s="19" t="s">
        <v>26</v>
      </c>
      <c r="O151" s="19" t="s">
        <v>27</v>
      </c>
      <c r="P151" s="19" t="s">
        <v>28</v>
      </c>
      <c r="Q151" s="19" t="s">
        <v>29</v>
      </c>
      <c r="R151" s="19" t="s">
        <v>30</v>
      </c>
      <c r="S151" s="19" t="s">
        <v>31</v>
      </c>
      <c r="T151" s="19" t="s">
        <v>32</v>
      </c>
      <c r="U151" s="19" t="s">
        <v>33</v>
      </c>
      <c r="V151" s="19" t="s">
        <v>34</v>
      </c>
      <c r="W151" s="19" t="s">
        <v>35</v>
      </c>
      <c r="X151" s="19" t="s">
        <v>36</v>
      </c>
      <c r="Y151" s="19" t="s">
        <v>37</v>
      </c>
      <c r="Z151" s="19" t="s">
        <v>38</v>
      </c>
      <c r="AA151" s="19" t="s">
        <v>39</v>
      </c>
      <c r="AB151" s="19" t="s">
        <v>40</v>
      </c>
      <c r="AC151" s="19" t="s">
        <v>41</v>
      </c>
      <c r="AD151" s="19" t="s">
        <v>42</v>
      </c>
      <c r="AE151" s="19" t="s">
        <v>43</v>
      </c>
      <c r="AF151" s="19" t="s">
        <v>44</v>
      </c>
      <c r="AG151" s="19" t="s">
        <v>45</v>
      </c>
      <c r="AH151" s="19" t="s">
        <v>46</v>
      </c>
    </row>
    <row r="152" ht="30.0" customHeight="1">
      <c r="B152" s="32" t="s">
        <v>161</v>
      </c>
      <c r="C152" s="21"/>
      <c r="D152" s="21"/>
      <c r="E152" s="21"/>
      <c r="F152" s="21"/>
      <c r="G152" s="10" t="s">
        <v>6</v>
      </c>
      <c r="H152" s="49"/>
      <c r="I152" s="33"/>
      <c r="J152" s="21"/>
      <c r="K152" s="33"/>
      <c r="L152" s="22"/>
      <c r="M152" s="33"/>
      <c r="N152" s="10" t="s">
        <v>6</v>
      </c>
      <c r="O152" s="22"/>
      <c r="P152" s="33"/>
      <c r="Q152" s="21"/>
      <c r="R152" s="33"/>
      <c r="S152" s="10" t="s">
        <v>6</v>
      </c>
      <c r="T152" s="33"/>
      <c r="U152" s="21"/>
      <c r="V152" s="22"/>
      <c r="W152" s="33"/>
      <c r="X152" s="21"/>
      <c r="Y152" s="10" t="s">
        <v>6</v>
      </c>
      <c r="Z152" s="10" t="s">
        <v>6</v>
      </c>
      <c r="AA152" s="21"/>
      <c r="AB152" s="21"/>
      <c r="AC152" s="10" t="s">
        <v>6</v>
      </c>
      <c r="AD152" s="10" t="s">
        <v>6</v>
      </c>
      <c r="AE152" s="21"/>
      <c r="AF152" s="34"/>
      <c r="AG152" s="21"/>
      <c r="AH152" s="23"/>
    </row>
    <row r="153" ht="30.0" customHeight="1">
      <c r="B153" s="40" t="s">
        <v>162</v>
      </c>
      <c r="C153" s="21"/>
      <c r="D153" s="21"/>
      <c r="E153" s="21"/>
      <c r="F153" s="21"/>
      <c r="G153" s="21"/>
      <c r="H153" s="21"/>
      <c r="I153" s="33"/>
      <c r="J153" s="21"/>
      <c r="K153" s="33"/>
      <c r="L153" s="21"/>
      <c r="M153" s="21"/>
      <c r="N153" s="21"/>
      <c r="O153" s="10" t="s">
        <v>6</v>
      </c>
      <c r="P153" s="33"/>
      <c r="Q153" s="21"/>
      <c r="R153" s="33"/>
      <c r="S153" s="21"/>
      <c r="T153" s="21"/>
      <c r="U153" s="21"/>
      <c r="V153" s="10" t="s">
        <v>6</v>
      </c>
      <c r="W153" s="33"/>
      <c r="X153" s="10" t="s">
        <v>6</v>
      </c>
      <c r="Y153" s="33"/>
      <c r="Z153" s="21"/>
      <c r="AA153" s="21"/>
      <c r="AB153" s="21"/>
      <c r="AC153" s="10" t="s">
        <v>6</v>
      </c>
      <c r="AD153" s="33"/>
      <c r="AE153" s="10" t="s">
        <v>6</v>
      </c>
      <c r="AF153" s="34"/>
      <c r="AG153" s="21"/>
      <c r="AH153" s="23"/>
    </row>
    <row r="154" ht="30.0" customHeight="1">
      <c r="B154" s="40" t="s">
        <v>163</v>
      </c>
      <c r="C154" s="21"/>
      <c r="D154" s="21"/>
      <c r="E154" s="21"/>
      <c r="F154" s="21"/>
      <c r="G154" s="21"/>
      <c r="H154" s="10" t="s">
        <v>6</v>
      </c>
      <c r="I154" s="33"/>
      <c r="J154" s="21"/>
      <c r="K154" s="10" t="s">
        <v>6</v>
      </c>
      <c r="L154" s="21"/>
      <c r="M154" s="21"/>
      <c r="N154" s="21"/>
      <c r="O154" s="10" t="s">
        <v>6</v>
      </c>
      <c r="P154" s="33"/>
      <c r="Q154" s="21"/>
      <c r="R154" s="10" t="s">
        <v>6</v>
      </c>
      <c r="S154" s="21"/>
      <c r="T154" s="21"/>
      <c r="U154" s="21"/>
      <c r="V154" s="10" t="s">
        <v>6</v>
      </c>
      <c r="W154" s="33"/>
      <c r="X154" s="21"/>
      <c r="Y154" s="10" t="s">
        <v>6</v>
      </c>
      <c r="Z154" s="21"/>
      <c r="AA154" s="21"/>
      <c r="AB154" s="21"/>
      <c r="AC154" s="10" t="s">
        <v>6</v>
      </c>
      <c r="AD154" s="33"/>
      <c r="AE154" s="21"/>
      <c r="AF154" s="34"/>
      <c r="AG154" s="21"/>
      <c r="AH154" s="23"/>
    </row>
    <row r="155" ht="30.0" customHeight="1">
      <c r="B155" s="32" t="s">
        <v>164</v>
      </c>
      <c r="C155" s="21"/>
      <c r="D155" s="21"/>
      <c r="E155" s="21"/>
      <c r="F155" s="21"/>
      <c r="G155" s="21"/>
      <c r="H155" s="10" t="s">
        <v>6</v>
      </c>
      <c r="I155" s="21"/>
      <c r="J155" s="10" t="s">
        <v>6</v>
      </c>
      <c r="K155" s="21"/>
      <c r="L155" s="21"/>
      <c r="M155" s="33"/>
      <c r="N155" s="21"/>
      <c r="O155" s="10" t="s">
        <v>6</v>
      </c>
      <c r="P155" s="21"/>
      <c r="Q155" s="10" t="s">
        <v>6</v>
      </c>
      <c r="R155" s="21"/>
      <c r="S155" s="21"/>
      <c r="T155" s="33"/>
      <c r="U155" s="21"/>
      <c r="V155" s="10" t="s">
        <v>6</v>
      </c>
      <c r="W155" s="21"/>
      <c r="X155" s="10" t="s">
        <v>6</v>
      </c>
      <c r="Y155" s="21"/>
      <c r="Z155" s="21"/>
      <c r="AA155" s="21"/>
      <c r="AB155" s="21"/>
      <c r="AC155" s="10" t="s">
        <v>6</v>
      </c>
      <c r="AD155" s="21"/>
      <c r="AE155" s="10" t="s">
        <v>6</v>
      </c>
      <c r="AF155" s="35"/>
      <c r="AG155" s="21"/>
      <c r="AH155" s="23"/>
    </row>
    <row r="156" ht="30.0" customHeight="1">
      <c r="B156" s="32" t="s">
        <v>165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10" t="s">
        <v>6</v>
      </c>
      <c r="M156" s="33"/>
      <c r="N156" s="21"/>
      <c r="O156" s="21"/>
      <c r="P156" s="21"/>
      <c r="Q156" s="21"/>
      <c r="R156" s="21"/>
      <c r="S156" s="21"/>
      <c r="T156" s="33"/>
      <c r="U156" s="21"/>
      <c r="V156" s="21"/>
      <c r="W156" s="21"/>
      <c r="X156" s="21"/>
      <c r="Y156" s="21"/>
      <c r="Z156" s="10" t="s">
        <v>6</v>
      </c>
      <c r="AA156" s="21"/>
      <c r="AB156" s="21"/>
      <c r="AC156" s="21"/>
      <c r="AD156" s="21"/>
      <c r="AE156" s="21"/>
      <c r="AF156" s="35"/>
      <c r="AG156" s="10" t="s">
        <v>6</v>
      </c>
      <c r="AH156" s="23"/>
    </row>
    <row r="157" ht="30.0" customHeight="1">
      <c r="B157" s="32" t="s">
        <v>166</v>
      </c>
      <c r="C157" s="21"/>
      <c r="D157" s="21"/>
      <c r="E157" s="21"/>
      <c r="F157" s="21"/>
      <c r="G157" s="10" t="s">
        <v>6</v>
      </c>
      <c r="H157" s="21"/>
      <c r="I157" s="21"/>
      <c r="J157" s="21"/>
      <c r="K157" s="21"/>
      <c r="L157" s="10" t="s">
        <v>6</v>
      </c>
      <c r="M157" s="33"/>
      <c r="N157" s="21"/>
      <c r="O157" s="21"/>
      <c r="P157" s="21"/>
      <c r="Q157" s="21"/>
      <c r="R157" s="21"/>
      <c r="S157" s="21"/>
      <c r="T157" s="33"/>
      <c r="U157" s="21"/>
      <c r="V157" s="21"/>
      <c r="W157" s="10" t="s">
        <v>6</v>
      </c>
      <c r="X157" s="21"/>
      <c r="Y157" s="10" t="s">
        <v>6</v>
      </c>
      <c r="Z157" s="21"/>
      <c r="AA157" s="21"/>
      <c r="AB157" s="21"/>
      <c r="AC157" s="21"/>
      <c r="AD157" s="21"/>
      <c r="AE157" s="21"/>
      <c r="AF157" s="35"/>
      <c r="AG157" s="21"/>
      <c r="AH157" s="23"/>
    </row>
    <row r="158" ht="30.0" customHeight="1">
      <c r="B158" s="32" t="s">
        <v>167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33"/>
      <c r="N158" s="21"/>
      <c r="O158" s="10" t="s">
        <v>6</v>
      </c>
      <c r="P158" s="21"/>
      <c r="Q158" s="21"/>
      <c r="R158" s="21"/>
      <c r="S158" s="21"/>
      <c r="T158" s="33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35"/>
      <c r="AG158" s="21"/>
      <c r="AH158" s="23"/>
    </row>
    <row r="159" ht="30.0" customHeight="1">
      <c r="B159" s="32" t="s">
        <v>168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33"/>
      <c r="N159" s="10" t="s">
        <v>6</v>
      </c>
      <c r="O159" s="21"/>
      <c r="P159" s="21"/>
      <c r="Q159" s="21"/>
      <c r="R159" s="10" t="s">
        <v>6</v>
      </c>
      <c r="S159" s="21"/>
      <c r="T159" s="33"/>
      <c r="U159" s="21"/>
      <c r="V159" s="21"/>
      <c r="W159" s="10" t="s">
        <v>6</v>
      </c>
      <c r="X159" s="21"/>
      <c r="Y159" s="21"/>
      <c r="Z159" s="21"/>
      <c r="AA159" s="21"/>
      <c r="AB159" s="10" t="s">
        <v>6</v>
      </c>
      <c r="AC159" s="21"/>
      <c r="AD159" s="10" t="s">
        <v>6</v>
      </c>
      <c r="AE159" s="21"/>
      <c r="AF159" s="35"/>
      <c r="AG159" s="21"/>
      <c r="AH159" s="23"/>
    </row>
    <row r="160" ht="30.0" customHeight="1">
      <c r="B160" s="32" t="s">
        <v>169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33"/>
      <c r="N160" s="21"/>
      <c r="O160" s="21"/>
      <c r="P160" s="21"/>
      <c r="Q160" s="10" t="s">
        <v>6</v>
      </c>
      <c r="R160" s="21"/>
      <c r="S160" s="10" t="s">
        <v>6</v>
      </c>
      <c r="T160" s="33"/>
      <c r="U160" s="21"/>
      <c r="V160" s="10" t="s">
        <v>6</v>
      </c>
      <c r="W160" s="21"/>
      <c r="X160" s="10" t="s">
        <v>6</v>
      </c>
      <c r="Y160" s="21"/>
      <c r="Z160" s="10" t="s">
        <v>6</v>
      </c>
      <c r="AA160" s="21"/>
      <c r="AB160" s="10" t="s">
        <v>6</v>
      </c>
      <c r="AC160" s="21"/>
      <c r="AD160" s="21"/>
      <c r="AE160" s="21"/>
      <c r="AF160" s="35"/>
      <c r="AG160" s="10" t="s">
        <v>6</v>
      </c>
      <c r="AH160" s="23"/>
    </row>
    <row r="161" ht="30.0" customHeight="1">
      <c r="B161" s="32" t="s">
        <v>170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33"/>
      <c r="N161" s="21"/>
      <c r="O161" s="21"/>
      <c r="P161" s="21"/>
      <c r="Q161" s="21"/>
      <c r="R161" s="10" t="s">
        <v>6</v>
      </c>
      <c r="S161" s="21"/>
      <c r="T161" s="33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35"/>
      <c r="AG161" s="21"/>
      <c r="AH161" s="23"/>
    </row>
    <row r="162" ht="30.0" customHeight="1">
      <c r="B162" s="20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33"/>
      <c r="N162" s="21"/>
      <c r="O162" s="21"/>
      <c r="P162" s="21"/>
      <c r="Q162" s="21"/>
      <c r="R162" s="21"/>
      <c r="S162" s="21"/>
      <c r="T162" s="33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35"/>
      <c r="AG162" s="21"/>
      <c r="AH162" s="23"/>
    </row>
    <row r="163" ht="30.0" customHeight="1">
      <c r="B163" s="20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33"/>
      <c r="N163" s="21"/>
      <c r="O163" s="21"/>
      <c r="P163" s="21"/>
      <c r="Q163" s="21"/>
      <c r="R163" s="21"/>
      <c r="S163" s="21"/>
      <c r="T163" s="33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35"/>
      <c r="AG163" s="21"/>
      <c r="AH163" s="23"/>
    </row>
    <row r="164" ht="30.0" customHeight="1">
      <c r="B164" s="48" t="str">
        <f>Enero!MonthName&amp;" Total"</f>
        <v>Enero Total</v>
      </c>
      <c r="C164" s="25">
        <f>SUBTOTAL(103,Enero!$C$7)</f>
        <v>0</v>
      </c>
      <c r="D164" s="25">
        <f>SUBTOTAL(103,Enero!$D$7)</f>
        <v>0</v>
      </c>
      <c r="E164" s="25">
        <f>SUBTOTAL(103,Enero!$E$7)</f>
        <v>0</v>
      </c>
      <c r="F164" s="25"/>
      <c r="G164" s="25"/>
      <c r="H164" s="25">
        <f>SUBTOTAL(103,Enero!$H$7)</f>
        <v>0</v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>
        <f>SUBTOTAL(103,Enero!$Y$7)</f>
        <v>0</v>
      </c>
      <c r="Z164" s="25">
        <f>SUBTOTAL(103,Enero!$Z$7)</f>
        <v>0</v>
      </c>
      <c r="AA164" s="25">
        <f>SUBTOTAL(103,Enero!$AA$7)</f>
        <v>0</v>
      </c>
      <c r="AB164" s="25">
        <f>SUBTOTAL(103,Enero!$AB$7)</f>
        <v>0</v>
      </c>
      <c r="AC164" s="25">
        <f>SUBTOTAL(103,Enero!$AC$7)</f>
        <v>0</v>
      </c>
      <c r="AD164" s="25">
        <f>SUBTOTAL(103,Enero!$AD$7)</f>
        <v>0</v>
      </c>
      <c r="AE164" s="25">
        <f>SUBTOTAL(103,Enero!$AE$7)</f>
        <v>0</v>
      </c>
      <c r="AF164" s="38">
        <f>SUBTOTAL(103,Enero!$AF$7)</f>
        <v>0</v>
      </c>
      <c r="AG164" s="25">
        <f>SUBTOTAL(103,Enero!$AG$7)</f>
        <v>0</v>
      </c>
      <c r="AH164" s="25">
        <f>SUM(C164:AG164)</f>
        <v>0</v>
      </c>
    </row>
    <row r="165" ht="30.0" customHeight="1">
      <c r="AH165" s="5"/>
    </row>
    <row r="166" ht="30.0" customHeight="1">
      <c r="A166" s="50"/>
      <c r="B166" s="30" t="s">
        <v>12</v>
      </c>
      <c r="C166" s="27" t="s">
        <v>171</v>
      </c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39">
        <v>2026.0</v>
      </c>
    </row>
    <row r="167" ht="30.0" customHeight="1">
      <c r="A167" s="50"/>
      <c r="B167" s="56"/>
      <c r="C167" s="16" t="str">
        <f>TEXT(WEEKDAY(DATE(Enero!CalendarioAño,1,1),1),"ddd")</f>
        <v>jue</v>
      </c>
      <c r="D167" s="16" t="str">
        <f>TEXT(WEEKDAY(DATE(Enero!CalendarioAño,1,2),1),"ddd")</f>
        <v>vie</v>
      </c>
      <c r="E167" s="16" t="str">
        <f>TEXT(WEEKDAY(DATE(Enero!CalendarioAño,1,3),1),"ddd")</f>
        <v>sáb</v>
      </c>
      <c r="F167" s="16" t="str">
        <f>TEXT(WEEKDAY(DATE(Enero!CalendarioAño,1,4),1),"ddd")</f>
        <v>dom</v>
      </c>
      <c r="G167" s="16" t="str">
        <f>TEXT(WEEKDAY(DATE(Enero!CalendarioAño,1,5),1),"ddd")</f>
        <v>lun</v>
      </c>
      <c r="H167" s="16" t="str">
        <f>TEXT(WEEKDAY(DATE(Enero!CalendarioAño,1,6),1),"ddd")</f>
        <v>mar</v>
      </c>
      <c r="I167" s="16" t="str">
        <f>TEXT(WEEKDAY(DATE(Enero!CalendarioAño,1,7),1),"ddd")</f>
        <v>mié</v>
      </c>
      <c r="J167" s="16" t="str">
        <f>TEXT(WEEKDAY(DATE(Enero!CalendarioAño,1,8),1),"ddd")</f>
        <v>jue</v>
      </c>
      <c r="K167" s="16" t="str">
        <f>TEXT(WEEKDAY(DATE(Enero!CalendarioAño,1,9),1),"ddd")</f>
        <v>vie</v>
      </c>
      <c r="L167" s="16" t="str">
        <f>TEXT(WEEKDAY(DATE(Enero!CalendarioAño,1,10),1),"ddd")</f>
        <v>sáb</v>
      </c>
      <c r="M167" s="16" t="str">
        <f>TEXT(WEEKDAY(DATE(Enero!CalendarioAño,1,11),1),"ddd")</f>
        <v>dom</v>
      </c>
      <c r="N167" s="16" t="str">
        <f>TEXT(WEEKDAY(DATE(Enero!CalendarioAño,1,12),1),"ddd")</f>
        <v>lun</v>
      </c>
      <c r="O167" s="16" t="str">
        <f>TEXT(WEEKDAY(DATE(Enero!CalendarioAño,1,13),1),"ddd")</f>
        <v>mar</v>
      </c>
      <c r="P167" s="16" t="str">
        <f>TEXT(WEEKDAY(DATE(Enero!CalendarioAño,1,14),1),"ddd")</f>
        <v>mié</v>
      </c>
      <c r="Q167" s="16" t="str">
        <f>TEXT(WEEKDAY(DATE(Enero!CalendarioAño,1,15),1),"ddd")</f>
        <v>jue</v>
      </c>
      <c r="R167" s="16" t="str">
        <f>TEXT(WEEKDAY(DATE(Enero!CalendarioAño,1,16),1),"ddd")</f>
        <v>vie</v>
      </c>
      <c r="S167" s="16" t="str">
        <f>TEXT(WEEKDAY(DATE(Enero!CalendarioAño,1,17),1),"ddd")</f>
        <v>sáb</v>
      </c>
      <c r="T167" s="16" t="str">
        <f>TEXT(WEEKDAY(DATE(Enero!CalendarioAño,1,18),1),"ddd")</f>
        <v>dom</v>
      </c>
      <c r="U167" s="16" t="str">
        <f>TEXT(WEEKDAY(DATE(Enero!CalendarioAño,1,19),1),"ddd")</f>
        <v>lun</v>
      </c>
      <c r="V167" s="16" t="str">
        <f>TEXT(WEEKDAY(DATE(Enero!CalendarioAño,1,20),1),"ddd")</f>
        <v>mar</v>
      </c>
      <c r="W167" s="16" t="str">
        <f>TEXT(WEEKDAY(DATE(Enero!CalendarioAño,1,21),1),"ddd")</f>
        <v>mié</v>
      </c>
      <c r="X167" s="16" t="str">
        <f>TEXT(WEEKDAY(DATE(Enero!CalendarioAño,1,22),1),"ddd")</f>
        <v>jue</v>
      </c>
      <c r="Y167" s="16" t="str">
        <f>TEXT(WEEKDAY(DATE(Enero!CalendarioAño,1,23),1),"ddd")</f>
        <v>vie</v>
      </c>
      <c r="Z167" s="16" t="str">
        <f>TEXT(WEEKDAY(DATE(Enero!CalendarioAño,1,24),1),"ddd")</f>
        <v>sáb</v>
      </c>
      <c r="AA167" s="16" t="str">
        <f>TEXT(WEEKDAY(DATE(Enero!CalendarioAño,1,25),1),"ddd")</f>
        <v>dom</v>
      </c>
      <c r="AB167" s="16" t="str">
        <f>TEXT(WEEKDAY(DATE(Enero!CalendarioAño,1,26),1),"ddd")</f>
        <v>lun</v>
      </c>
      <c r="AC167" s="16" t="str">
        <f>TEXT(WEEKDAY(DATE(Enero!CalendarioAño,1,27),1),"ddd")</f>
        <v>mar</v>
      </c>
      <c r="AD167" s="16" t="str">
        <f>TEXT(WEEKDAY(DATE(Enero!CalendarioAño,1,28),1),"ddd")</f>
        <v>mié</v>
      </c>
      <c r="AE167" s="16" t="str">
        <f>TEXT(WEEKDAY(DATE(Enero!CalendarioAño,1,29),1),"ddd")</f>
        <v>jue</v>
      </c>
      <c r="AF167" s="16" t="str">
        <f>TEXT(WEEKDAY(DATE(Enero!CalendarioAño,1,30),1),"ddd")</f>
        <v>vie</v>
      </c>
      <c r="AG167" s="16" t="str">
        <f>TEXT(WEEKDAY(DATE(Enero!CalendarioAño,1,31),1),"ddd")</f>
        <v>sáb</v>
      </c>
      <c r="AH167" s="57"/>
    </row>
    <row r="168" ht="30.0" customHeight="1">
      <c r="A168" s="18"/>
      <c r="B168" s="31" t="s">
        <v>14</v>
      </c>
      <c r="C168" s="19" t="s">
        <v>15</v>
      </c>
      <c r="D168" s="19" t="s">
        <v>16</v>
      </c>
      <c r="E168" s="19" t="s">
        <v>17</v>
      </c>
      <c r="F168" s="19" t="s">
        <v>18</v>
      </c>
      <c r="G168" s="19" t="s">
        <v>19</v>
      </c>
      <c r="H168" s="19" t="s">
        <v>20</v>
      </c>
      <c r="I168" s="19" t="s">
        <v>21</v>
      </c>
      <c r="J168" s="19" t="s">
        <v>22</v>
      </c>
      <c r="K168" s="19" t="s">
        <v>23</v>
      </c>
      <c r="L168" s="19" t="s">
        <v>24</v>
      </c>
      <c r="M168" s="19" t="s">
        <v>25</v>
      </c>
      <c r="N168" s="19" t="s">
        <v>26</v>
      </c>
      <c r="O168" s="19" t="s">
        <v>27</v>
      </c>
      <c r="P168" s="19" t="s">
        <v>28</v>
      </c>
      <c r="Q168" s="19" t="s">
        <v>29</v>
      </c>
      <c r="R168" s="19" t="s">
        <v>30</v>
      </c>
      <c r="S168" s="19" t="s">
        <v>31</v>
      </c>
      <c r="T168" s="19" t="s">
        <v>32</v>
      </c>
      <c r="U168" s="19" t="s">
        <v>33</v>
      </c>
      <c r="V168" s="19" t="s">
        <v>34</v>
      </c>
      <c r="W168" s="19" t="s">
        <v>35</v>
      </c>
      <c r="X168" s="19" t="s">
        <v>36</v>
      </c>
      <c r="Y168" s="19" t="s">
        <v>37</v>
      </c>
      <c r="Z168" s="19" t="s">
        <v>38</v>
      </c>
      <c r="AA168" s="19" t="s">
        <v>39</v>
      </c>
      <c r="AB168" s="19" t="s">
        <v>40</v>
      </c>
      <c r="AC168" s="19" t="s">
        <v>41</v>
      </c>
      <c r="AD168" s="19" t="s">
        <v>42</v>
      </c>
      <c r="AE168" s="19" t="s">
        <v>43</v>
      </c>
      <c r="AF168" s="19" t="s">
        <v>44</v>
      </c>
      <c r="AG168" s="19" t="s">
        <v>45</v>
      </c>
      <c r="AH168" s="19" t="s">
        <v>46</v>
      </c>
    </row>
    <row r="169" ht="30.0" customHeight="1">
      <c r="A169" s="50"/>
      <c r="B169" s="58" t="s">
        <v>172</v>
      </c>
      <c r="C169" s="36"/>
      <c r="D169" s="36"/>
      <c r="E169" s="36"/>
      <c r="F169" s="36"/>
      <c r="G169" s="10" t="s">
        <v>6</v>
      </c>
      <c r="H169" s="36"/>
      <c r="I169" s="10" t="s">
        <v>6</v>
      </c>
      <c r="J169" s="33"/>
      <c r="K169" s="36"/>
      <c r="L169" s="33"/>
      <c r="M169" s="36"/>
      <c r="N169" s="10" t="s">
        <v>6</v>
      </c>
      <c r="O169" s="33"/>
      <c r="P169" s="36"/>
      <c r="Q169" s="33"/>
      <c r="R169" s="36"/>
      <c r="S169" s="33"/>
      <c r="T169" s="36"/>
      <c r="U169" s="36"/>
      <c r="V169" s="36"/>
      <c r="W169" s="36"/>
      <c r="X169" s="33"/>
      <c r="Y169" s="36"/>
      <c r="Z169" s="33"/>
      <c r="AA169" s="36"/>
      <c r="AB169" s="10" t="s">
        <v>6</v>
      </c>
      <c r="AC169" s="36"/>
      <c r="AD169" s="10" t="s">
        <v>6</v>
      </c>
      <c r="AE169" s="33"/>
      <c r="AF169" s="53"/>
      <c r="AG169" s="33"/>
      <c r="AH169" s="59"/>
    </row>
    <row r="170" ht="30.0" customHeight="1">
      <c r="A170" s="50"/>
      <c r="B170" s="60" t="s">
        <v>173</v>
      </c>
      <c r="C170" s="61"/>
      <c r="D170" s="61"/>
      <c r="E170" s="61"/>
      <c r="F170" s="61"/>
      <c r="G170" s="10" t="s">
        <v>6</v>
      </c>
      <c r="H170" s="61"/>
      <c r="I170" s="61"/>
      <c r="J170" s="33"/>
      <c r="K170" s="10" t="s">
        <v>6</v>
      </c>
      <c r="L170" s="61"/>
      <c r="M170" s="33"/>
      <c r="N170" s="61"/>
      <c r="O170" s="61"/>
      <c r="P170" s="61"/>
      <c r="Q170" s="33"/>
      <c r="R170" s="10" t="s">
        <v>6</v>
      </c>
      <c r="S170" s="61"/>
      <c r="T170" s="33"/>
      <c r="U170" s="10" t="s">
        <v>6</v>
      </c>
      <c r="V170" s="61"/>
      <c r="W170" s="61"/>
      <c r="X170" s="33"/>
      <c r="Y170" s="61"/>
      <c r="Z170" s="61"/>
      <c r="AA170" s="33"/>
      <c r="AB170" s="61"/>
      <c r="AC170" s="61"/>
      <c r="AD170" s="61"/>
      <c r="AE170" s="61"/>
      <c r="AF170" s="53"/>
      <c r="AG170" s="61"/>
      <c r="AH170" s="59"/>
    </row>
    <row r="171" ht="30.0" customHeight="1">
      <c r="A171" s="50"/>
      <c r="B171" s="58" t="s">
        <v>174</v>
      </c>
      <c r="C171" s="36"/>
      <c r="D171" s="36"/>
      <c r="E171" s="36"/>
      <c r="F171" s="36"/>
      <c r="G171" s="36"/>
      <c r="H171" s="36"/>
      <c r="I171" s="10" t="s">
        <v>6</v>
      </c>
      <c r="J171" s="33"/>
      <c r="K171" s="10" t="s">
        <v>6</v>
      </c>
      <c r="L171" s="36"/>
      <c r="M171" s="36"/>
      <c r="N171" s="36"/>
      <c r="O171" s="33"/>
      <c r="P171" s="36"/>
      <c r="Q171" s="33"/>
      <c r="R171" s="36"/>
      <c r="S171" s="36"/>
      <c r="T171" s="36"/>
      <c r="U171" s="36"/>
      <c r="V171" s="36"/>
      <c r="W171" s="10" t="s">
        <v>6</v>
      </c>
      <c r="X171" s="36"/>
      <c r="Y171" s="10" t="s">
        <v>6</v>
      </c>
      <c r="Z171" s="36"/>
      <c r="AA171" s="36"/>
      <c r="AB171" s="10" t="s">
        <v>6</v>
      </c>
      <c r="AC171" s="36"/>
      <c r="AD171" s="10" t="s">
        <v>6</v>
      </c>
      <c r="AE171" s="36"/>
      <c r="AF171" s="53"/>
      <c r="AG171" s="36"/>
      <c r="AH171" s="59"/>
    </row>
    <row r="172" ht="30.0" customHeight="1">
      <c r="A172" s="50"/>
      <c r="B172" s="60" t="s">
        <v>175</v>
      </c>
      <c r="C172" s="61"/>
      <c r="D172" s="61"/>
      <c r="E172" s="61"/>
      <c r="F172" s="61"/>
      <c r="G172" s="61"/>
      <c r="H172" s="61"/>
      <c r="I172" s="61"/>
      <c r="J172" s="43"/>
      <c r="K172" s="61"/>
      <c r="L172" s="33"/>
      <c r="M172" s="61"/>
      <c r="N172" s="10" t="s">
        <v>6</v>
      </c>
      <c r="O172" s="33"/>
      <c r="P172" s="61"/>
      <c r="Q172" s="33"/>
      <c r="R172" s="10" t="s">
        <v>6</v>
      </c>
      <c r="S172" s="33"/>
      <c r="T172" s="33"/>
      <c r="U172" s="10" t="s">
        <v>6</v>
      </c>
      <c r="V172" s="33"/>
      <c r="W172" s="10" t="s">
        <v>6</v>
      </c>
      <c r="X172" s="61"/>
      <c r="Y172" s="61"/>
      <c r="Z172" s="61"/>
      <c r="AA172" s="61"/>
      <c r="AB172" s="10" t="s">
        <v>6</v>
      </c>
      <c r="AC172" s="61"/>
      <c r="AD172" s="10" t="s">
        <v>6</v>
      </c>
      <c r="AE172" s="61"/>
      <c r="AF172" s="53"/>
      <c r="AG172" s="61"/>
      <c r="AH172" s="59"/>
    </row>
    <row r="173" ht="30.0" customHeight="1">
      <c r="A173" s="50"/>
      <c r="B173" s="60" t="s">
        <v>176</v>
      </c>
      <c r="C173" s="61"/>
      <c r="D173" s="61"/>
      <c r="E173" s="61"/>
      <c r="F173" s="61"/>
      <c r="G173" s="10" t="s">
        <v>6</v>
      </c>
      <c r="H173" s="61"/>
      <c r="I173" s="61"/>
      <c r="J173" s="43"/>
      <c r="K173" s="10" t="s">
        <v>6</v>
      </c>
      <c r="L173" s="33"/>
      <c r="M173" s="61"/>
      <c r="N173" s="61"/>
      <c r="O173" s="10" t="s">
        <v>6</v>
      </c>
      <c r="P173" s="61"/>
      <c r="Q173" s="10" t="s">
        <v>6</v>
      </c>
      <c r="R173" s="10" t="s">
        <v>6</v>
      </c>
      <c r="S173" s="33"/>
      <c r="T173" s="33"/>
      <c r="U173" s="10" t="s">
        <v>6</v>
      </c>
      <c r="V173" s="33"/>
      <c r="W173" s="61"/>
      <c r="X173" s="61"/>
      <c r="Y173" s="10" t="s">
        <v>6</v>
      </c>
      <c r="Z173" s="61"/>
      <c r="AA173" s="61"/>
      <c r="AB173" s="10" t="s">
        <v>6</v>
      </c>
      <c r="AC173" s="61"/>
      <c r="AD173" s="61"/>
      <c r="AE173" s="61"/>
      <c r="AF173" s="53"/>
      <c r="AG173" s="61"/>
      <c r="AH173" s="59"/>
    </row>
    <row r="174" ht="30.0" customHeight="1">
      <c r="A174" s="50"/>
      <c r="B174" s="58" t="s">
        <v>177</v>
      </c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3"/>
      <c r="R174" s="36"/>
      <c r="S174" s="36"/>
      <c r="T174" s="36"/>
      <c r="U174" s="10" t="s">
        <v>6</v>
      </c>
      <c r="V174" s="36"/>
      <c r="W174" s="10" t="s">
        <v>6</v>
      </c>
      <c r="X174" s="33"/>
      <c r="Y174" s="10" t="s">
        <v>6</v>
      </c>
      <c r="Z174" s="10" t="s">
        <v>6</v>
      </c>
      <c r="AA174" s="36"/>
      <c r="AB174" s="10" t="s">
        <v>6</v>
      </c>
      <c r="AC174" s="36"/>
      <c r="AD174" s="10" t="s">
        <v>6</v>
      </c>
      <c r="AE174" s="36"/>
      <c r="AF174" s="53"/>
      <c r="AG174" s="10" t="s">
        <v>6</v>
      </c>
      <c r="AH174" s="59"/>
    </row>
    <row r="175" ht="30.0" customHeight="1">
      <c r="A175" s="50"/>
      <c r="B175" s="58" t="s">
        <v>178</v>
      </c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3"/>
      <c r="R175" s="36"/>
      <c r="S175" s="36"/>
      <c r="T175" s="36"/>
      <c r="U175" s="36"/>
      <c r="V175" s="36"/>
      <c r="W175" s="36"/>
      <c r="X175" s="33"/>
      <c r="Y175" s="10" t="s">
        <v>6</v>
      </c>
      <c r="Z175" s="10" t="s">
        <v>6</v>
      </c>
      <c r="AA175" s="36"/>
      <c r="AB175" s="10" t="s">
        <v>6</v>
      </c>
      <c r="AC175" s="36"/>
      <c r="AD175" s="10" t="s">
        <v>6</v>
      </c>
      <c r="AE175" s="36"/>
      <c r="AF175" s="53"/>
      <c r="AG175" s="10" t="s">
        <v>6</v>
      </c>
      <c r="AH175" s="59"/>
    </row>
    <row r="176" ht="30.0" customHeight="1">
      <c r="A176" s="50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3"/>
      <c r="R176" s="36"/>
      <c r="S176" s="36"/>
      <c r="T176" s="36"/>
      <c r="U176" s="36"/>
      <c r="V176" s="36"/>
      <c r="W176" s="36"/>
      <c r="X176" s="33"/>
      <c r="Y176" s="36"/>
      <c r="Z176" s="33"/>
      <c r="AA176" s="36"/>
      <c r="AB176" s="36"/>
      <c r="AC176" s="36"/>
      <c r="AD176" s="36"/>
      <c r="AE176" s="36"/>
      <c r="AF176" s="53"/>
      <c r="AG176" s="36"/>
      <c r="AH176" s="59"/>
    </row>
    <row r="177" ht="30.0" customHeight="1">
      <c r="A177" s="50"/>
      <c r="B177" s="62" t="str">
        <f>Enero!MonthName&amp;" Total"</f>
        <v>Enero Total</v>
      </c>
      <c r="C177" s="63">
        <f>SUBTOTAL(103,Enero!$C$7)</f>
        <v>0</v>
      </c>
      <c r="D177" s="63">
        <f>SUBTOTAL(103,Enero!$D$7)</f>
        <v>0</v>
      </c>
      <c r="E177" s="63">
        <f>SUBTOTAL(103,Enero!$E$7)</f>
        <v>0</v>
      </c>
      <c r="F177" s="63"/>
      <c r="G177" s="63"/>
      <c r="H177" s="63">
        <f>SUBTOTAL(103,Enero!$H$7)</f>
        <v>0</v>
      </c>
      <c r="I177" s="63">
        <f>SUBTOTAL(103,Enero!$I$7)</f>
        <v>0</v>
      </c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>
        <f>SUBTOTAL(103,Enero!$AC$7)</f>
        <v>0</v>
      </c>
      <c r="AD177" s="63">
        <f>SUBTOTAL(103,Enero!$AD$7)</f>
        <v>0</v>
      </c>
      <c r="AE177" s="63">
        <f>SUBTOTAL(103,Enero!$AE$7)</f>
        <v>0</v>
      </c>
      <c r="AF177" s="64">
        <f>SUBTOTAL(103,Enero!$AF$7)</f>
        <v>0</v>
      </c>
      <c r="AG177" s="63">
        <f>SUBTOTAL(103,Enero!$AG$7)</f>
        <v>0</v>
      </c>
      <c r="AH177" s="65"/>
    </row>
    <row r="178" ht="30.0" customHeight="1">
      <c r="AH178" s="5"/>
    </row>
    <row r="179" ht="30.0" customHeight="1">
      <c r="A179" s="50"/>
      <c r="B179" s="30" t="s">
        <v>12</v>
      </c>
      <c r="C179" s="27" t="s">
        <v>179</v>
      </c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39">
        <v>2026.0</v>
      </c>
    </row>
    <row r="180" ht="30.0" customHeight="1">
      <c r="A180" s="50"/>
      <c r="B180" s="56"/>
      <c r="C180" s="16" t="str">
        <f>TEXT(WEEKDAY(DATE(Enero!CalendarioAño,1,1),1),"ddd")</f>
        <v>jue</v>
      </c>
      <c r="D180" s="16" t="str">
        <f>TEXT(WEEKDAY(DATE(Enero!CalendarioAño,1,2),1),"ddd")</f>
        <v>vie</v>
      </c>
      <c r="E180" s="16" t="str">
        <f>TEXT(WEEKDAY(DATE(Enero!CalendarioAño,1,3),1),"ddd")</f>
        <v>sáb</v>
      </c>
      <c r="F180" s="16" t="str">
        <f>TEXT(WEEKDAY(DATE(Enero!CalendarioAño,1,4),1),"ddd")</f>
        <v>dom</v>
      </c>
      <c r="G180" s="16" t="str">
        <f>TEXT(WEEKDAY(DATE(Enero!CalendarioAño,1,5),1),"ddd")</f>
        <v>lun</v>
      </c>
      <c r="H180" s="16" t="str">
        <f>TEXT(WEEKDAY(DATE(Enero!CalendarioAño,1,6),1),"ddd")</f>
        <v>mar</v>
      </c>
      <c r="I180" s="16" t="str">
        <f>TEXT(WEEKDAY(DATE(Enero!CalendarioAño,1,7),1),"ddd")</f>
        <v>mié</v>
      </c>
      <c r="J180" s="16" t="str">
        <f>TEXT(WEEKDAY(DATE(Enero!CalendarioAño,1,8),1),"ddd")</f>
        <v>jue</v>
      </c>
      <c r="K180" s="16" t="str">
        <f>TEXT(WEEKDAY(DATE(Enero!CalendarioAño,1,9),1),"ddd")</f>
        <v>vie</v>
      </c>
      <c r="L180" s="16" t="str">
        <f>TEXT(WEEKDAY(DATE(Enero!CalendarioAño,1,10),1),"ddd")</f>
        <v>sáb</v>
      </c>
      <c r="M180" s="16" t="str">
        <f>TEXT(WEEKDAY(DATE(Enero!CalendarioAño,1,11),1),"ddd")</f>
        <v>dom</v>
      </c>
      <c r="N180" s="16" t="str">
        <f>TEXT(WEEKDAY(DATE(Enero!CalendarioAño,1,12),1),"ddd")</f>
        <v>lun</v>
      </c>
      <c r="O180" s="16" t="str">
        <f>TEXT(WEEKDAY(DATE(Enero!CalendarioAño,1,13),1),"ddd")</f>
        <v>mar</v>
      </c>
      <c r="P180" s="16" t="str">
        <f>TEXT(WEEKDAY(DATE(Enero!CalendarioAño,1,14),1),"ddd")</f>
        <v>mié</v>
      </c>
      <c r="Q180" s="16" t="str">
        <f>TEXT(WEEKDAY(DATE(Enero!CalendarioAño,1,15),1),"ddd")</f>
        <v>jue</v>
      </c>
      <c r="R180" s="16" t="str">
        <f>TEXT(WEEKDAY(DATE(Enero!CalendarioAño,1,16),1),"ddd")</f>
        <v>vie</v>
      </c>
      <c r="S180" s="16" t="str">
        <f>TEXT(WEEKDAY(DATE(Enero!CalendarioAño,1,17),1),"ddd")</f>
        <v>sáb</v>
      </c>
      <c r="T180" s="16" t="str">
        <f>TEXT(WEEKDAY(DATE(Enero!CalendarioAño,1,18),1),"ddd")</f>
        <v>dom</v>
      </c>
      <c r="U180" s="16" t="str">
        <f>TEXT(WEEKDAY(DATE(Enero!CalendarioAño,1,19),1),"ddd")</f>
        <v>lun</v>
      </c>
      <c r="V180" s="16" t="str">
        <f>TEXT(WEEKDAY(DATE(Enero!CalendarioAño,1,20),1),"ddd")</f>
        <v>mar</v>
      </c>
      <c r="W180" s="16" t="str">
        <f>TEXT(WEEKDAY(DATE(Enero!CalendarioAño,1,21),1),"ddd")</f>
        <v>mié</v>
      </c>
      <c r="X180" s="16" t="str">
        <f>TEXT(WEEKDAY(DATE(Enero!CalendarioAño,1,22),1),"ddd")</f>
        <v>jue</v>
      </c>
      <c r="Y180" s="16" t="str">
        <f>TEXT(WEEKDAY(DATE(Enero!CalendarioAño,1,23),1),"ddd")</f>
        <v>vie</v>
      </c>
      <c r="Z180" s="16" t="str">
        <f>TEXT(WEEKDAY(DATE(Enero!CalendarioAño,1,24),1),"ddd")</f>
        <v>sáb</v>
      </c>
      <c r="AA180" s="16" t="str">
        <f>TEXT(WEEKDAY(DATE(Enero!CalendarioAño,1,25),1),"ddd")</f>
        <v>dom</v>
      </c>
      <c r="AB180" s="16" t="str">
        <f>TEXT(WEEKDAY(DATE(Enero!CalendarioAño,1,26),1),"ddd")</f>
        <v>lun</v>
      </c>
      <c r="AC180" s="16" t="str">
        <f>TEXT(WEEKDAY(DATE(Enero!CalendarioAño,1,27),1),"ddd")</f>
        <v>mar</v>
      </c>
      <c r="AD180" s="16" t="str">
        <f>TEXT(WEEKDAY(DATE(Enero!CalendarioAño,1,28),1),"ddd")</f>
        <v>mié</v>
      </c>
      <c r="AE180" s="16" t="str">
        <f>TEXT(WEEKDAY(DATE(Enero!CalendarioAño,1,29),1),"ddd")</f>
        <v>jue</v>
      </c>
      <c r="AF180" s="16" t="str">
        <f>TEXT(WEEKDAY(DATE(Enero!CalendarioAño,1,30),1),"ddd")</f>
        <v>vie</v>
      </c>
      <c r="AG180" s="16" t="str">
        <f>TEXT(WEEKDAY(DATE(Enero!CalendarioAño,1,31),1),"ddd")</f>
        <v>sáb</v>
      </c>
      <c r="AH180" s="57"/>
    </row>
    <row r="181" ht="30.0" customHeight="1">
      <c r="A181" s="18"/>
      <c r="B181" s="31" t="s">
        <v>14</v>
      </c>
      <c r="C181" s="19" t="s">
        <v>15</v>
      </c>
      <c r="D181" s="19" t="s">
        <v>16</v>
      </c>
      <c r="E181" s="19" t="s">
        <v>17</v>
      </c>
      <c r="F181" s="19" t="s">
        <v>18</v>
      </c>
      <c r="G181" s="19" t="s">
        <v>19</v>
      </c>
      <c r="H181" s="19" t="s">
        <v>20</v>
      </c>
      <c r="I181" s="19" t="s">
        <v>21</v>
      </c>
      <c r="J181" s="19" t="s">
        <v>22</v>
      </c>
      <c r="K181" s="19" t="s">
        <v>23</v>
      </c>
      <c r="L181" s="19" t="s">
        <v>24</v>
      </c>
      <c r="M181" s="19" t="s">
        <v>25</v>
      </c>
      <c r="N181" s="19" t="s">
        <v>26</v>
      </c>
      <c r="O181" s="19" t="s">
        <v>27</v>
      </c>
      <c r="P181" s="19" t="s">
        <v>28</v>
      </c>
      <c r="Q181" s="19" t="s">
        <v>29</v>
      </c>
      <c r="R181" s="19" t="s">
        <v>30</v>
      </c>
      <c r="S181" s="19" t="s">
        <v>31</v>
      </c>
      <c r="T181" s="19" t="s">
        <v>32</v>
      </c>
      <c r="U181" s="19" t="s">
        <v>33</v>
      </c>
      <c r="V181" s="19" t="s">
        <v>34</v>
      </c>
      <c r="W181" s="19" t="s">
        <v>35</v>
      </c>
      <c r="X181" s="19" t="s">
        <v>36</v>
      </c>
      <c r="Y181" s="19" t="s">
        <v>37</v>
      </c>
      <c r="Z181" s="19" t="s">
        <v>38</v>
      </c>
      <c r="AA181" s="19" t="s">
        <v>39</v>
      </c>
      <c r="AB181" s="19" t="s">
        <v>40</v>
      </c>
      <c r="AC181" s="19" t="s">
        <v>41</v>
      </c>
      <c r="AD181" s="19" t="s">
        <v>42</v>
      </c>
      <c r="AE181" s="19" t="s">
        <v>43</v>
      </c>
      <c r="AF181" s="19" t="s">
        <v>44</v>
      </c>
      <c r="AG181" s="19" t="s">
        <v>45</v>
      </c>
      <c r="AH181" s="19" t="s">
        <v>46</v>
      </c>
    </row>
    <row r="182" ht="30.0" customHeight="1">
      <c r="A182" s="50"/>
      <c r="B182" s="58" t="s">
        <v>180</v>
      </c>
      <c r="C182" s="36"/>
      <c r="D182" s="36"/>
      <c r="E182" s="36"/>
      <c r="F182" s="36"/>
      <c r="G182" s="36"/>
      <c r="H182" s="10" t="s">
        <v>6</v>
      </c>
      <c r="I182" s="36"/>
      <c r="J182" s="10" t="s">
        <v>6</v>
      </c>
      <c r="K182" s="33"/>
      <c r="L182" s="36"/>
      <c r="M182" s="33"/>
      <c r="N182" s="36"/>
      <c r="O182" s="10" t="s">
        <v>6</v>
      </c>
      <c r="P182" s="33"/>
      <c r="Q182" s="10" t="s">
        <v>6</v>
      </c>
      <c r="R182" s="33"/>
      <c r="S182" s="36"/>
      <c r="T182" s="33"/>
      <c r="U182" s="36"/>
      <c r="V182" s="10" t="s">
        <v>6</v>
      </c>
      <c r="W182" s="33"/>
      <c r="X182" s="36"/>
      <c r="Y182" s="33"/>
      <c r="Z182" s="10" t="s">
        <v>6</v>
      </c>
      <c r="AA182" s="36"/>
      <c r="AB182" s="36"/>
      <c r="AC182" s="10" t="s">
        <v>6</v>
      </c>
      <c r="AD182" s="33"/>
      <c r="AE182" s="36"/>
      <c r="AF182" s="53"/>
      <c r="AG182" s="10" t="s">
        <v>6</v>
      </c>
      <c r="AH182" s="59"/>
    </row>
    <row r="183" ht="30.0" customHeight="1">
      <c r="A183" s="50"/>
      <c r="B183" s="60" t="s">
        <v>181</v>
      </c>
      <c r="C183" s="61"/>
      <c r="D183" s="61"/>
      <c r="E183" s="61"/>
      <c r="F183" s="61"/>
      <c r="G183" s="61"/>
      <c r="H183" s="61"/>
      <c r="I183" s="61"/>
      <c r="J183" s="61"/>
      <c r="K183" s="33"/>
      <c r="L183" s="10" t="s">
        <v>6</v>
      </c>
      <c r="M183" s="61"/>
      <c r="N183" s="61"/>
      <c r="O183" s="61"/>
      <c r="P183" s="33"/>
      <c r="Q183" s="61"/>
      <c r="R183" s="33"/>
      <c r="S183" s="10" t="s">
        <v>6</v>
      </c>
      <c r="T183" s="33"/>
      <c r="U183" s="61"/>
      <c r="V183" s="61"/>
      <c r="W183" s="33"/>
      <c r="X183" s="61"/>
      <c r="Y183" s="33"/>
      <c r="Z183" s="10" t="s">
        <v>6</v>
      </c>
      <c r="AA183" s="61"/>
      <c r="AB183" s="61"/>
      <c r="AC183" s="61"/>
      <c r="AD183" s="33"/>
      <c r="AE183" s="61"/>
      <c r="AF183" s="34"/>
      <c r="AG183" s="61"/>
      <c r="AH183" s="59"/>
    </row>
    <row r="184" ht="30.0" customHeight="1">
      <c r="A184" s="50"/>
      <c r="B184" s="58" t="s">
        <v>182</v>
      </c>
      <c r="C184" s="36"/>
      <c r="D184" s="36"/>
      <c r="E184" s="36"/>
      <c r="F184" s="36"/>
      <c r="G184" s="36"/>
      <c r="H184" s="36"/>
      <c r="I184" s="36"/>
      <c r="J184" s="36"/>
      <c r="K184" s="33"/>
      <c r="L184" s="36"/>
      <c r="M184" s="33"/>
      <c r="N184" s="36"/>
      <c r="O184" s="10" t="s">
        <v>6</v>
      </c>
      <c r="P184" s="33"/>
      <c r="Q184" s="36"/>
      <c r="R184" s="33"/>
      <c r="S184" s="36"/>
      <c r="T184" s="33"/>
      <c r="U184" s="36"/>
      <c r="V184" s="10" t="s">
        <v>6</v>
      </c>
      <c r="W184" s="33"/>
      <c r="X184" s="36"/>
      <c r="Y184" s="36"/>
      <c r="Z184" s="36"/>
      <c r="AA184" s="33"/>
      <c r="AB184" s="36"/>
      <c r="AC184" s="10" t="s">
        <v>6</v>
      </c>
      <c r="AD184" s="36"/>
      <c r="AE184" s="36"/>
      <c r="AF184" s="53"/>
      <c r="AG184" s="36"/>
      <c r="AH184" s="59"/>
    </row>
    <row r="185" ht="30.0" customHeight="1">
      <c r="A185" s="50"/>
      <c r="B185" s="36"/>
      <c r="C185" s="36"/>
      <c r="D185" s="36"/>
      <c r="E185" s="36"/>
      <c r="F185" s="36"/>
      <c r="G185" s="36"/>
      <c r="H185" s="36"/>
      <c r="I185" s="36"/>
      <c r="J185" s="36"/>
      <c r="K185" s="43"/>
      <c r="L185" s="24"/>
      <c r="M185" s="43"/>
      <c r="N185" s="24"/>
      <c r="O185" s="24"/>
      <c r="P185" s="43"/>
      <c r="Q185" s="24"/>
      <c r="R185" s="43"/>
      <c r="S185" s="24"/>
      <c r="T185" s="43"/>
      <c r="U185" s="24"/>
      <c r="V185" s="24"/>
      <c r="W185" s="43"/>
      <c r="X185" s="24"/>
      <c r="Y185" s="24"/>
      <c r="Z185" s="24"/>
      <c r="AA185" s="43"/>
      <c r="AB185" s="24"/>
      <c r="AC185" s="36"/>
      <c r="AD185" s="36"/>
      <c r="AE185" s="33"/>
      <c r="AF185" s="34"/>
      <c r="AG185" s="36"/>
      <c r="AH185" s="59"/>
    </row>
    <row r="186" ht="30.0" customHeight="1">
      <c r="A186" s="50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53"/>
      <c r="AG186" s="61"/>
      <c r="AH186" s="59"/>
    </row>
    <row r="187" ht="30.0" customHeight="1">
      <c r="A187" s="50"/>
      <c r="B187" s="62" t="str">
        <f>Enero!MonthName&amp;" Total"</f>
        <v>Enero Total</v>
      </c>
      <c r="C187" s="63">
        <f>SUBTOTAL(103,Enero!$C$7)</f>
        <v>0</v>
      </c>
      <c r="D187" s="63">
        <f>SUBTOTAL(103,Enero!$D$7)</f>
        <v>0</v>
      </c>
      <c r="E187" s="63">
        <f>SUBTOTAL(103,Enero!$E$7)</f>
        <v>0</v>
      </c>
      <c r="F187" s="63"/>
      <c r="G187" s="63"/>
      <c r="H187" s="63">
        <f>SUBTOTAL(103,Enero!$H$7)</f>
        <v>0</v>
      </c>
      <c r="I187" s="63">
        <f>SUBTOTAL(103,Enero!$I$7)</f>
        <v>0</v>
      </c>
      <c r="J187" s="63">
        <f>SUBTOTAL(103,Enero!$J$7)</f>
        <v>0</v>
      </c>
      <c r="K187" s="63">
        <f>SUBTOTAL(103,Enero!$K$7)</f>
        <v>0</v>
      </c>
      <c r="L187" s="63">
        <f>SUBTOTAL(103,Enero!$L$7)</f>
        <v>0</v>
      </c>
      <c r="M187" s="63"/>
      <c r="N187" s="63">
        <f>SUBTOTAL(103,Enero!$N$7)</f>
        <v>0</v>
      </c>
      <c r="O187" s="63">
        <f>SUBTOTAL(103,Enero!$O$7)</f>
        <v>0</v>
      </c>
      <c r="P187" s="63">
        <f>SUBTOTAL(103,Enero!$P$7)</f>
        <v>0</v>
      </c>
      <c r="Q187" s="63">
        <f>SUBTOTAL(103,Enero!$Q$7)</f>
        <v>0</v>
      </c>
      <c r="R187" s="63">
        <f>SUBTOTAL(103,Enero!$R$7)</f>
        <v>0</v>
      </c>
      <c r="S187" s="63">
        <f>SUBTOTAL(103,Enero!$S$7)</f>
        <v>0</v>
      </c>
      <c r="T187" s="63">
        <f>SUBTOTAL(103,Enero!$T$7)</f>
        <v>0</v>
      </c>
      <c r="U187" s="63">
        <f>SUBTOTAL(103,Enero!$U$7)</f>
        <v>0</v>
      </c>
      <c r="V187" s="63"/>
      <c r="W187" s="63">
        <f>SUBTOTAL(103,Enero!$W$7)</f>
        <v>0</v>
      </c>
      <c r="X187" s="63">
        <f>SUBTOTAL(103,Enero!$X$7)</f>
        <v>0</v>
      </c>
      <c r="Y187" s="63">
        <f>SUBTOTAL(103,Enero!$Y$7)</f>
        <v>0</v>
      </c>
      <c r="Z187" s="63">
        <f>SUBTOTAL(103,Enero!$Z$7)</f>
        <v>0</v>
      </c>
      <c r="AA187" s="63">
        <f>SUBTOTAL(103,Enero!$AA$7)</f>
        <v>0</v>
      </c>
      <c r="AB187" s="63">
        <f>SUBTOTAL(103,Enero!$AB$7)</f>
        <v>0</v>
      </c>
      <c r="AC187" s="63">
        <f>SUBTOTAL(103,Enero!$AC$7)</f>
        <v>0</v>
      </c>
      <c r="AD187" s="63">
        <f>SUBTOTAL(103,Enero!$AD$7)</f>
        <v>0</v>
      </c>
      <c r="AE187" s="63">
        <f>SUBTOTAL(103,Enero!$AE$7)</f>
        <v>0</v>
      </c>
      <c r="AF187" s="64">
        <f>SUBTOTAL(103,Enero!$AF$7)</f>
        <v>0</v>
      </c>
      <c r="AG187" s="63">
        <f>SUBTOTAL(103,Enero!$AG$7)</f>
        <v>0</v>
      </c>
      <c r="AH187" s="65"/>
    </row>
    <row r="188" ht="30.0" customHeight="1">
      <c r="AH188" s="5"/>
    </row>
    <row r="189" ht="30.0" customHeight="1">
      <c r="A189" s="50"/>
      <c r="B189" s="30" t="s">
        <v>12</v>
      </c>
      <c r="C189" s="27" t="s">
        <v>183</v>
      </c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39">
        <v>2026.0</v>
      </c>
    </row>
    <row r="190" ht="30.0" customHeight="1">
      <c r="A190" s="50"/>
      <c r="B190" s="56"/>
      <c r="C190" s="16" t="str">
        <f>TEXT(WEEKDAY(DATE(Enero!CalendarioAño,1,1),1),"ddd")</f>
        <v>jue</v>
      </c>
      <c r="D190" s="16" t="str">
        <f>TEXT(WEEKDAY(DATE(Enero!CalendarioAño,1,2),1),"ddd")</f>
        <v>vie</v>
      </c>
      <c r="E190" s="16" t="str">
        <f>TEXT(WEEKDAY(DATE(Enero!CalendarioAño,1,3),1),"ddd")</f>
        <v>sáb</v>
      </c>
      <c r="F190" s="16" t="str">
        <f>TEXT(WEEKDAY(DATE(Enero!CalendarioAño,1,4),1),"ddd")</f>
        <v>dom</v>
      </c>
      <c r="G190" s="16" t="str">
        <f>TEXT(WEEKDAY(DATE(Enero!CalendarioAño,1,5),1),"ddd")</f>
        <v>lun</v>
      </c>
      <c r="H190" s="16" t="str">
        <f>TEXT(WEEKDAY(DATE(Enero!CalendarioAño,1,6),1),"ddd")</f>
        <v>mar</v>
      </c>
      <c r="I190" s="16" t="str">
        <f>TEXT(WEEKDAY(DATE(Enero!CalendarioAño,1,7),1),"ddd")</f>
        <v>mié</v>
      </c>
      <c r="J190" s="16" t="str">
        <f>TEXT(WEEKDAY(DATE(Enero!CalendarioAño,1,8),1),"ddd")</f>
        <v>jue</v>
      </c>
      <c r="K190" s="16" t="str">
        <f>TEXT(WEEKDAY(DATE(Enero!CalendarioAño,1,9),1),"ddd")</f>
        <v>vie</v>
      </c>
      <c r="L190" s="16" t="str">
        <f>TEXT(WEEKDAY(DATE(Enero!CalendarioAño,1,10),1),"ddd")</f>
        <v>sáb</v>
      </c>
      <c r="M190" s="16" t="str">
        <f>TEXT(WEEKDAY(DATE(Enero!CalendarioAño,1,11),1),"ddd")</f>
        <v>dom</v>
      </c>
      <c r="N190" s="16" t="str">
        <f>TEXT(WEEKDAY(DATE(Enero!CalendarioAño,1,12),1),"ddd")</f>
        <v>lun</v>
      </c>
      <c r="O190" s="16" t="str">
        <f>TEXT(WEEKDAY(DATE(Enero!CalendarioAño,1,13),1),"ddd")</f>
        <v>mar</v>
      </c>
      <c r="P190" s="16" t="str">
        <f>TEXT(WEEKDAY(DATE(Enero!CalendarioAño,1,14),1),"ddd")</f>
        <v>mié</v>
      </c>
      <c r="Q190" s="16" t="str">
        <f>TEXT(WEEKDAY(DATE(Enero!CalendarioAño,1,15),1),"ddd")</f>
        <v>jue</v>
      </c>
      <c r="R190" s="16" t="str">
        <f>TEXT(WEEKDAY(DATE(Enero!CalendarioAño,1,16),1),"ddd")</f>
        <v>vie</v>
      </c>
      <c r="S190" s="16" t="str">
        <f>TEXT(WEEKDAY(DATE(Enero!CalendarioAño,1,17),1),"ddd")</f>
        <v>sáb</v>
      </c>
      <c r="T190" s="16" t="str">
        <f>TEXT(WEEKDAY(DATE(Enero!CalendarioAño,1,18),1),"ddd")</f>
        <v>dom</v>
      </c>
      <c r="U190" s="16" t="str">
        <f>TEXT(WEEKDAY(DATE(Enero!CalendarioAño,1,19),1),"ddd")</f>
        <v>lun</v>
      </c>
      <c r="V190" s="16" t="str">
        <f>TEXT(WEEKDAY(DATE(Enero!CalendarioAño,1,20),1),"ddd")</f>
        <v>mar</v>
      </c>
      <c r="W190" s="16" t="str">
        <f>TEXT(WEEKDAY(DATE(Enero!CalendarioAño,1,21),1),"ddd")</f>
        <v>mié</v>
      </c>
      <c r="X190" s="16" t="str">
        <f>TEXT(WEEKDAY(DATE(Enero!CalendarioAño,1,22),1),"ddd")</f>
        <v>jue</v>
      </c>
      <c r="Y190" s="16" t="str">
        <f>TEXT(WEEKDAY(DATE(Enero!CalendarioAño,1,23),1),"ddd")</f>
        <v>vie</v>
      </c>
      <c r="Z190" s="16" t="str">
        <f>TEXT(WEEKDAY(DATE(Enero!CalendarioAño,1,24),1),"ddd")</f>
        <v>sáb</v>
      </c>
      <c r="AA190" s="16" t="str">
        <f>TEXT(WEEKDAY(DATE(Enero!CalendarioAño,1,25),1),"ddd")</f>
        <v>dom</v>
      </c>
      <c r="AB190" s="16" t="str">
        <f>TEXT(WEEKDAY(DATE(Enero!CalendarioAño,1,26),1),"ddd")</f>
        <v>lun</v>
      </c>
      <c r="AC190" s="16" t="str">
        <f>TEXT(WEEKDAY(DATE(Enero!CalendarioAño,1,27),1),"ddd")</f>
        <v>mar</v>
      </c>
      <c r="AD190" s="16" t="str">
        <f>TEXT(WEEKDAY(DATE(Enero!CalendarioAño,1,28),1),"ddd")</f>
        <v>mié</v>
      </c>
      <c r="AE190" s="16" t="str">
        <f>TEXT(WEEKDAY(DATE(Enero!CalendarioAño,1,29),1),"ddd")</f>
        <v>jue</v>
      </c>
      <c r="AF190" s="16" t="str">
        <f>TEXT(WEEKDAY(DATE(Enero!CalendarioAño,1,30),1),"ddd")</f>
        <v>vie</v>
      </c>
      <c r="AG190" s="16" t="str">
        <f>TEXT(WEEKDAY(DATE(Enero!CalendarioAño,1,31),1),"ddd")</f>
        <v>sáb</v>
      </c>
      <c r="AH190" s="57"/>
    </row>
    <row r="191" ht="30.0" customHeight="1">
      <c r="A191" s="18"/>
      <c r="B191" s="66" t="s">
        <v>14</v>
      </c>
      <c r="C191" s="19" t="s">
        <v>15</v>
      </c>
      <c r="D191" s="19" t="s">
        <v>16</v>
      </c>
      <c r="E191" s="19" t="s">
        <v>17</v>
      </c>
      <c r="F191" s="19" t="s">
        <v>18</v>
      </c>
      <c r="G191" s="19" t="s">
        <v>19</v>
      </c>
      <c r="H191" s="19" t="s">
        <v>20</v>
      </c>
      <c r="I191" s="19" t="s">
        <v>21</v>
      </c>
      <c r="J191" s="19" t="s">
        <v>22</v>
      </c>
      <c r="K191" s="19" t="s">
        <v>23</v>
      </c>
      <c r="L191" s="19" t="s">
        <v>24</v>
      </c>
      <c r="M191" s="19" t="s">
        <v>25</v>
      </c>
      <c r="N191" s="19" t="s">
        <v>26</v>
      </c>
      <c r="O191" s="19" t="s">
        <v>27</v>
      </c>
      <c r="P191" s="19" t="s">
        <v>28</v>
      </c>
      <c r="Q191" s="19" t="s">
        <v>29</v>
      </c>
      <c r="R191" s="19" t="s">
        <v>30</v>
      </c>
      <c r="S191" s="19" t="s">
        <v>31</v>
      </c>
      <c r="T191" s="19" t="s">
        <v>32</v>
      </c>
      <c r="U191" s="19" t="s">
        <v>33</v>
      </c>
      <c r="V191" s="19" t="s">
        <v>34</v>
      </c>
      <c r="W191" s="19" t="s">
        <v>35</v>
      </c>
      <c r="X191" s="19" t="s">
        <v>36</v>
      </c>
      <c r="Y191" s="19" t="s">
        <v>37</v>
      </c>
      <c r="Z191" s="19" t="s">
        <v>38</v>
      </c>
      <c r="AA191" s="19" t="s">
        <v>39</v>
      </c>
      <c r="AB191" s="19" t="s">
        <v>40</v>
      </c>
      <c r="AC191" s="19" t="s">
        <v>41</v>
      </c>
      <c r="AD191" s="19" t="s">
        <v>42</v>
      </c>
      <c r="AE191" s="19" t="s">
        <v>43</v>
      </c>
      <c r="AF191" s="19" t="s">
        <v>44</v>
      </c>
      <c r="AG191" s="19" t="s">
        <v>45</v>
      </c>
      <c r="AH191" s="19" t="s">
        <v>46</v>
      </c>
    </row>
    <row r="192" ht="30.0" customHeight="1">
      <c r="A192" s="50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59"/>
    </row>
    <row r="193" ht="30.0" customHeight="1">
      <c r="A193" s="50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7"/>
    </row>
    <row r="194" ht="30.0" customHeight="1">
      <c r="A194" s="50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59"/>
    </row>
    <row r="195" ht="30.0" customHeight="1">
      <c r="A195" s="50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7"/>
    </row>
    <row r="196" ht="30.0" customHeight="1">
      <c r="A196" s="50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59"/>
    </row>
    <row r="197" ht="30.0" customHeight="1">
      <c r="A197" s="50"/>
      <c r="B197" s="62" t="str">
        <f>Enero!MonthName&amp;" Total"</f>
        <v>Enero Total</v>
      </c>
      <c r="C197" s="63">
        <f>SUBTOTAL(103,Enero!$C$7)</f>
        <v>0</v>
      </c>
      <c r="D197" s="63">
        <f>SUBTOTAL(103,Enero!$D$7)</f>
        <v>0</v>
      </c>
      <c r="E197" s="63">
        <f>SUBTOTAL(103,Enero!$E$7)</f>
        <v>0</v>
      </c>
      <c r="F197" s="63"/>
      <c r="G197" s="63"/>
      <c r="H197" s="63">
        <f>SUBTOTAL(103,Enero!$H$7)</f>
        <v>0</v>
      </c>
      <c r="I197" s="63">
        <f>SUBTOTAL(103,Enero!$I$7)</f>
        <v>0</v>
      </c>
      <c r="J197" s="63">
        <f>SUBTOTAL(103,Enero!$J$7)</f>
        <v>0</v>
      </c>
      <c r="K197" s="63">
        <f>SUBTOTAL(103,Enero!$K$7)</f>
        <v>0</v>
      </c>
      <c r="L197" s="63">
        <f>SUBTOTAL(103,Enero!$L$7)</f>
        <v>0</v>
      </c>
      <c r="M197" s="63"/>
      <c r="N197" s="63">
        <f>SUBTOTAL(103,Enero!$N$7)</f>
        <v>0</v>
      </c>
      <c r="O197" s="63">
        <f>SUBTOTAL(103,Enero!$O$7)</f>
        <v>0</v>
      </c>
      <c r="P197" s="63">
        <f>SUBTOTAL(103,Enero!$P$7)</f>
        <v>0</v>
      </c>
      <c r="Q197" s="63">
        <f>SUBTOTAL(103,Enero!$Q$7)</f>
        <v>0</v>
      </c>
      <c r="R197" s="63">
        <f>SUBTOTAL(103,Enero!$R$7)</f>
        <v>0</v>
      </c>
      <c r="S197" s="63">
        <f>SUBTOTAL(103,Enero!$S$7)</f>
        <v>0</v>
      </c>
      <c r="T197" s="63">
        <f>SUBTOTAL(103,Enero!$T$7)</f>
        <v>0</v>
      </c>
      <c r="U197" s="63">
        <f>SUBTOTAL(103,Enero!$U$7)</f>
        <v>0</v>
      </c>
      <c r="V197" s="63"/>
      <c r="W197" s="63">
        <f>SUBTOTAL(103,Enero!$W$7)</f>
        <v>0</v>
      </c>
      <c r="X197" s="63">
        <f>SUBTOTAL(103,Enero!$X$7)</f>
        <v>0</v>
      </c>
      <c r="Y197" s="63">
        <f>SUBTOTAL(103,Enero!$Y$7)</f>
        <v>0</v>
      </c>
      <c r="Z197" s="63">
        <f>SUBTOTAL(103,Enero!$Z$7)</f>
        <v>0</v>
      </c>
      <c r="AA197" s="63">
        <f>SUBTOTAL(103,Enero!$AA$7)</f>
        <v>0</v>
      </c>
      <c r="AB197" s="63">
        <f>SUBTOTAL(103,Enero!$AB$7)</f>
        <v>0</v>
      </c>
      <c r="AC197" s="63">
        <f>SUBTOTAL(103,Enero!$AC$7)</f>
        <v>0</v>
      </c>
      <c r="AD197" s="63">
        <f>SUBTOTAL(103,Enero!$AD$7)</f>
        <v>0</v>
      </c>
      <c r="AE197" s="63">
        <f>SUBTOTAL(103,Enero!$AE$7)</f>
        <v>0</v>
      </c>
      <c r="AF197" s="63">
        <f>SUBTOTAL(103,Enero!$AF$7)</f>
        <v>0</v>
      </c>
      <c r="AG197" s="63">
        <f>SUBTOTAL(103,Enero!$AG$7)</f>
        <v>0</v>
      </c>
      <c r="AH197" s="65">
        <f>SUM(C197:AG197)</f>
        <v>0</v>
      </c>
    </row>
    <row r="198" ht="30.0" customHeight="1">
      <c r="AH198" s="5"/>
    </row>
    <row r="199" ht="30.0" customHeight="1">
      <c r="AH199" s="5"/>
    </row>
    <row r="200" ht="30.0" customHeight="1">
      <c r="AH200" s="5"/>
    </row>
    <row r="201" ht="30.0" customHeight="1">
      <c r="AH201" s="5"/>
    </row>
    <row r="202" ht="30.0" customHeight="1">
      <c r="AH202" s="5"/>
    </row>
    <row r="203" ht="30.0" customHeight="1">
      <c r="AH203" s="5"/>
    </row>
    <row r="204" ht="30.0" customHeight="1">
      <c r="AH204" s="5"/>
    </row>
    <row r="205" ht="30.0" customHeight="1">
      <c r="AH205" s="5"/>
    </row>
    <row r="206" ht="30.0" customHeight="1">
      <c r="AH206" s="5"/>
    </row>
    <row r="207" ht="30.0" customHeight="1">
      <c r="AH207" s="5"/>
    </row>
    <row r="208" ht="30.0" customHeight="1">
      <c r="AH208" s="5"/>
    </row>
    <row r="209" ht="30.0" customHeight="1">
      <c r="AH209" s="5"/>
    </row>
    <row r="210" ht="30.0" customHeight="1">
      <c r="AH210" s="5"/>
    </row>
    <row r="211" ht="30.0" customHeight="1">
      <c r="AH211" s="5"/>
    </row>
    <row r="212" ht="30.0" customHeight="1">
      <c r="AH212" s="5"/>
    </row>
    <row r="213" ht="30.0" customHeight="1">
      <c r="AH213" s="5"/>
    </row>
    <row r="214" ht="30.0" customHeight="1">
      <c r="AH214" s="5"/>
    </row>
    <row r="215" ht="30.0" customHeight="1">
      <c r="AH215" s="5"/>
    </row>
    <row r="216" ht="30.0" customHeight="1">
      <c r="AH216" s="5"/>
    </row>
    <row r="217" ht="30.0" customHeight="1">
      <c r="AH217" s="5"/>
    </row>
    <row r="218" ht="30.0" customHeight="1">
      <c r="AH218" s="5"/>
    </row>
    <row r="219" ht="30.0" customHeight="1">
      <c r="AH219" s="5"/>
    </row>
    <row r="220" ht="30.0" customHeight="1">
      <c r="AH220" s="5"/>
    </row>
    <row r="221" ht="30.0" customHeight="1">
      <c r="AH221" s="5"/>
    </row>
    <row r="222" ht="30.0" customHeight="1">
      <c r="AH222" s="5"/>
    </row>
    <row r="223" ht="30.0" customHeight="1">
      <c r="AH223" s="5"/>
    </row>
    <row r="224" ht="30.0" customHeight="1">
      <c r="AH224" s="5"/>
    </row>
    <row r="225" ht="30.0" customHeight="1">
      <c r="AH225" s="5"/>
    </row>
    <row r="226" ht="30.0" customHeight="1">
      <c r="AH226" s="5"/>
    </row>
    <row r="227" ht="30.0" customHeight="1">
      <c r="AH227" s="5"/>
    </row>
    <row r="228" ht="30.0" customHeight="1">
      <c r="AH228" s="5"/>
    </row>
    <row r="229" ht="30.0" customHeight="1">
      <c r="AH229" s="5"/>
    </row>
    <row r="230" ht="30.0" customHeight="1">
      <c r="AH230" s="5"/>
    </row>
    <row r="231" ht="30.0" customHeight="1">
      <c r="AH231" s="5"/>
    </row>
    <row r="232" ht="30.0" customHeight="1">
      <c r="AH232" s="5"/>
    </row>
    <row r="233" ht="30.0" customHeight="1">
      <c r="AH233" s="5"/>
    </row>
    <row r="234" ht="30.0" customHeight="1">
      <c r="AH234" s="5"/>
    </row>
    <row r="235" ht="30.0" customHeight="1">
      <c r="AH235" s="5"/>
    </row>
    <row r="236" ht="30.0" customHeight="1">
      <c r="AH236" s="5"/>
    </row>
    <row r="237" ht="30.0" customHeight="1">
      <c r="AH237" s="5"/>
    </row>
    <row r="238" ht="30.0" customHeight="1">
      <c r="AH238" s="5"/>
    </row>
    <row r="239" ht="30.0" customHeight="1">
      <c r="AH239" s="5"/>
    </row>
    <row r="240" ht="30.0" customHeight="1">
      <c r="AH240" s="5"/>
    </row>
    <row r="241" ht="30.0" customHeight="1">
      <c r="AH241" s="5"/>
    </row>
    <row r="242" ht="30.0" customHeight="1">
      <c r="AH242" s="5"/>
    </row>
    <row r="243" ht="30.0" customHeight="1">
      <c r="AH243" s="5"/>
    </row>
    <row r="244" ht="30.0" customHeight="1">
      <c r="AH244" s="5"/>
    </row>
    <row r="245" ht="30.0" customHeight="1">
      <c r="AH245" s="5"/>
    </row>
    <row r="246" ht="30.0" customHeight="1">
      <c r="AH246" s="5"/>
    </row>
    <row r="247" ht="30.0" customHeight="1">
      <c r="AH247" s="5"/>
    </row>
    <row r="248" ht="30.0" customHeight="1">
      <c r="AH248" s="5"/>
    </row>
    <row r="249" ht="30.0" customHeight="1">
      <c r="AH249" s="5"/>
    </row>
    <row r="250" ht="30.0" customHeight="1">
      <c r="AH250" s="5"/>
    </row>
    <row r="251" ht="30.0" customHeight="1">
      <c r="AH251" s="5"/>
    </row>
    <row r="252" ht="30.0" customHeight="1">
      <c r="AH252" s="5"/>
    </row>
    <row r="253" ht="30.0" customHeight="1">
      <c r="AH253" s="5"/>
    </row>
    <row r="254" ht="30.0" customHeight="1">
      <c r="AH254" s="5"/>
    </row>
    <row r="255" ht="30.0" customHeight="1">
      <c r="AH255" s="5"/>
    </row>
    <row r="256" ht="30.0" customHeight="1">
      <c r="AH256" s="5"/>
    </row>
    <row r="257" ht="30.0" customHeight="1">
      <c r="AH257" s="5"/>
    </row>
    <row r="258" ht="30.0" customHeight="1">
      <c r="AH258" s="5"/>
    </row>
    <row r="259" ht="30.0" customHeight="1">
      <c r="AH259" s="5"/>
    </row>
    <row r="260" ht="30.0" customHeight="1">
      <c r="AH260" s="5"/>
    </row>
    <row r="261" ht="30.0" customHeight="1">
      <c r="AH261" s="5"/>
    </row>
    <row r="262" ht="30.0" customHeight="1">
      <c r="AH262" s="5"/>
    </row>
    <row r="263" ht="30.0" customHeight="1">
      <c r="AH263" s="5"/>
    </row>
    <row r="264" ht="30.0" customHeight="1">
      <c r="AH264" s="5"/>
    </row>
    <row r="265" ht="30.0" customHeight="1">
      <c r="AH265" s="5"/>
    </row>
    <row r="266" ht="30.0" customHeight="1">
      <c r="AH266" s="5"/>
    </row>
    <row r="267" ht="30.0" customHeight="1">
      <c r="AH267" s="5"/>
    </row>
    <row r="268" ht="30.0" customHeight="1">
      <c r="AH268" s="5"/>
    </row>
    <row r="269" ht="30.0" customHeight="1">
      <c r="AH269" s="5"/>
    </row>
    <row r="270" ht="30.0" customHeight="1">
      <c r="AH270" s="5"/>
    </row>
    <row r="271" ht="30.0" customHeight="1">
      <c r="AH271" s="5"/>
    </row>
    <row r="272" ht="30.0" customHeight="1">
      <c r="AH272" s="5"/>
    </row>
    <row r="273" ht="30.0" customHeight="1">
      <c r="AH273" s="5"/>
    </row>
    <row r="274" ht="30.0" customHeight="1">
      <c r="AH274" s="5"/>
    </row>
    <row r="275" ht="30.0" customHeight="1">
      <c r="AH275" s="5"/>
    </row>
    <row r="276" ht="30.0" customHeight="1">
      <c r="AH276" s="5"/>
    </row>
    <row r="277" ht="30.0" customHeight="1">
      <c r="AH277" s="5"/>
    </row>
    <row r="278" ht="30.0" customHeight="1">
      <c r="AH278" s="5"/>
    </row>
    <row r="279" ht="30.0" customHeight="1">
      <c r="AH279" s="5"/>
    </row>
    <row r="280" ht="30.0" customHeight="1">
      <c r="AH280" s="5"/>
    </row>
    <row r="281" ht="30.0" customHeight="1">
      <c r="AH281" s="5"/>
    </row>
    <row r="282" ht="30.0" customHeight="1">
      <c r="AH282" s="5"/>
    </row>
    <row r="283" ht="30.0" customHeight="1">
      <c r="AH283" s="5"/>
    </row>
    <row r="284" ht="30.0" customHeight="1">
      <c r="AH284" s="5"/>
    </row>
    <row r="285" ht="30.0" customHeight="1">
      <c r="AH285" s="5"/>
    </row>
    <row r="286" ht="30.0" customHeight="1">
      <c r="AH286" s="5"/>
    </row>
    <row r="287" ht="30.0" customHeight="1">
      <c r="AH287" s="5"/>
    </row>
    <row r="288" ht="30.0" customHeight="1">
      <c r="AH288" s="5"/>
    </row>
    <row r="289" ht="30.0" customHeight="1">
      <c r="AH289" s="5"/>
    </row>
    <row r="290" ht="30.0" customHeight="1">
      <c r="AH290" s="5"/>
    </row>
    <row r="291" ht="30.0" customHeight="1">
      <c r="AH291" s="5"/>
    </row>
    <row r="292" ht="30.0" customHeight="1">
      <c r="AH292" s="5"/>
    </row>
    <row r="293" ht="30.0" customHeight="1">
      <c r="AH293" s="5"/>
    </row>
    <row r="294" ht="30.0" customHeight="1">
      <c r="AH294" s="5"/>
    </row>
    <row r="295" ht="30.0" customHeight="1">
      <c r="AH295" s="5"/>
    </row>
    <row r="296" ht="30.0" customHeight="1">
      <c r="AH296" s="5"/>
    </row>
    <row r="297" ht="30.0" customHeight="1">
      <c r="AH297" s="5"/>
    </row>
    <row r="298" ht="30.0" customHeight="1">
      <c r="AH298" s="5"/>
    </row>
    <row r="299" ht="30.0" customHeight="1">
      <c r="AH299" s="5"/>
    </row>
    <row r="300" ht="30.0" customHeight="1">
      <c r="AH300" s="5"/>
    </row>
    <row r="301" ht="30.0" customHeight="1">
      <c r="AH301" s="5"/>
    </row>
    <row r="302" ht="30.0" customHeight="1">
      <c r="AH302" s="5"/>
    </row>
    <row r="303" ht="30.0" customHeight="1">
      <c r="AH303" s="5"/>
    </row>
    <row r="304" ht="30.0" customHeight="1">
      <c r="AH304" s="5"/>
    </row>
    <row r="305" ht="30.0" customHeight="1">
      <c r="AH305" s="5"/>
    </row>
    <row r="306" ht="30.0" customHeight="1">
      <c r="AH306" s="5"/>
    </row>
    <row r="307" ht="30.0" customHeight="1">
      <c r="AH307" s="5"/>
    </row>
    <row r="308" ht="30.0" customHeight="1">
      <c r="AH308" s="5"/>
    </row>
    <row r="309" ht="30.0" customHeight="1">
      <c r="AH309" s="5"/>
    </row>
    <row r="310" ht="30.0" customHeight="1">
      <c r="AH310" s="5"/>
    </row>
    <row r="311" ht="30.0" customHeight="1">
      <c r="AH311" s="5"/>
    </row>
    <row r="312" ht="30.0" customHeight="1">
      <c r="AH312" s="5"/>
    </row>
    <row r="313" ht="30.0" customHeight="1">
      <c r="AH313" s="5"/>
    </row>
    <row r="314" ht="30.0" customHeight="1">
      <c r="AH314" s="5"/>
    </row>
    <row r="315" ht="30.0" customHeight="1">
      <c r="AH315" s="5"/>
    </row>
    <row r="316" ht="30.0" customHeight="1">
      <c r="AH316" s="5"/>
    </row>
    <row r="317" ht="30.0" customHeight="1">
      <c r="AH317" s="5"/>
    </row>
    <row r="318" ht="30.0" customHeight="1">
      <c r="AH318" s="5"/>
    </row>
    <row r="319" ht="30.0" customHeight="1">
      <c r="AH319" s="5"/>
    </row>
    <row r="320" ht="30.0" customHeight="1">
      <c r="AH320" s="5"/>
    </row>
    <row r="321" ht="30.0" customHeight="1">
      <c r="AH321" s="5"/>
    </row>
    <row r="322" ht="30.0" customHeight="1">
      <c r="AH322" s="5"/>
    </row>
    <row r="323" ht="30.0" customHeight="1">
      <c r="AH323" s="5"/>
    </row>
    <row r="324" ht="30.0" customHeight="1">
      <c r="AH324" s="5"/>
    </row>
    <row r="325" ht="30.0" customHeight="1">
      <c r="AH325" s="5"/>
    </row>
    <row r="326" ht="30.0" customHeight="1">
      <c r="AH326" s="5"/>
    </row>
    <row r="327" ht="30.0" customHeight="1">
      <c r="AH327" s="5"/>
    </row>
    <row r="328" ht="30.0" customHeight="1">
      <c r="AH328" s="5"/>
    </row>
    <row r="329" ht="30.0" customHeight="1">
      <c r="AH329" s="5"/>
    </row>
    <row r="330" ht="30.0" customHeight="1">
      <c r="AH330" s="5"/>
    </row>
    <row r="331" ht="30.0" customHeight="1">
      <c r="AH331" s="5"/>
    </row>
    <row r="332" ht="30.0" customHeight="1">
      <c r="AH332" s="5"/>
    </row>
    <row r="333" ht="30.0" customHeight="1">
      <c r="AH333" s="5"/>
    </row>
    <row r="334" ht="30.0" customHeight="1">
      <c r="AH334" s="5"/>
    </row>
    <row r="335" ht="30.0" customHeight="1">
      <c r="AH335" s="5"/>
    </row>
    <row r="336" ht="30.0" customHeight="1">
      <c r="AH336" s="5"/>
    </row>
    <row r="337" ht="30.0" customHeight="1">
      <c r="AH337" s="5"/>
    </row>
    <row r="338" ht="30.0" customHeight="1">
      <c r="AH338" s="5"/>
    </row>
    <row r="339" ht="30.0" customHeight="1">
      <c r="AH339" s="5"/>
    </row>
    <row r="340" ht="30.0" customHeight="1">
      <c r="AH340" s="5"/>
    </row>
    <row r="341" ht="30.0" customHeight="1">
      <c r="AH341" s="5"/>
    </row>
    <row r="342" ht="30.0" customHeight="1">
      <c r="AH342" s="5"/>
    </row>
    <row r="343" ht="30.0" customHeight="1">
      <c r="AH343" s="5"/>
    </row>
    <row r="344" ht="30.0" customHeight="1">
      <c r="AH344" s="5"/>
    </row>
    <row r="345" ht="30.0" customHeight="1">
      <c r="AH345" s="5"/>
    </row>
    <row r="346" ht="30.0" customHeight="1">
      <c r="AH346" s="5"/>
    </row>
    <row r="347" ht="30.0" customHeight="1">
      <c r="AH347" s="5"/>
    </row>
    <row r="348" ht="30.0" customHeight="1">
      <c r="AH348" s="5"/>
    </row>
    <row r="349" ht="30.0" customHeight="1">
      <c r="AH349" s="5"/>
    </row>
    <row r="350" ht="30.0" customHeight="1">
      <c r="AH350" s="5"/>
    </row>
    <row r="351" ht="30.0" customHeight="1">
      <c r="AH351" s="5"/>
    </row>
    <row r="352" ht="30.0" customHeight="1">
      <c r="AH352" s="5"/>
    </row>
    <row r="353" ht="30.0" customHeight="1">
      <c r="AH353" s="5"/>
    </row>
    <row r="354" ht="30.0" customHeight="1">
      <c r="AH354" s="5"/>
    </row>
    <row r="355" ht="30.0" customHeight="1">
      <c r="AH355" s="5"/>
    </row>
    <row r="356" ht="30.0" customHeight="1">
      <c r="AH356" s="5"/>
    </row>
    <row r="357" ht="30.0" customHeight="1">
      <c r="AH357" s="5"/>
    </row>
    <row r="358" ht="30.0" customHeight="1">
      <c r="AH358" s="5"/>
    </row>
    <row r="359" ht="30.0" customHeight="1">
      <c r="AH359" s="5"/>
    </row>
    <row r="360" ht="30.0" customHeight="1">
      <c r="AH360" s="5"/>
    </row>
    <row r="361" ht="30.0" customHeight="1">
      <c r="AH361" s="5"/>
    </row>
    <row r="362" ht="30.0" customHeight="1">
      <c r="AH362" s="5"/>
    </row>
    <row r="363" ht="30.0" customHeight="1">
      <c r="AH363" s="5"/>
    </row>
    <row r="364" ht="30.0" customHeight="1">
      <c r="AH364" s="5"/>
    </row>
    <row r="365" ht="30.0" customHeight="1">
      <c r="AH365" s="5"/>
    </row>
    <row r="366" ht="30.0" customHeight="1">
      <c r="AH366" s="5"/>
    </row>
    <row r="367" ht="30.0" customHeight="1">
      <c r="AH367" s="5"/>
    </row>
    <row r="368" ht="30.0" customHeight="1">
      <c r="AH368" s="5"/>
    </row>
    <row r="369" ht="30.0" customHeight="1">
      <c r="AH369" s="5"/>
    </row>
    <row r="370" ht="30.0" customHeight="1">
      <c r="AH370" s="5"/>
    </row>
    <row r="371" ht="30.0" customHeight="1">
      <c r="AH371" s="5"/>
    </row>
    <row r="372" ht="30.0" customHeight="1">
      <c r="AH372" s="5"/>
    </row>
    <row r="373" ht="30.0" customHeight="1">
      <c r="AH373" s="5"/>
    </row>
    <row r="374" ht="30.0" customHeight="1">
      <c r="AH374" s="5"/>
    </row>
    <row r="375" ht="30.0" customHeight="1">
      <c r="AH375" s="5"/>
    </row>
    <row r="376" ht="30.0" customHeight="1">
      <c r="AH376" s="5"/>
    </row>
    <row r="377" ht="30.0" customHeight="1">
      <c r="AH377" s="5"/>
    </row>
    <row r="378" ht="30.0" customHeight="1">
      <c r="AH378" s="5"/>
    </row>
    <row r="379" ht="30.0" customHeight="1">
      <c r="AH379" s="5"/>
    </row>
    <row r="380" ht="30.0" customHeight="1">
      <c r="AH380" s="5"/>
    </row>
    <row r="381" ht="30.0" customHeight="1">
      <c r="AH381" s="5"/>
    </row>
    <row r="382" ht="30.0" customHeight="1">
      <c r="AH382" s="5"/>
    </row>
    <row r="383" ht="30.0" customHeight="1">
      <c r="AH383" s="5"/>
    </row>
    <row r="384" ht="30.0" customHeight="1">
      <c r="AH384" s="5"/>
    </row>
    <row r="385" ht="30.0" customHeight="1">
      <c r="AH385" s="5"/>
    </row>
    <row r="386" ht="30.0" customHeight="1">
      <c r="AH386" s="5"/>
    </row>
    <row r="387" ht="30.0" customHeight="1">
      <c r="AH387" s="5"/>
    </row>
    <row r="388" ht="30.0" customHeight="1">
      <c r="AH388" s="5"/>
    </row>
    <row r="389" ht="30.0" customHeight="1">
      <c r="AH389" s="5"/>
    </row>
    <row r="390" ht="30.0" customHeight="1">
      <c r="AH390" s="5"/>
    </row>
    <row r="391" ht="30.0" customHeight="1">
      <c r="AH391" s="5"/>
    </row>
    <row r="392" ht="30.0" customHeight="1">
      <c r="AH392" s="5"/>
    </row>
    <row r="393" ht="30.0" customHeight="1">
      <c r="AH393" s="5"/>
    </row>
    <row r="394" ht="30.0" customHeight="1">
      <c r="AH394" s="5"/>
    </row>
    <row r="395" ht="30.0" customHeight="1">
      <c r="AH395" s="5"/>
    </row>
    <row r="396" ht="30.0" customHeight="1">
      <c r="AH396" s="5"/>
    </row>
    <row r="397" ht="30.0" customHeight="1">
      <c r="AH397" s="5"/>
    </row>
    <row r="398" ht="30.0" customHeight="1">
      <c r="AH398" s="5"/>
    </row>
    <row r="399" ht="30.0" customHeight="1">
      <c r="AH399" s="5"/>
    </row>
    <row r="400" ht="30.0" customHeight="1">
      <c r="AH400" s="5"/>
    </row>
    <row r="401" ht="30.0" customHeight="1">
      <c r="AH401" s="5"/>
    </row>
    <row r="402" ht="30.0" customHeight="1">
      <c r="AH402" s="5"/>
    </row>
    <row r="403" ht="30.0" customHeight="1">
      <c r="AH403" s="5"/>
    </row>
    <row r="404" ht="30.0" customHeight="1">
      <c r="AH404" s="5"/>
    </row>
    <row r="405" ht="30.0" customHeight="1">
      <c r="AH405" s="5"/>
    </row>
    <row r="406" ht="30.0" customHeight="1">
      <c r="AH406" s="5"/>
    </row>
    <row r="407" ht="30.0" customHeight="1">
      <c r="AH407" s="5"/>
    </row>
    <row r="408" ht="30.0" customHeight="1">
      <c r="AH408" s="5"/>
    </row>
    <row r="409" ht="30.0" customHeight="1">
      <c r="AH409" s="5"/>
    </row>
    <row r="410" ht="30.0" customHeight="1">
      <c r="AH410" s="5"/>
    </row>
    <row r="411" ht="30.0" customHeight="1">
      <c r="AH411" s="5"/>
    </row>
    <row r="412" ht="30.0" customHeight="1">
      <c r="AH412" s="5"/>
    </row>
    <row r="413" ht="30.0" customHeight="1">
      <c r="AH413" s="5"/>
    </row>
    <row r="414" ht="30.0" customHeight="1">
      <c r="AH414" s="5"/>
    </row>
    <row r="415" ht="30.0" customHeight="1">
      <c r="AH415" s="5"/>
    </row>
    <row r="416" ht="30.0" customHeight="1">
      <c r="AH416" s="5"/>
    </row>
    <row r="417" ht="30.0" customHeight="1">
      <c r="AH417" s="5"/>
    </row>
    <row r="418" ht="30.0" customHeight="1">
      <c r="AH418" s="5"/>
    </row>
    <row r="419" ht="30.0" customHeight="1">
      <c r="AH419" s="5"/>
    </row>
    <row r="420" ht="30.0" customHeight="1">
      <c r="AH420" s="5"/>
    </row>
    <row r="421" ht="30.0" customHeight="1">
      <c r="AH421" s="5"/>
    </row>
    <row r="422" ht="30.0" customHeight="1">
      <c r="AH422" s="5"/>
    </row>
    <row r="423" ht="30.0" customHeight="1">
      <c r="AH423" s="5"/>
    </row>
    <row r="424" ht="30.0" customHeight="1">
      <c r="AH424" s="5"/>
    </row>
    <row r="425" ht="30.0" customHeight="1">
      <c r="AH425" s="5"/>
    </row>
    <row r="426" ht="30.0" customHeight="1">
      <c r="AH426" s="5"/>
    </row>
    <row r="427" ht="30.0" customHeight="1">
      <c r="AH427" s="5"/>
    </row>
    <row r="428" ht="30.0" customHeight="1">
      <c r="AH428" s="5"/>
    </row>
    <row r="429" ht="30.0" customHeight="1">
      <c r="AH429" s="5"/>
    </row>
    <row r="430" ht="30.0" customHeight="1">
      <c r="AH430" s="5"/>
    </row>
    <row r="431" ht="30.0" customHeight="1">
      <c r="AH431" s="5"/>
    </row>
    <row r="432" ht="30.0" customHeight="1">
      <c r="AH432" s="5"/>
    </row>
    <row r="433" ht="30.0" customHeight="1">
      <c r="AH433" s="5"/>
    </row>
    <row r="434" ht="30.0" customHeight="1">
      <c r="AH434" s="5"/>
    </row>
    <row r="435" ht="30.0" customHeight="1">
      <c r="AH435" s="5"/>
    </row>
    <row r="436" ht="30.0" customHeight="1">
      <c r="AH436" s="5"/>
    </row>
    <row r="437" ht="30.0" customHeight="1">
      <c r="AH437" s="5"/>
    </row>
    <row r="438" ht="30.0" customHeight="1">
      <c r="AH438" s="5"/>
    </row>
    <row r="439" ht="30.0" customHeight="1">
      <c r="AH439" s="5"/>
    </row>
    <row r="440" ht="30.0" customHeight="1">
      <c r="AH440" s="5"/>
    </row>
    <row r="441" ht="30.0" customHeight="1">
      <c r="AH441" s="5"/>
    </row>
    <row r="442" ht="30.0" customHeight="1">
      <c r="AH442" s="5"/>
    </row>
    <row r="443" ht="30.0" customHeight="1">
      <c r="AH443" s="5"/>
    </row>
    <row r="444" ht="30.0" customHeight="1">
      <c r="AH444" s="5"/>
    </row>
    <row r="445" ht="30.0" customHeight="1">
      <c r="AH445" s="5"/>
    </row>
    <row r="446" ht="30.0" customHeight="1">
      <c r="AH446" s="5"/>
    </row>
    <row r="447" ht="30.0" customHeight="1">
      <c r="AH447" s="5"/>
    </row>
    <row r="448" ht="30.0" customHeight="1">
      <c r="AH448" s="5"/>
    </row>
    <row r="449" ht="30.0" customHeight="1">
      <c r="AH449" s="5"/>
    </row>
    <row r="450" ht="30.0" customHeight="1">
      <c r="AH450" s="5"/>
    </row>
    <row r="451" ht="30.0" customHeight="1">
      <c r="AH451" s="5"/>
    </row>
    <row r="452" ht="30.0" customHeight="1">
      <c r="AH452" s="5"/>
    </row>
    <row r="453" ht="30.0" customHeight="1">
      <c r="AH453" s="5"/>
    </row>
    <row r="454" ht="30.0" customHeight="1">
      <c r="AH454" s="5"/>
    </row>
    <row r="455" ht="30.0" customHeight="1">
      <c r="AH455" s="5"/>
    </row>
    <row r="456" ht="30.0" customHeight="1">
      <c r="AH456" s="5"/>
    </row>
    <row r="457" ht="30.0" customHeight="1">
      <c r="AH457" s="5"/>
    </row>
    <row r="458" ht="30.0" customHeight="1">
      <c r="AH458" s="5"/>
    </row>
    <row r="459" ht="30.0" customHeight="1">
      <c r="AH459" s="5"/>
    </row>
    <row r="460" ht="30.0" customHeight="1">
      <c r="AH460" s="5"/>
    </row>
    <row r="461" ht="30.0" customHeight="1">
      <c r="AH461" s="5"/>
    </row>
    <row r="462" ht="30.0" customHeight="1">
      <c r="AH462" s="5"/>
    </row>
    <row r="463" ht="30.0" customHeight="1">
      <c r="AH463" s="5"/>
    </row>
    <row r="464" ht="30.0" customHeight="1">
      <c r="AH464" s="5"/>
    </row>
    <row r="465" ht="30.0" customHeight="1">
      <c r="AH465" s="5"/>
    </row>
    <row r="466" ht="30.0" customHeight="1">
      <c r="AH466" s="5"/>
    </row>
    <row r="467" ht="30.0" customHeight="1">
      <c r="AH467" s="5"/>
    </row>
    <row r="468" ht="30.0" customHeight="1">
      <c r="AH468" s="5"/>
    </row>
    <row r="469" ht="30.0" customHeight="1">
      <c r="AH469" s="5"/>
    </row>
    <row r="470" ht="30.0" customHeight="1">
      <c r="AH470" s="5"/>
    </row>
    <row r="471" ht="30.0" customHeight="1">
      <c r="AH471" s="5"/>
    </row>
    <row r="472" ht="30.0" customHeight="1">
      <c r="AH472" s="5"/>
    </row>
    <row r="473" ht="30.0" customHeight="1">
      <c r="AH473" s="5"/>
    </row>
    <row r="474" ht="30.0" customHeight="1">
      <c r="AH474" s="5"/>
    </row>
    <row r="475" ht="30.0" customHeight="1">
      <c r="AH475" s="5"/>
    </row>
    <row r="476" ht="30.0" customHeight="1">
      <c r="AH476" s="5"/>
    </row>
    <row r="477" ht="30.0" customHeight="1">
      <c r="AH477" s="5"/>
    </row>
    <row r="478" ht="30.0" customHeight="1">
      <c r="AH478" s="5"/>
    </row>
    <row r="479" ht="30.0" customHeight="1">
      <c r="AH479" s="5"/>
    </row>
    <row r="480" ht="30.0" customHeight="1">
      <c r="AH480" s="5"/>
    </row>
    <row r="481" ht="30.0" customHeight="1">
      <c r="AH481" s="5"/>
    </row>
    <row r="482" ht="30.0" customHeight="1">
      <c r="AH482" s="5"/>
    </row>
    <row r="483" ht="30.0" customHeight="1">
      <c r="AH483" s="5"/>
    </row>
    <row r="484" ht="30.0" customHeight="1">
      <c r="AH484" s="5"/>
    </row>
    <row r="485" ht="30.0" customHeight="1">
      <c r="AH485" s="5"/>
    </row>
    <row r="486" ht="30.0" customHeight="1">
      <c r="AH486" s="5"/>
    </row>
    <row r="487" ht="30.0" customHeight="1">
      <c r="AH487" s="5"/>
    </row>
    <row r="488" ht="30.0" customHeight="1">
      <c r="AH488" s="5"/>
    </row>
    <row r="489" ht="30.0" customHeight="1">
      <c r="AH489" s="5"/>
    </row>
    <row r="490" ht="30.0" customHeight="1">
      <c r="AH490" s="5"/>
    </row>
    <row r="491" ht="30.0" customHeight="1">
      <c r="AH491" s="5"/>
    </row>
    <row r="492" ht="30.0" customHeight="1">
      <c r="AH492" s="5"/>
    </row>
    <row r="493" ht="30.0" customHeight="1">
      <c r="AH493" s="5"/>
    </row>
    <row r="494" ht="30.0" customHeight="1">
      <c r="AH494" s="5"/>
    </row>
    <row r="495" ht="30.0" customHeight="1">
      <c r="AH495" s="5"/>
    </row>
    <row r="496" ht="30.0" customHeight="1">
      <c r="AH496" s="5"/>
    </row>
    <row r="497" ht="30.0" customHeight="1">
      <c r="AH497" s="5"/>
    </row>
    <row r="498" ht="30.0" customHeight="1">
      <c r="AH498" s="5"/>
    </row>
    <row r="499" ht="30.0" customHeight="1">
      <c r="AH499" s="5"/>
    </row>
    <row r="500" ht="30.0" customHeight="1">
      <c r="AH500" s="5"/>
    </row>
    <row r="501" ht="30.0" customHeight="1">
      <c r="AH501" s="5"/>
    </row>
    <row r="502" ht="30.0" customHeight="1">
      <c r="AH502" s="5"/>
    </row>
    <row r="503" ht="30.0" customHeight="1">
      <c r="AH503" s="5"/>
    </row>
    <row r="504" ht="30.0" customHeight="1">
      <c r="AH504" s="5"/>
    </row>
    <row r="505" ht="30.0" customHeight="1">
      <c r="AH505" s="5"/>
    </row>
    <row r="506" ht="30.0" customHeight="1">
      <c r="AH506" s="5"/>
    </row>
    <row r="507" ht="30.0" customHeight="1">
      <c r="AH507" s="5"/>
    </row>
    <row r="508" ht="30.0" customHeight="1">
      <c r="AH508" s="5"/>
    </row>
    <row r="509" ht="30.0" customHeight="1">
      <c r="AH509" s="5"/>
    </row>
    <row r="510" ht="30.0" customHeight="1">
      <c r="AH510" s="5"/>
    </row>
    <row r="511" ht="30.0" customHeight="1">
      <c r="AH511" s="5"/>
    </row>
    <row r="512" ht="30.0" customHeight="1">
      <c r="AH512" s="5"/>
    </row>
    <row r="513" ht="30.0" customHeight="1">
      <c r="AH513" s="5"/>
    </row>
    <row r="514" ht="30.0" customHeight="1">
      <c r="AH514" s="5"/>
    </row>
    <row r="515" ht="30.0" customHeight="1">
      <c r="AH515" s="5"/>
    </row>
    <row r="516" ht="30.0" customHeight="1">
      <c r="AH516" s="5"/>
    </row>
    <row r="517" ht="30.0" customHeight="1">
      <c r="AH517" s="5"/>
    </row>
    <row r="518" ht="30.0" customHeight="1">
      <c r="AH518" s="5"/>
    </row>
    <row r="519" ht="30.0" customHeight="1">
      <c r="AH519" s="5"/>
    </row>
    <row r="520" ht="30.0" customHeight="1">
      <c r="AH520" s="5"/>
    </row>
    <row r="521" ht="30.0" customHeight="1">
      <c r="AH521" s="5"/>
    </row>
    <row r="522" ht="30.0" customHeight="1">
      <c r="AH522" s="5"/>
    </row>
    <row r="523" ht="30.0" customHeight="1">
      <c r="AH523" s="5"/>
    </row>
    <row r="524" ht="30.0" customHeight="1">
      <c r="AH524" s="5"/>
    </row>
    <row r="525" ht="30.0" customHeight="1">
      <c r="AH525" s="5"/>
    </row>
    <row r="526" ht="30.0" customHeight="1">
      <c r="AH526" s="5"/>
    </row>
    <row r="527" ht="30.0" customHeight="1">
      <c r="AH527" s="5"/>
    </row>
    <row r="528" ht="30.0" customHeight="1">
      <c r="AH528" s="5"/>
    </row>
    <row r="529" ht="30.0" customHeight="1">
      <c r="AH529" s="5"/>
    </row>
    <row r="530" ht="30.0" customHeight="1">
      <c r="AH530" s="5"/>
    </row>
    <row r="531" ht="30.0" customHeight="1">
      <c r="AH531" s="5"/>
    </row>
    <row r="532" ht="30.0" customHeight="1">
      <c r="AH532" s="5"/>
    </row>
    <row r="533" ht="30.0" customHeight="1">
      <c r="AH533" s="5"/>
    </row>
    <row r="534" ht="30.0" customHeight="1">
      <c r="AH534" s="5"/>
    </row>
    <row r="535" ht="30.0" customHeight="1">
      <c r="AH535" s="5"/>
    </row>
    <row r="536" ht="30.0" customHeight="1">
      <c r="AH536" s="5"/>
    </row>
    <row r="537" ht="30.0" customHeight="1">
      <c r="AH537" s="5"/>
    </row>
    <row r="538" ht="30.0" customHeight="1">
      <c r="AH538" s="5"/>
    </row>
    <row r="539" ht="30.0" customHeight="1">
      <c r="AH539" s="5"/>
    </row>
    <row r="540" ht="30.0" customHeight="1">
      <c r="AH540" s="5"/>
    </row>
    <row r="541" ht="30.0" customHeight="1">
      <c r="AH541" s="5"/>
    </row>
    <row r="542" ht="30.0" customHeight="1">
      <c r="AH542" s="5"/>
    </row>
    <row r="543" ht="30.0" customHeight="1">
      <c r="AH543" s="5"/>
    </row>
    <row r="544" ht="30.0" customHeight="1">
      <c r="AH544" s="5"/>
    </row>
    <row r="545" ht="30.0" customHeight="1">
      <c r="AH545" s="5"/>
    </row>
    <row r="546" ht="30.0" customHeight="1">
      <c r="AH546" s="5"/>
    </row>
    <row r="547" ht="30.0" customHeight="1">
      <c r="AH547" s="5"/>
    </row>
    <row r="548" ht="30.0" customHeight="1">
      <c r="AH548" s="5"/>
    </row>
    <row r="549" ht="30.0" customHeight="1">
      <c r="AH549" s="5"/>
    </row>
    <row r="550" ht="30.0" customHeight="1">
      <c r="AH550" s="5"/>
    </row>
    <row r="551" ht="30.0" customHeight="1">
      <c r="AH551" s="5"/>
    </row>
    <row r="552" ht="30.0" customHeight="1">
      <c r="AH552" s="5"/>
    </row>
    <row r="553" ht="30.0" customHeight="1">
      <c r="AH553" s="5"/>
    </row>
    <row r="554" ht="30.0" customHeight="1">
      <c r="AH554" s="5"/>
    </row>
    <row r="555" ht="30.0" customHeight="1">
      <c r="AH555" s="5"/>
    </row>
    <row r="556" ht="30.0" customHeight="1">
      <c r="AH556" s="5"/>
    </row>
    <row r="557" ht="30.0" customHeight="1">
      <c r="AH557" s="5"/>
    </row>
    <row r="558" ht="30.0" customHeight="1">
      <c r="AH558" s="5"/>
    </row>
    <row r="559" ht="30.0" customHeight="1">
      <c r="AH559" s="5"/>
    </row>
    <row r="560" ht="30.0" customHeight="1">
      <c r="AH560" s="5"/>
    </row>
    <row r="561" ht="30.0" customHeight="1">
      <c r="AH561" s="5"/>
    </row>
    <row r="562" ht="30.0" customHeight="1">
      <c r="AH562" s="5"/>
    </row>
    <row r="563" ht="30.0" customHeight="1">
      <c r="AH563" s="5"/>
    </row>
    <row r="564" ht="30.0" customHeight="1">
      <c r="AH564" s="5"/>
    </row>
    <row r="565" ht="30.0" customHeight="1">
      <c r="AH565" s="5"/>
    </row>
    <row r="566" ht="30.0" customHeight="1">
      <c r="AH566" s="5"/>
    </row>
    <row r="567" ht="30.0" customHeight="1">
      <c r="AH567" s="5"/>
    </row>
    <row r="568" ht="30.0" customHeight="1">
      <c r="AH568" s="5"/>
    </row>
    <row r="569" ht="30.0" customHeight="1">
      <c r="AH569" s="5"/>
    </row>
    <row r="570" ht="30.0" customHeight="1">
      <c r="AH570" s="5"/>
    </row>
    <row r="571" ht="30.0" customHeight="1">
      <c r="AH571" s="5"/>
    </row>
    <row r="572" ht="30.0" customHeight="1">
      <c r="AH572" s="5"/>
    </row>
    <row r="573" ht="30.0" customHeight="1">
      <c r="AH573" s="5"/>
    </row>
    <row r="574" ht="30.0" customHeight="1">
      <c r="AH574" s="5"/>
    </row>
    <row r="575" ht="30.0" customHeight="1">
      <c r="AH575" s="5"/>
    </row>
    <row r="576" ht="30.0" customHeight="1">
      <c r="AH576" s="5"/>
    </row>
    <row r="577" ht="30.0" customHeight="1">
      <c r="AH577" s="5"/>
    </row>
    <row r="578" ht="30.0" customHeight="1">
      <c r="AH578" s="5"/>
    </row>
    <row r="579" ht="30.0" customHeight="1">
      <c r="AH579" s="5"/>
    </row>
    <row r="580" ht="30.0" customHeight="1">
      <c r="AH580" s="5"/>
    </row>
    <row r="581" ht="30.0" customHeight="1">
      <c r="AH581" s="5"/>
    </row>
    <row r="582" ht="30.0" customHeight="1">
      <c r="AH582" s="5"/>
    </row>
    <row r="583" ht="30.0" customHeight="1">
      <c r="AH583" s="5"/>
    </row>
    <row r="584" ht="30.0" customHeight="1">
      <c r="AH584" s="5"/>
    </row>
    <row r="585" ht="30.0" customHeight="1">
      <c r="AH585" s="5"/>
    </row>
    <row r="586" ht="30.0" customHeight="1">
      <c r="AH586" s="5"/>
    </row>
    <row r="587" ht="30.0" customHeight="1">
      <c r="AH587" s="5"/>
    </row>
    <row r="588" ht="30.0" customHeight="1">
      <c r="AH588" s="5"/>
    </row>
    <row r="589" ht="30.0" customHeight="1">
      <c r="AH589" s="5"/>
    </row>
    <row r="590" ht="30.0" customHeight="1">
      <c r="AH590" s="5"/>
    </row>
    <row r="591" ht="30.0" customHeight="1">
      <c r="AH591" s="5"/>
    </row>
    <row r="592" ht="30.0" customHeight="1">
      <c r="AH592" s="5"/>
    </row>
    <row r="593" ht="30.0" customHeight="1">
      <c r="AH593" s="5"/>
    </row>
    <row r="594" ht="30.0" customHeight="1">
      <c r="AH594" s="5"/>
    </row>
    <row r="595" ht="30.0" customHeight="1">
      <c r="AH595" s="5"/>
    </row>
    <row r="596" ht="30.0" customHeight="1">
      <c r="AH596" s="5"/>
    </row>
    <row r="597" ht="30.0" customHeight="1">
      <c r="AH597" s="5"/>
    </row>
    <row r="598" ht="30.0" customHeight="1">
      <c r="AH598" s="5"/>
    </row>
    <row r="599" ht="30.0" customHeight="1">
      <c r="AH599" s="5"/>
    </row>
    <row r="600" ht="30.0" customHeight="1">
      <c r="AH600" s="5"/>
    </row>
    <row r="601" ht="30.0" customHeight="1">
      <c r="AH601" s="5"/>
    </row>
    <row r="602" ht="30.0" customHeight="1">
      <c r="AH602" s="5"/>
    </row>
    <row r="603" ht="30.0" customHeight="1">
      <c r="AH603" s="5"/>
    </row>
    <row r="604" ht="30.0" customHeight="1">
      <c r="AH604" s="5"/>
    </row>
    <row r="605" ht="30.0" customHeight="1">
      <c r="AH605" s="5"/>
    </row>
    <row r="606" ht="30.0" customHeight="1">
      <c r="AH606" s="5"/>
    </row>
    <row r="607" ht="30.0" customHeight="1">
      <c r="AH607" s="5"/>
    </row>
    <row r="608" ht="30.0" customHeight="1">
      <c r="AH608" s="5"/>
    </row>
    <row r="609" ht="30.0" customHeight="1">
      <c r="AH609" s="5"/>
    </row>
    <row r="610" ht="30.0" customHeight="1">
      <c r="AH610" s="5"/>
    </row>
    <row r="611" ht="30.0" customHeight="1">
      <c r="AH611" s="5"/>
    </row>
    <row r="612" ht="30.0" customHeight="1">
      <c r="AH612" s="5"/>
    </row>
    <row r="613" ht="30.0" customHeight="1">
      <c r="AH613" s="5"/>
    </row>
    <row r="614" ht="30.0" customHeight="1">
      <c r="AH614" s="5"/>
    </row>
    <row r="615" ht="30.0" customHeight="1">
      <c r="AH615" s="5"/>
    </row>
    <row r="616" ht="30.0" customHeight="1">
      <c r="AH616" s="5"/>
    </row>
    <row r="617" ht="30.0" customHeight="1">
      <c r="AH617" s="5"/>
    </row>
    <row r="618" ht="30.0" customHeight="1">
      <c r="AH618" s="5"/>
    </row>
    <row r="619" ht="30.0" customHeight="1">
      <c r="AH619" s="5"/>
    </row>
    <row r="620" ht="30.0" customHeight="1">
      <c r="AH620" s="5"/>
    </row>
    <row r="621" ht="30.0" customHeight="1">
      <c r="AH621" s="5"/>
    </row>
    <row r="622" ht="30.0" customHeight="1">
      <c r="AH622" s="5"/>
    </row>
    <row r="623" ht="30.0" customHeight="1">
      <c r="AH623" s="5"/>
    </row>
    <row r="624" ht="30.0" customHeight="1">
      <c r="AH624" s="5"/>
    </row>
    <row r="625" ht="30.0" customHeight="1">
      <c r="AH625" s="5"/>
    </row>
    <row r="626" ht="30.0" customHeight="1">
      <c r="AH626" s="5"/>
    </row>
    <row r="627" ht="30.0" customHeight="1">
      <c r="AH627" s="5"/>
    </row>
    <row r="628" ht="30.0" customHeight="1">
      <c r="AH628" s="5"/>
    </row>
    <row r="629" ht="30.0" customHeight="1">
      <c r="AH629" s="5"/>
    </row>
    <row r="630" ht="30.0" customHeight="1">
      <c r="AH630" s="5"/>
    </row>
    <row r="631" ht="30.0" customHeight="1">
      <c r="AH631" s="5"/>
    </row>
    <row r="632" ht="30.0" customHeight="1">
      <c r="AH632" s="5"/>
    </row>
    <row r="633" ht="30.0" customHeight="1">
      <c r="AH633" s="5"/>
    </row>
    <row r="634" ht="30.0" customHeight="1">
      <c r="AH634" s="5"/>
    </row>
    <row r="635" ht="30.0" customHeight="1">
      <c r="AH635" s="5"/>
    </row>
    <row r="636" ht="30.0" customHeight="1">
      <c r="AH636" s="5"/>
    </row>
    <row r="637" ht="30.0" customHeight="1">
      <c r="AH637" s="5"/>
    </row>
    <row r="638" ht="30.0" customHeight="1">
      <c r="AH638" s="5"/>
    </row>
    <row r="639" ht="30.0" customHeight="1">
      <c r="AH639" s="5"/>
    </row>
    <row r="640" ht="30.0" customHeight="1">
      <c r="AH640" s="5"/>
    </row>
    <row r="641" ht="30.0" customHeight="1">
      <c r="AH641" s="5"/>
    </row>
    <row r="642" ht="30.0" customHeight="1">
      <c r="AH642" s="5"/>
    </row>
    <row r="643" ht="30.0" customHeight="1">
      <c r="AH643" s="5"/>
    </row>
    <row r="644" ht="30.0" customHeight="1">
      <c r="AH644" s="5"/>
    </row>
    <row r="645" ht="30.0" customHeight="1">
      <c r="AH645" s="5"/>
    </row>
    <row r="646" ht="30.0" customHeight="1">
      <c r="AH646" s="5"/>
    </row>
    <row r="647" ht="30.0" customHeight="1">
      <c r="AH647" s="5"/>
    </row>
    <row r="648" ht="30.0" customHeight="1">
      <c r="AH648" s="5"/>
    </row>
    <row r="649" ht="30.0" customHeight="1">
      <c r="AH649" s="5"/>
    </row>
    <row r="650" ht="30.0" customHeight="1">
      <c r="AH650" s="5"/>
    </row>
    <row r="651" ht="30.0" customHeight="1">
      <c r="AH651" s="5"/>
    </row>
    <row r="652" ht="30.0" customHeight="1">
      <c r="AH652" s="5"/>
    </row>
    <row r="653" ht="30.0" customHeight="1">
      <c r="AH653" s="5"/>
    </row>
    <row r="654" ht="30.0" customHeight="1">
      <c r="AH654" s="5"/>
    </row>
    <row r="655" ht="30.0" customHeight="1">
      <c r="AH655" s="5"/>
    </row>
    <row r="656" ht="30.0" customHeight="1">
      <c r="AH656" s="5"/>
    </row>
    <row r="657" ht="30.0" customHeight="1">
      <c r="AH657" s="5"/>
    </row>
    <row r="658" ht="30.0" customHeight="1">
      <c r="AH658" s="5"/>
    </row>
    <row r="659" ht="30.0" customHeight="1">
      <c r="AH659" s="5"/>
    </row>
    <row r="660" ht="30.0" customHeight="1">
      <c r="AH660" s="5"/>
    </row>
    <row r="661" ht="30.0" customHeight="1">
      <c r="AH661" s="5"/>
    </row>
    <row r="662" ht="30.0" customHeight="1">
      <c r="AH662" s="5"/>
    </row>
    <row r="663" ht="30.0" customHeight="1">
      <c r="AH663" s="5"/>
    </row>
    <row r="664" ht="30.0" customHeight="1">
      <c r="AH664" s="5"/>
    </row>
    <row r="665" ht="30.0" customHeight="1">
      <c r="AH665" s="5"/>
    </row>
    <row r="666" ht="30.0" customHeight="1">
      <c r="AH666" s="5"/>
    </row>
    <row r="667" ht="30.0" customHeight="1">
      <c r="AH667" s="5"/>
    </row>
    <row r="668" ht="30.0" customHeight="1">
      <c r="AH668" s="5"/>
    </row>
    <row r="669" ht="30.0" customHeight="1">
      <c r="AH669" s="5"/>
    </row>
    <row r="670" ht="30.0" customHeight="1">
      <c r="AH670" s="5"/>
    </row>
    <row r="671" ht="30.0" customHeight="1">
      <c r="AH671" s="5"/>
    </row>
    <row r="672" ht="30.0" customHeight="1">
      <c r="AH672" s="5"/>
    </row>
    <row r="673" ht="30.0" customHeight="1">
      <c r="AH673" s="5"/>
    </row>
    <row r="674" ht="30.0" customHeight="1">
      <c r="AH674" s="5"/>
    </row>
    <row r="675" ht="30.0" customHeight="1">
      <c r="AH675" s="5"/>
    </row>
    <row r="676" ht="30.0" customHeight="1">
      <c r="AH676" s="5"/>
    </row>
    <row r="677" ht="30.0" customHeight="1">
      <c r="AH677" s="5"/>
    </row>
    <row r="678" ht="30.0" customHeight="1">
      <c r="AH678" s="5"/>
    </row>
    <row r="679" ht="30.0" customHeight="1">
      <c r="AH679" s="5"/>
    </row>
    <row r="680" ht="30.0" customHeight="1">
      <c r="AH680" s="5"/>
    </row>
    <row r="681" ht="30.0" customHeight="1">
      <c r="AH681" s="5"/>
    </row>
    <row r="682" ht="30.0" customHeight="1">
      <c r="AH682" s="5"/>
    </row>
    <row r="683" ht="30.0" customHeight="1">
      <c r="AH683" s="5"/>
    </row>
    <row r="684" ht="30.0" customHeight="1">
      <c r="AH684" s="5"/>
    </row>
    <row r="685" ht="30.0" customHeight="1">
      <c r="AH685" s="5"/>
    </row>
    <row r="686" ht="30.0" customHeight="1">
      <c r="AH686" s="5"/>
    </row>
    <row r="687" ht="30.0" customHeight="1">
      <c r="AH687" s="5"/>
    </row>
    <row r="688" ht="30.0" customHeight="1">
      <c r="AH688" s="5"/>
    </row>
    <row r="689" ht="30.0" customHeight="1">
      <c r="AH689" s="5"/>
    </row>
    <row r="690" ht="30.0" customHeight="1">
      <c r="AH690" s="5"/>
    </row>
    <row r="691" ht="30.0" customHeight="1">
      <c r="AH691" s="5"/>
    </row>
    <row r="692" ht="30.0" customHeight="1">
      <c r="AH692" s="5"/>
    </row>
    <row r="693" ht="30.0" customHeight="1">
      <c r="AH693" s="5"/>
    </row>
    <row r="694" ht="30.0" customHeight="1">
      <c r="AH694" s="5"/>
    </row>
    <row r="695" ht="30.0" customHeight="1">
      <c r="AH695" s="5"/>
    </row>
    <row r="696" ht="30.0" customHeight="1">
      <c r="AH696" s="5"/>
    </row>
    <row r="697" ht="30.0" customHeight="1">
      <c r="AH697" s="5"/>
    </row>
    <row r="698" ht="30.0" customHeight="1">
      <c r="AH698" s="5"/>
    </row>
    <row r="699" ht="30.0" customHeight="1">
      <c r="AH699" s="5"/>
    </row>
    <row r="700" ht="30.0" customHeight="1">
      <c r="AH700" s="5"/>
    </row>
    <row r="701" ht="30.0" customHeight="1">
      <c r="AH701" s="5"/>
    </row>
    <row r="702" ht="30.0" customHeight="1">
      <c r="AH702" s="5"/>
    </row>
    <row r="703" ht="30.0" customHeight="1">
      <c r="AH703" s="5"/>
    </row>
    <row r="704" ht="30.0" customHeight="1">
      <c r="AH704" s="5"/>
    </row>
    <row r="705" ht="30.0" customHeight="1">
      <c r="AH705" s="5"/>
    </row>
    <row r="706" ht="30.0" customHeight="1">
      <c r="AH706" s="5"/>
    </row>
    <row r="707" ht="30.0" customHeight="1">
      <c r="AH707" s="5"/>
    </row>
    <row r="708" ht="30.0" customHeight="1">
      <c r="AH708" s="5"/>
    </row>
    <row r="709" ht="30.0" customHeight="1">
      <c r="AH709" s="5"/>
    </row>
    <row r="710" ht="30.0" customHeight="1">
      <c r="AH710" s="5"/>
    </row>
    <row r="711" ht="30.0" customHeight="1">
      <c r="AH711" s="5"/>
    </row>
    <row r="712" ht="30.0" customHeight="1">
      <c r="AH712" s="5"/>
    </row>
    <row r="713" ht="30.0" customHeight="1">
      <c r="AH713" s="5"/>
    </row>
    <row r="714" ht="30.0" customHeight="1">
      <c r="AH714" s="5"/>
    </row>
    <row r="715" ht="30.0" customHeight="1">
      <c r="AH715" s="5"/>
    </row>
    <row r="716" ht="30.0" customHeight="1">
      <c r="AH716" s="5"/>
    </row>
    <row r="717" ht="30.0" customHeight="1">
      <c r="AH717" s="5"/>
    </row>
    <row r="718" ht="30.0" customHeight="1">
      <c r="AH718" s="5"/>
    </row>
    <row r="719" ht="30.0" customHeight="1">
      <c r="AH719" s="5"/>
    </row>
    <row r="720" ht="30.0" customHeight="1">
      <c r="AH720" s="5"/>
    </row>
    <row r="721" ht="30.0" customHeight="1">
      <c r="AH721" s="5"/>
    </row>
    <row r="722" ht="30.0" customHeight="1">
      <c r="AH722" s="5"/>
    </row>
    <row r="723" ht="30.0" customHeight="1">
      <c r="AH723" s="5"/>
    </row>
    <row r="724" ht="30.0" customHeight="1">
      <c r="AH724" s="5"/>
    </row>
    <row r="725" ht="30.0" customHeight="1">
      <c r="AH725" s="5"/>
    </row>
    <row r="726" ht="30.0" customHeight="1">
      <c r="AH726" s="5"/>
    </row>
    <row r="727" ht="30.0" customHeight="1">
      <c r="AH727" s="5"/>
    </row>
    <row r="728" ht="30.0" customHeight="1">
      <c r="AH728" s="5"/>
    </row>
    <row r="729" ht="30.0" customHeight="1">
      <c r="AH729" s="5"/>
    </row>
    <row r="730" ht="30.0" customHeight="1">
      <c r="AH730" s="5"/>
    </row>
    <row r="731" ht="30.0" customHeight="1">
      <c r="AH731" s="5"/>
    </row>
    <row r="732" ht="30.0" customHeight="1">
      <c r="AH732" s="5"/>
    </row>
    <row r="733" ht="30.0" customHeight="1">
      <c r="AH733" s="5"/>
    </row>
    <row r="734" ht="30.0" customHeight="1">
      <c r="AH734" s="5"/>
    </row>
    <row r="735" ht="30.0" customHeight="1">
      <c r="AH735" s="5"/>
    </row>
    <row r="736" ht="30.0" customHeight="1">
      <c r="AH736" s="5"/>
    </row>
    <row r="737" ht="30.0" customHeight="1">
      <c r="AH737" s="5"/>
    </row>
    <row r="738" ht="30.0" customHeight="1">
      <c r="AH738" s="5"/>
    </row>
    <row r="739" ht="30.0" customHeight="1">
      <c r="AH739" s="5"/>
    </row>
    <row r="740" ht="30.0" customHeight="1">
      <c r="AH740" s="5"/>
    </row>
    <row r="741" ht="30.0" customHeight="1">
      <c r="AH741" s="5"/>
    </row>
    <row r="742" ht="30.0" customHeight="1">
      <c r="AH742" s="5"/>
    </row>
    <row r="743" ht="30.0" customHeight="1">
      <c r="AH743" s="5"/>
    </row>
    <row r="744" ht="30.0" customHeight="1">
      <c r="AH744" s="5"/>
    </row>
    <row r="745" ht="30.0" customHeight="1">
      <c r="AH745" s="5"/>
    </row>
    <row r="746" ht="30.0" customHeight="1">
      <c r="AH746" s="5"/>
    </row>
    <row r="747" ht="30.0" customHeight="1">
      <c r="AH747" s="5"/>
    </row>
    <row r="748" ht="30.0" customHeight="1">
      <c r="AH748" s="5"/>
    </row>
    <row r="749" ht="30.0" customHeight="1">
      <c r="AH749" s="5"/>
    </row>
    <row r="750" ht="30.0" customHeight="1">
      <c r="AH750" s="5"/>
    </row>
    <row r="751" ht="30.0" customHeight="1">
      <c r="AH751" s="5"/>
    </row>
    <row r="752" ht="30.0" customHeight="1">
      <c r="AH752" s="5"/>
    </row>
    <row r="753" ht="30.0" customHeight="1">
      <c r="AH753" s="5"/>
    </row>
    <row r="754" ht="30.0" customHeight="1">
      <c r="AH754" s="5"/>
    </row>
    <row r="755" ht="30.0" customHeight="1">
      <c r="AH755" s="5"/>
    </row>
    <row r="756" ht="30.0" customHeight="1">
      <c r="AH756" s="5"/>
    </row>
    <row r="757" ht="30.0" customHeight="1">
      <c r="AH757" s="5"/>
    </row>
    <row r="758" ht="30.0" customHeight="1">
      <c r="AH758" s="5"/>
    </row>
    <row r="759" ht="30.0" customHeight="1">
      <c r="AH759" s="5"/>
    </row>
    <row r="760" ht="30.0" customHeight="1">
      <c r="AH760" s="5"/>
    </row>
    <row r="761" ht="30.0" customHeight="1">
      <c r="AH761" s="5"/>
    </row>
    <row r="762" ht="30.0" customHeight="1">
      <c r="AH762" s="5"/>
    </row>
    <row r="763" ht="30.0" customHeight="1">
      <c r="AH763" s="5"/>
    </row>
    <row r="764" ht="30.0" customHeight="1">
      <c r="AH764" s="5"/>
    </row>
    <row r="765" ht="30.0" customHeight="1">
      <c r="AH765" s="5"/>
    </row>
    <row r="766" ht="30.0" customHeight="1">
      <c r="AH766" s="5"/>
    </row>
    <row r="767" ht="30.0" customHeight="1">
      <c r="AH767" s="5"/>
    </row>
    <row r="768" ht="30.0" customHeight="1">
      <c r="AH768" s="5"/>
    </row>
    <row r="769" ht="30.0" customHeight="1">
      <c r="AH769" s="5"/>
    </row>
    <row r="770" ht="30.0" customHeight="1">
      <c r="AH770" s="5"/>
    </row>
    <row r="771" ht="30.0" customHeight="1">
      <c r="AH771" s="5"/>
    </row>
    <row r="772" ht="30.0" customHeight="1">
      <c r="AH772" s="5"/>
    </row>
    <row r="773" ht="30.0" customHeight="1">
      <c r="AH773" s="5"/>
    </row>
    <row r="774" ht="30.0" customHeight="1">
      <c r="AH774" s="5"/>
    </row>
    <row r="775" ht="30.0" customHeight="1">
      <c r="AH775" s="5"/>
    </row>
    <row r="776" ht="30.0" customHeight="1">
      <c r="AH776" s="5"/>
    </row>
    <row r="777" ht="30.0" customHeight="1">
      <c r="AH777" s="5"/>
    </row>
    <row r="778" ht="30.0" customHeight="1">
      <c r="AH778" s="5"/>
    </row>
    <row r="779" ht="30.0" customHeight="1">
      <c r="AH779" s="5"/>
    </row>
    <row r="780" ht="30.0" customHeight="1">
      <c r="AH780" s="5"/>
    </row>
    <row r="781" ht="30.0" customHeight="1">
      <c r="AH781" s="5"/>
    </row>
    <row r="782" ht="30.0" customHeight="1">
      <c r="AH782" s="5"/>
    </row>
    <row r="783" ht="30.0" customHeight="1">
      <c r="AH783" s="5"/>
    </row>
    <row r="784" ht="30.0" customHeight="1">
      <c r="AH784" s="5"/>
    </row>
    <row r="785" ht="30.0" customHeight="1">
      <c r="AH785" s="5"/>
    </row>
    <row r="786" ht="30.0" customHeight="1">
      <c r="AH786" s="5"/>
    </row>
    <row r="787" ht="30.0" customHeight="1">
      <c r="AH787" s="5"/>
    </row>
    <row r="788" ht="30.0" customHeight="1">
      <c r="AH788" s="5"/>
    </row>
    <row r="789" ht="30.0" customHeight="1">
      <c r="AH789" s="5"/>
    </row>
    <row r="790" ht="30.0" customHeight="1">
      <c r="AH790" s="5"/>
    </row>
    <row r="791" ht="30.0" customHeight="1">
      <c r="AH791" s="5"/>
    </row>
    <row r="792" ht="30.0" customHeight="1">
      <c r="AH792" s="5"/>
    </row>
    <row r="793" ht="30.0" customHeight="1">
      <c r="AH793" s="5"/>
    </row>
    <row r="794" ht="30.0" customHeight="1">
      <c r="AH794" s="5"/>
    </row>
    <row r="795" ht="30.0" customHeight="1">
      <c r="AH795" s="5"/>
    </row>
    <row r="796" ht="30.0" customHeight="1">
      <c r="AH796" s="5"/>
    </row>
    <row r="797" ht="30.0" customHeight="1">
      <c r="AH797" s="5"/>
    </row>
    <row r="798" ht="30.0" customHeight="1">
      <c r="AH798" s="5"/>
    </row>
    <row r="799" ht="30.0" customHeight="1">
      <c r="AH799" s="5"/>
    </row>
    <row r="800" ht="30.0" customHeight="1">
      <c r="AH800" s="5"/>
    </row>
    <row r="801" ht="30.0" customHeight="1">
      <c r="AH801" s="5"/>
    </row>
    <row r="802" ht="30.0" customHeight="1">
      <c r="AH802" s="5"/>
    </row>
    <row r="803" ht="30.0" customHeight="1">
      <c r="AH803" s="5"/>
    </row>
    <row r="804" ht="30.0" customHeight="1">
      <c r="AH804" s="5"/>
    </row>
    <row r="805" ht="30.0" customHeight="1">
      <c r="AH805" s="5"/>
    </row>
    <row r="806" ht="30.0" customHeight="1">
      <c r="AH806" s="5"/>
    </row>
    <row r="807" ht="30.0" customHeight="1">
      <c r="AH807" s="5"/>
    </row>
    <row r="808" ht="30.0" customHeight="1">
      <c r="AH808" s="5"/>
    </row>
    <row r="809" ht="30.0" customHeight="1">
      <c r="AH809" s="5"/>
    </row>
    <row r="810" ht="30.0" customHeight="1">
      <c r="AH810" s="5"/>
    </row>
    <row r="811" ht="30.0" customHeight="1">
      <c r="AH811" s="5"/>
    </row>
    <row r="812" ht="30.0" customHeight="1">
      <c r="AH812" s="5"/>
    </row>
    <row r="813" ht="30.0" customHeight="1">
      <c r="AH813" s="5"/>
    </row>
    <row r="814" ht="30.0" customHeight="1">
      <c r="AH814" s="5"/>
    </row>
    <row r="815" ht="30.0" customHeight="1">
      <c r="AH815" s="5"/>
    </row>
    <row r="816" ht="30.0" customHeight="1">
      <c r="AH816" s="5"/>
    </row>
    <row r="817" ht="30.0" customHeight="1">
      <c r="AH817" s="5"/>
    </row>
    <row r="818" ht="30.0" customHeight="1">
      <c r="AH818" s="5"/>
    </row>
    <row r="819" ht="30.0" customHeight="1">
      <c r="AH819" s="5"/>
    </row>
    <row r="820" ht="30.0" customHeight="1">
      <c r="AH820" s="5"/>
    </row>
    <row r="821" ht="30.0" customHeight="1">
      <c r="AH821" s="5"/>
    </row>
    <row r="822" ht="30.0" customHeight="1">
      <c r="AH822" s="5"/>
    </row>
    <row r="823" ht="30.0" customHeight="1">
      <c r="AH823" s="5"/>
    </row>
    <row r="824" ht="30.0" customHeight="1">
      <c r="AH824" s="5"/>
    </row>
    <row r="825" ht="30.0" customHeight="1">
      <c r="AH825" s="5"/>
    </row>
    <row r="826" ht="30.0" customHeight="1">
      <c r="AH826" s="5"/>
    </row>
    <row r="827" ht="30.0" customHeight="1">
      <c r="AH827" s="5"/>
    </row>
    <row r="828" ht="30.0" customHeight="1">
      <c r="AH828" s="5"/>
    </row>
    <row r="829" ht="30.0" customHeight="1">
      <c r="AH829" s="5"/>
    </row>
    <row r="830" ht="30.0" customHeight="1">
      <c r="AH830" s="5"/>
    </row>
    <row r="831" ht="30.0" customHeight="1">
      <c r="AH831" s="5"/>
    </row>
    <row r="832" ht="30.0" customHeight="1">
      <c r="AH832" s="5"/>
    </row>
    <row r="833" ht="30.0" customHeight="1">
      <c r="AH833" s="5"/>
    </row>
    <row r="834" ht="30.0" customHeight="1">
      <c r="AH834" s="5"/>
    </row>
    <row r="835" ht="30.0" customHeight="1">
      <c r="AH835" s="5"/>
    </row>
    <row r="836" ht="30.0" customHeight="1">
      <c r="AH836" s="5"/>
    </row>
    <row r="837" ht="30.0" customHeight="1">
      <c r="AH837" s="5"/>
    </row>
    <row r="838" ht="30.0" customHeight="1">
      <c r="AH838" s="5"/>
    </row>
    <row r="839" ht="30.0" customHeight="1">
      <c r="AH839" s="5"/>
    </row>
    <row r="840" ht="30.0" customHeight="1">
      <c r="AH840" s="5"/>
    </row>
    <row r="841" ht="30.0" customHeight="1">
      <c r="AH841" s="5"/>
    </row>
    <row r="842" ht="30.0" customHeight="1">
      <c r="AH842" s="5"/>
    </row>
    <row r="843" ht="30.0" customHeight="1">
      <c r="AH843" s="5"/>
    </row>
    <row r="844" ht="30.0" customHeight="1">
      <c r="AH844" s="5"/>
    </row>
    <row r="845" ht="30.0" customHeight="1">
      <c r="AH845" s="5"/>
    </row>
    <row r="846" ht="30.0" customHeight="1">
      <c r="AH846" s="5"/>
    </row>
    <row r="847" ht="30.0" customHeight="1">
      <c r="AH847" s="5"/>
    </row>
    <row r="848" ht="30.0" customHeight="1">
      <c r="AH848" s="5"/>
    </row>
    <row r="849" ht="30.0" customHeight="1">
      <c r="AH849" s="5"/>
    </row>
    <row r="850" ht="30.0" customHeight="1">
      <c r="AH850" s="5"/>
    </row>
    <row r="851" ht="30.0" customHeight="1">
      <c r="AH851" s="5"/>
    </row>
    <row r="852" ht="30.0" customHeight="1">
      <c r="AH852" s="5"/>
    </row>
    <row r="853" ht="30.0" customHeight="1">
      <c r="AH853" s="5"/>
    </row>
    <row r="854" ht="30.0" customHeight="1">
      <c r="AH854" s="5"/>
    </row>
    <row r="855" ht="30.0" customHeight="1">
      <c r="AH855" s="5"/>
    </row>
    <row r="856" ht="30.0" customHeight="1">
      <c r="AH856" s="5"/>
    </row>
    <row r="857" ht="30.0" customHeight="1">
      <c r="AH857" s="5"/>
    </row>
    <row r="858" ht="30.0" customHeight="1">
      <c r="AH858" s="5"/>
    </row>
    <row r="859" ht="30.0" customHeight="1">
      <c r="AH859" s="5"/>
    </row>
    <row r="860" ht="30.0" customHeight="1">
      <c r="AH860" s="5"/>
    </row>
    <row r="861" ht="30.0" customHeight="1">
      <c r="AH861" s="5"/>
    </row>
    <row r="862" ht="30.0" customHeight="1">
      <c r="AH862" s="5"/>
    </row>
    <row r="863" ht="30.0" customHeight="1">
      <c r="AH863" s="5"/>
    </row>
    <row r="864" ht="30.0" customHeight="1">
      <c r="AH864" s="5"/>
    </row>
    <row r="865" ht="30.0" customHeight="1">
      <c r="AH865" s="5"/>
    </row>
    <row r="866" ht="30.0" customHeight="1">
      <c r="AH866" s="5"/>
    </row>
    <row r="867" ht="30.0" customHeight="1">
      <c r="AH867" s="5"/>
    </row>
    <row r="868" ht="30.0" customHeight="1">
      <c r="AH868" s="5"/>
    </row>
    <row r="869" ht="30.0" customHeight="1">
      <c r="AH869" s="5"/>
    </row>
    <row r="870" ht="30.0" customHeight="1">
      <c r="AH870" s="5"/>
    </row>
    <row r="871" ht="30.0" customHeight="1">
      <c r="AH871" s="5"/>
    </row>
    <row r="872" ht="30.0" customHeight="1">
      <c r="AH872" s="5"/>
    </row>
    <row r="873" ht="30.0" customHeight="1">
      <c r="AH873" s="5"/>
    </row>
    <row r="874" ht="30.0" customHeight="1">
      <c r="AH874" s="5"/>
    </row>
    <row r="875" ht="30.0" customHeight="1">
      <c r="AH875" s="5"/>
    </row>
    <row r="876" ht="30.0" customHeight="1">
      <c r="AH876" s="5"/>
    </row>
    <row r="877" ht="30.0" customHeight="1">
      <c r="AH877" s="5"/>
    </row>
    <row r="878" ht="30.0" customHeight="1">
      <c r="AH878" s="5"/>
    </row>
    <row r="879" ht="30.0" customHeight="1">
      <c r="AH879" s="5"/>
    </row>
    <row r="880" ht="30.0" customHeight="1">
      <c r="AH880" s="5"/>
    </row>
    <row r="881" ht="30.0" customHeight="1">
      <c r="AH881" s="5"/>
    </row>
    <row r="882" ht="30.0" customHeight="1">
      <c r="AH882" s="5"/>
    </row>
    <row r="883" ht="30.0" customHeight="1">
      <c r="AH883" s="5"/>
    </row>
    <row r="884" ht="30.0" customHeight="1">
      <c r="AH884" s="5"/>
    </row>
    <row r="885" ht="30.0" customHeight="1">
      <c r="AH885" s="5"/>
    </row>
    <row r="886" ht="30.0" customHeight="1">
      <c r="AH886" s="5"/>
    </row>
    <row r="887" ht="30.0" customHeight="1">
      <c r="AH887" s="5"/>
    </row>
    <row r="888" ht="30.0" customHeight="1">
      <c r="AH888" s="5"/>
    </row>
    <row r="889" ht="30.0" customHeight="1">
      <c r="AH889" s="5"/>
    </row>
    <row r="890" ht="30.0" customHeight="1">
      <c r="AH890" s="5"/>
    </row>
    <row r="891" ht="30.0" customHeight="1">
      <c r="AH891" s="5"/>
    </row>
    <row r="892" ht="30.0" customHeight="1">
      <c r="AH892" s="5"/>
    </row>
    <row r="893" ht="30.0" customHeight="1">
      <c r="AH893" s="5"/>
    </row>
    <row r="894" ht="30.0" customHeight="1">
      <c r="AH894" s="5"/>
    </row>
    <row r="895" ht="30.0" customHeight="1">
      <c r="AH895" s="5"/>
    </row>
    <row r="896" ht="30.0" customHeight="1">
      <c r="AH896" s="5"/>
    </row>
    <row r="897" ht="30.0" customHeight="1">
      <c r="AH897" s="5"/>
    </row>
    <row r="898" ht="30.0" customHeight="1">
      <c r="AH898" s="5"/>
    </row>
    <row r="899" ht="30.0" customHeight="1">
      <c r="AH899" s="5"/>
    </row>
    <row r="900" ht="30.0" customHeight="1">
      <c r="AH900" s="5"/>
    </row>
    <row r="901" ht="30.0" customHeight="1">
      <c r="AH901" s="5"/>
    </row>
    <row r="902" ht="30.0" customHeight="1">
      <c r="AH902" s="5"/>
    </row>
    <row r="903" ht="30.0" customHeight="1">
      <c r="AH903" s="5"/>
    </row>
    <row r="904" ht="30.0" customHeight="1">
      <c r="AH904" s="5"/>
    </row>
    <row r="905" ht="30.0" customHeight="1">
      <c r="AH905" s="5"/>
    </row>
    <row r="906" ht="30.0" customHeight="1">
      <c r="AH906" s="5"/>
    </row>
    <row r="907" ht="30.0" customHeight="1">
      <c r="AH907" s="5"/>
    </row>
    <row r="908" ht="30.0" customHeight="1">
      <c r="AH908" s="5"/>
    </row>
    <row r="909" ht="30.0" customHeight="1">
      <c r="AH909" s="5"/>
    </row>
    <row r="910" ht="30.0" customHeight="1">
      <c r="AH910" s="5"/>
    </row>
    <row r="911" ht="30.0" customHeight="1">
      <c r="AH911" s="5"/>
    </row>
    <row r="912" ht="30.0" customHeight="1">
      <c r="AH912" s="5"/>
    </row>
    <row r="913" ht="30.0" customHeight="1">
      <c r="AH913" s="5"/>
    </row>
    <row r="914" ht="30.0" customHeight="1">
      <c r="AH914" s="5"/>
    </row>
    <row r="915" ht="30.0" customHeight="1">
      <c r="AH915" s="5"/>
    </row>
    <row r="916" ht="30.0" customHeight="1">
      <c r="AH916" s="5"/>
    </row>
    <row r="917" ht="30.0" customHeight="1">
      <c r="AH917" s="5"/>
    </row>
    <row r="918" ht="30.0" customHeight="1">
      <c r="AH918" s="5"/>
    </row>
    <row r="919" ht="30.0" customHeight="1">
      <c r="AH919" s="5"/>
    </row>
    <row r="920" ht="30.0" customHeight="1">
      <c r="AH920" s="5"/>
    </row>
    <row r="921" ht="30.0" customHeight="1">
      <c r="AH921" s="5"/>
    </row>
    <row r="922" ht="30.0" customHeight="1">
      <c r="AH922" s="5"/>
    </row>
    <row r="923" ht="30.0" customHeight="1">
      <c r="AH923" s="5"/>
    </row>
    <row r="924" ht="30.0" customHeight="1">
      <c r="AH924" s="5"/>
    </row>
    <row r="925" ht="30.0" customHeight="1">
      <c r="AH925" s="5"/>
    </row>
    <row r="926" ht="30.0" customHeight="1">
      <c r="AH926" s="5"/>
    </row>
    <row r="927" ht="30.0" customHeight="1">
      <c r="AH927" s="5"/>
    </row>
    <row r="928" ht="30.0" customHeight="1">
      <c r="AH928" s="5"/>
    </row>
    <row r="929" ht="30.0" customHeight="1">
      <c r="AH929" s="5"/>
    </row>
    <row r="930" ht="30.0" customHeight="1">
      <c r="AH930" s="5"/>
    </row>
    <row r="931" ht="30.0" customHeight="1">
      <c r="AH931" s="5"/>
    </row>
    <row r="932" ht="30.0" customHeight="1">
      <c r="AH932" s="5"/>
    </row>
    <row r="933" ht="30.0" customHeight="1">
      <c r="AH933" s="5"/>
    </row>
    <row r="934" ht="30.0" customHeight="1">
      <c r="AH934" s="5"/>
    </row>
    <row r="935" ht="30.0" customHeight="1">
      <c r="AH935" s="5"/>
    </row>
    <row r="936" ht="30.0" customHeight="1">
      <c r="AH936" s="5"/>
    </row>
    <row r="937" ht="30.0" customHeight="1">
      <c r="AH937" s="5"/>
    </row>
    <row r="938" ht="30.0" customHeight="1">
      <c r="AH938" s="5"/>
    </row>
    <row r="939" ht="30.0" customHeight="1">
      <c r="AH939" s="5"/>
    </row>
    <row r="940" ht="30.0" customHeight="1">
      <c r="AH940" s="5"/>
    </row>
    <row r="941" ht="30.0" customHeight="1">
      <c r="AH941" s="5"/>
    </row>
    <row r="942" ht="30.0" customHeight="1">
      <c r="AH942" s="5"/>
    </row>
    <row r="943" ht="30.0" customHeight="1">
      <c r="AH943" s="5"/>
    </row>
    <row r="944" ht="30.0" customHeight="1">
      <c r="AH944" s="5"/>
    </row>
    <row r="945" ht="30.0" customHeight="1">
      <c r="AH945" s="5"/>
    </row>
    <row r="946" ht="30.0" customHeight="1">
      <c r="AH946" s="5"/>
    </row>
    <row r="947" ht="30.0" customHeight="1">
      <c r="AH947" s="5"/>
    </row>
    <row r="948" ht="30.0" customHeight="1">
      <c r="AH948" s="5"/>
    </row>
    <row r="949" ht="30.0" customHeight="1">
      <c r="AH949" s="5"/>
    </row>
    <row r="950" ht="30.0" customHeight="1">
      <c r="AH950" s="5"/>
    </row>
    <row r="951" ht="30.0" customHeight="1">
      <c r="AH951" s="5"/>
    </row>
    <row r="952" ht="30.0" customHeight="1">
      <c r="AH952" s="5"/>
    </row>
    <row r="953" ht="30.0" customHeight="1">
      <c r="AH953" s="5"/>
    </row>
    <row r="954" ht="30.0" customHeight="1">
      <c r="AH954" s="5"/>
    </row>
    <row r="955" ht="30.0" customHeight="1">
      <c r="AH955" s="5"/>
    </row>
    <row r="956" ht="30.0" customHeight="1">
      <c r="AH956" s="5"/>
    </row>
    <row r="957" ht="30.0" customHeight="1">
      <c r="AH957" s="5"/>
    </row>
    <row r="958" ht="30.0" customHeight="1">
      <c r="AH958" s="5"/>
    </row>
    <row r="959" ht="30.0" customHeight="1">
      <c r="AH959" s="5"/>
    </row>
    <row r="960" ht="30.0" customHeight="1">
      <c r="AH960" s="5"/>
    </row>
    <row r="961" ht="30.0" customHeight="1">
      <c r="AH961" s="5"/>
    </row>
    <row r="962" ht="30.0" customHeight="1">
      <c r="AH962" s="5"/>
    </row>
    <row r="963" ht="30.0" customHeight="1">
      <c r="AH963" s="5"/>
    </row>
    <row r="964" ht="30.0" customHeight="1">
      <c r="AH964" s="5"/>
    </row>
    <row r="965" ht="30.0" customHeight="1">
      <c r="AH965" s="5"/>
    </row>
    <row r="966" ht="30.0" customHeight="1">
      <c r="AH966" s="5"/>
    </row>
    <row r="967" ht="30.0" customHeight="1">
      <c r="AH967" s="5"/>
    </row>
    <row r="968" ht="30.0" customHeight="1">
      <c r="AH968" s="5"/>
    </row>
    <row r="969" ht="30.0" customHeight="1">
      <c r="AH969" s="5"/>
    </row>
    <row r="970" ht="30.0" customHeight="1">
      <c r="AH970" s="5"/>
    </row>
    <row r="971" ht="30.0" customHeight="1">
      <c r="AH971" s="5"/>
    </row>
    <row r="972" ht="30.0" customHeight="1">
      <c r="AH972" s="5"/>
    </row>
    <row r="973" ht="30.0" customHeight="1">
      <c r="AH973" s="5"/>
    </row>
    <row r="974" ht="30.0" customHeight="1">
      <c r="AH974" s="5"/>
    </row>
    <row r="975" ht="30.0" customHeight="1">
      <c r="AH975" s="5"/>
    </row>
    <row r="976" ht="30.0" customHeight="1">
      <c r="AH976" s="5"/>
    </row>
    <row r="977" ht="30.0" customHeight="1">
      <c r="AH977" s="5"/>
    </row>
    <row r="978" ht="30.0" customHeight="1">
      <c r="AH978" s="5"/>
    </row>
    <row r="979" ht="30.0" customHeight="1">
      <c r="AH979" s="5"/>
    </row>
    <row r="980" ht="30.0" customHeight="1">
      <c r="AH980" s="5"/>
    </row>
    <row r="981" ht="30.0" customHeight="1">
      <c r="AH981" s="5"/>
    </row>
    <row r="982" ht="30.0" customHeight="1">
      <c r="AH982" s="5"/>
    </row>
    <row r="983" ht="30.0" customHeight="1">
      <c r="AH983" s="5"/>
    </row>
    <row r="984" ht="30.0" customHeight="1">
      <c r="AH984" s="5"/>
    </row>
    <row r="985" ht="30.0" customHeight="1">
      <c r="AH985" s="5"/>
    </row>
    <row r="986" ht="30.0" customHeight="1">
      <c r="AH986" s="5"/>
    </row>
    <row r="987" ht="30.0" customHeight="1">
      <c r="AH987" s="5"/>
    </row>
    <row r="988" ht="30.0" customHeight="1">
      <c r="AH988" s="5"/>
    </row>
    <row r="989" ht="30.0" customHeight="1">
      <c r="AH989" s="5"/>
    </row>
    <row r="990" ht="30.0" customHeight="1">
      <c r="AH990" s="5"/>
    </row>
    <row r="991" ht="30.0" customHeight="1">
      <c r="AH991" s="5"/>
    </row>
    <row r="992" ht="30.0" customHeight="1">
      <c r="AH992" s="5"/>
    </row>
    <row r="993" ht="30.0" customHeight="1">
      <c r="AH993" s="5"/>
    </row>
    <row r="994" ht="30.0" customHeight="1">
      <c r="AH994" s="5"/>
    </row>
    <row r="995" ht="30.0" customHeight="1">
      <c r="AH995" s="5"/>
    </row>
    <row r="996" ht="30.0" customHeight="1">
      <c r="AH996" s="5"/>
    </row>
    <row r="997" ht="30.0" customHeight="1">
      <c r="AH997" s="5"/>
    </row>
    <row r="998" ht="30.0" customHeight="1">
      <c r="AH998" s="5"/>
    </row>
    <row r="999" ht="30.0" customHeight="1">
      <c r="AH999" s="5"/>
    </row>
    <row r="1000" ht="30.0" customHeight="1">
      <c r="AH1000" s="5"/>
    </row>
    <row r="1001" ht="30.0" customHeight="1">
      <c r="AH1001" s="5"/>
    </row>
    <row r="1002" ht="30.0" customHeight="1">
      <c r="AH1002" s="5"/>
    </row>
    <row r="1003" ht="30.0" customHeight="1">
      <c r="AH1003" s="5"/>
    </row>
    <row r="1004" ht="30.0" customHeight="1">
      <c r="AH1004" s="5"/>
    </row>
    <row r="1005" ht="30.0" customHeight="1">
      <c r="AH1005" s="5"/>
    </row>
    <row r="1006" ht="30.0" customHeight="1">
      <c r="AH1006" s="5"/>
    </row>
    <row r="1007" ht="30.0" customHeight="1">
      <c r="AH1007" s="5"/>
    </row>
    <row r="1008" ht="30.0" customHeight="1">
      <c r="AH1008" s="5"/>
    </row>
    <row r="1009" ht="30.0" customHeight="1">
      <c r="AH1009" s="5"/>
    </row>
    <row r="1010" ht="30.0" customHeight="1">
      <c r="AH1010" s="5"/>
    </row>
    <row r="1011" ht="30.0" customHeight="1">
      <c r="AH1011" s="5"/>
    </row>
    <row r="1012" ht="30.0" customHeight="1">
      <c r="AH1012" s="5"/>
    </row>
    <row r="1013" ht="30.0" customHeight="1">
      <c r="AH1013" s="5"/>
    </row>
    <row r="1014" ht="30.0" customHeight="1">
      <c r="AH1014" s="5"/>
    </row>
    <row r="1015" ht="30.0" customHeight="1">
      <c r="AH1015" s="5"/>
    </row>
    <row r="1016" ht="30.0" customHeight="1">
      <c r="AH1016" s="5"/>
    </row>
    <row r="1017" ht="30.0" customHeight="1">
      <c r="AH1017" s="5"/>
    </row>
    <row r="1018" ht="30.0" customHeight="1">
      <c r="AH1018" s="5"/>
    </row>
    <row r="1019" ht="30.0" customHeight="1">
      <c r="AH1019" s="5"/>
    </row>
    <row r="1020" ht="30.0" customHeight="1">
      <c r="AH1020" s="5"/>
    </row>
    <row r="1021" ht="30.0" customHeight="1">
      <c r="AH1021" s="5"/>
    </row>
    <row r="1022" ht="30.0" customHeight="1">
      <c r="AH1022" s="5"/>
    </row>
    <row r="1023" ht="30.0" customHeight="1">
      <c r="AH1023" s="5"/>
    </row>
    <row r="1024" ht="30.0" customHeight="1">
      <c r="AH1024" s="5"/>
    </row>
    <row r="1025" ht="30.0" customHeight="1">
      <c r="AH1025" s="5"/>
    </row>
    <row r="1026" ht="30.0" customHeight="1">
      <c r="AH1026" s="5"/>
    </row>
    <row r="1027" ht="30.0" customHeight="1">
      <c r="AH1027" s="5"/>
    </row>
    <row r="1028" ht="30.0" customHeight="1">
      <c r="AH1028" s="5"/>
    </row>
    <row r="1029" ht="30.0" customHeight="1">
      <c r="AH1029" s="5"/>
    </row>
    <row r="1030" ht="30.0" customHeight="1">
      <c r="AH1030" s="5"/>
    </row>
    <row r="1031" ht="30.0" customHeight="1">
      <c r="AH1031" s="5"/>
    </row>
    <row r="1032" ht="30.0" customHeight="1">
      <c r="AH1032" s="5"/>
    </row>
    <row r="1033" ht="30.0" customHeight="1">
      <c r="AH1033" s="5"/>
    </row>
    <row r="1034" ht="30.0" customHeight="1">
      <c r="AH1034" s="5"/>
    </row>
    <row r="1035" ht="30.0" customHeight="1">
      <c r="AH1035" s="5"/>
    </row>
    <row r="1036" ht="30.0" customHeight="1">
      <c r="AH1036" s="5"/>
    </row>
    <row r="1037" ht="30.0" customHeight="1">
      <c r="AH1037" s="5"/>
    </row>
  </sheetData>
  <mergeCells count="16">
    <mergeCell ref="B1:X1"/>
    <mergeCell ref="D2:F2"/>
    <mergeCell ref="H2:J2"/>
    <mergeCell ref="L2:N2"/>
    <mergeCell ref="P2:S2"/>
    <mergeCell ref="U2:X2"/>
    <mergeCell ref="C4:AG4"/>
    <mergeCell ref="C179:AG179"/>
    <mergeCell ref="C189:AG189"/>
    <mergeCell ref="C10:AG10"/>
    <mergeCell ref="C37:AG37"/>
    <mergeCell ref="C64:AG64"/>
    <mergeCell ref="C97:AG97"/>
    <mergeCell ref="C123:AG123"/>
    <mergeCell ref="C149:AG149"/>
    <mergeCell ref="C166:AG166"/>
  </mergeCells>
  <conditionalFormatting sqref="C7:AG7 G13 I13 J13:J15 K13 M13 N13:N15 Q13:R13 T13 Y13 AB13:AD13 AE13:AE17 AF13 AB15 F16 O16 AC16 H17 K17:K18 N17 U17:U18 Y17:Y18 AD17:AD18 R18 T18 Z18:AA18 L19 S19 V19 AE19 N20:N33 Q20 X20:Y33 O21:O23 V21 H22 AC22 AE22 L24 Q24:R24 O25:O26 AE25 Q26:Q33 V26:V27 H27 S27 AD27 AE28 AE31 H40:I40 N40:N42 O40 R40:R41 U40:U42 AD40:AD41 G41 J41:K41 S41:S42 X41:X42 Z41:Z42 Q42 AC42 AG42 F43:G55 H43 J43 K43:K44 I44 N44:N55 R44 Y44:Y46 Z44 AD44 H45:H55 O45:O55 U45:V45 K46 AD46:AD48 J47 S47 U47:U48 R48 Y48 L50:L53 S50:S53 R52:R53 V54:V55 U56 AE56:AE59 W57 Y57 X58 AG58:AG60 K67 R67:R68 AD67:AD68 F68 G68:G71 N68:N71 Q68:Q70 T68 U68:U71 W68 AA68 J69:J71 O69:O71 S69:S70 V69:V71 X69:X71 Z69:Z71 H70:H72 AG70 K71:K73 R72:R73 L73 O73:O74 J74:J75 I75:I79 S75 AE75 AG75 R77:R78 W77:W78 AD77:AD78 N78 U78 S79:S81 L80:L84 AG80:AG81 R81 S83:S84 AE83 AG83 W84 AD84 H85 N85:N86 V85 AE85:AE87 S86 U86 W86 AD86 O87:O88 W89:X89 AD89 V91:W91 U92 X92 AG92 AE93 AD94 AG94 H100:H101 I100:I102 N100 O100:O101 W100:W103 AD100:AD103 Z101 N102 R102 K103 O103 Y103 AE103 N104:N105 S104 K105 V105 Y105 AD105 J106:J107 O106:O108 Q106:Q107 AE106:AE109 H107 I108:I109 R108 V108 AG109:AG111 L110:L111 Z110:Z111 N112 O113 R115 V115:V116 Y115 AD115 AE116 U117 Y117 Z118 AG119:AG120 H126:H127 O126:O127 V126 AE126 I127:I129 K127:K129 R127 W127:W129 Y127 AD127 N128 S128 V128 AG128 G130 J130:J131 O130:O131 V130:V131 H131:H132 L131:L132 I132:I133 Z132 W133 N134:N135 O134 AD134 W135 AE135 Y136 V137 AE137 S139 Z140:Z141 AG140:AG141 Y142:Y143 AD144:AD145 AE144 H152 N152 O152:O155 Y152:Z152 AD152 V153:V155 AE153 H154:H155 K154 Y154 J155 AE155 L156:L157 Z156 AG156 W157 Y157 O158 W159 AD159 Q160 V160 Z160 AG160 I169 N169 AB169 AD169 K170:K171 R170 U170 I171 W171:W172 Y171 AB171:AB175 AD171:AD172 N172 R172:R173 U172:U174 K173 O173 Q173 Y173:Y175 W174 Z174:Z175 AD174:AD175 AG174:AG175 H182 J182 V182 Z182:Z183 AG182 V184">
    <cfRule type="expression" dxfId="5" priority="1" stopIfTrue="1">
      <formula>C7=""</formula>
    </cfRule>
  </conditionalFormatting>
  <conditionalFormatting sqref="K7 N7 R7 T7 C13:G33 I13:J33 K13 L13:L33 M13:M15 N13:P33 Q13 R13:R15 S13:S33 T13:T15 U13:V33 X13:X18 Y13:Y14 Z13:Z33 AB13:AC33 AD13:AD14 AE13:AG33 AA14:AA33 H15 K15 H17 K17:K33 M17:M33 Q17:Q18 R17:R33 T17:T33 Y17:Y33 AD17:AD19 H19:H24 W19:W33 Q20 X20:X33 Q24 Q26:Q33 H27:H33 AD27 G40:G44 H40:I40 N40:N42 O40 R40:R41 U40:U41 AD40:AD41 J41:K41 S41:S42 AB41 AE41 AG41:AG44 Q42 AC42:AC43 F43:F55 H43 J43 K43:K44 I44 N44:N55 R44 Y44:Y46 AB44 AD44 H45:H55 O45:O55 U45:V45 I46:I49 K46 AB46:AB48 AD46:AD48 J47 S47 U47:U48 AG47 R48 Y48 L50:L53 S50:S53 Z50:Z53 AG51 R52:R53 V54:V55 AC54:AC58 AE54:AE59 U56 W57 Y57 X58 AG58:AG60 G67:G71 K67 R67:R68 AD67:AD68 F68 N68:N71 Q68:Q70 T68:U68 W68 AE68:AE70 AF68 J69:J71 O69:O71 S69:S70 V69:V71 AG69:AG71 H70:H72 Z70 K71:K73 AC71 R72:R73 L73 O73:O74 AC73 J74:J75 I75:I79 S75 Z75 AG75 R77:R78 W77:W78 AD77:AD78 N78 U78 AB78 S79:S81 Z79:Z81 AG79:AG81 L80:L84 R81 S83:S84 Z83:Z84 AG83 W84 AD84 H85 N85:N86 V85 S86 U86 W86 Z86 AC86:AC88 AD86 O87:O88 W89:X89 AD89 Z90 V91:W91 U92 X92 AB92 AG92 AC93 AE93 AD94 AG94 I100:I102 N100 O100:O101 W100:W103 AB100:AB103 AD100:AD103 Z101 N102 R102 K103 O103 Y103 AE103 N104:N105 S104 Z104 K105 V105 Y105 AB105 AD105 J106:J107 O106:O108 Q106:Q107 AC106:AC109 H107 I108:I109 R108 V108 AG109:AG111 L110:L111 Z110:Z111 N112 O113 AC113 R115 V115:V116 Y115 AC115:AC116 AD115 U117 Y117 Z118 AG119:AG120 O126:O127 V126 AB126 I127:I129 K127:K129 R127 W127:W129 Y127 AD127 N128 S128 V128 AB128 AG128 G130 J130:J131 O130:O131 V130:V131 H131:H132 L131:L132 I132:I133 Z132 W133 N134:N135 O134 AB134 AD134 W135 AC135 Y136 V137 AC137 S139 Z140:Z141 AG140:AG141 Y142:Y143 AB143 AC144 AD144:AD145 AE144 N152 O152:O155 Y152:Z152 AC152:AC155 AD152 V153:V155 H154:H155 K154 Y154 J155 L156:L157 Z156 AG156 W157 Y157 O158 W159 AB159:AB160 AD159 Q160 V160 Z160 AG160 I169 N169 AB169 AD169 K170:K171 R170 U170 I171 W171:W172 Y171 AB171:AB175 AD171:AD172 N172 R172:R173 U172:U174 K173 O173 Q173 Y173:Y175 W174 Z174:Z175 AD174:AD175 AG174:AG175 H182 J182 V182 Z182:Z183 AC182 AG182 V184 AC184">
    <cfRule type="expression" dxfId="5" priority="2" stopIfTrue="1">
      <formula>#REF!=""</formula>
    </cfRule>
  </conditionalFormatting>
  <conditionalFormatting sqref="AD13 AD17 S19 X22 X25 S27 AD27 C40:H55 I40 J40:J55 K40 L40:L44 M40:P55 Q40:Q42 R40:U55 W40 X40:X44 Y40 AA40:AB55 AD40:AD42 AE40:AE41 AF40:AF55 V41:V55 Z41:Z55 AC41:AC44 AG41:AG49 K42:K43 Y42 AE43:AE45 Q44:Q53 AD44 I45:I55 Y45:Y48 K46:K48 W46:W55 X46 AC46:AD55 AE47:AE55 L48:L49 X48:X52 K50:K55 Y50:Y55 L51:L55 AG51:AG55 W57 X58 R67 AD67:AD68 U68:U71 W68 AA68 J69:J71 O69:O71 X69:X71 Z69:Z71 H70:H72 R72:R73 L73 O73 J75 S75 Z75 R77:R78 W77:W78 AD77:AD78 S79:S81 L80:L84 Z80:Z81 R81 S83:S84 Z83:Z84 W84 AD84 H85 S86 W86 Z86 AD86 W89:X89 AD89 Z90 W91 U92 X92 AD94 W100:W103 AD100:AD103 R102 O103 S104 Z104 AD105 AF107 O108 R108 L110:L111 R115 AD115 O126 R127 W127:W129 AD127 S128 G130 O130:O131 H131:H132 L131:L132 W133 O134 AD134 W135 S139 AD144 AD152 H154:H155 L156:L157 W157 W159 AD159 AD169 W171:W172 AD171:AD172 U174 W174 AD174:AD175">
    <cfRule type="expression" dxfId="5" priority="3" stopIfTrue="1">
      <formula>AD13=""</formula>
    </cfRule>
  </conditionalFormatting>
  <conditionalFormatting sqref="Y13 AB13 AB15 AC16 U17 Y17:Y18 AG19 O21 Y21 AC21:AC22 X22 Y24:Z24 AG24 X25 O26 Z27 AG27 AB28 Z29 AG29 AB30 AC31 U40:U41 AB41 AC42:AC43 Y44:Y46 AB44 U45 AB46:AB48 U47:U48 AG47 Y48 Z50:Z53 AG51 AC54:AC58 U56 Y57 C67:G94 H67 J67:J94 L67:L71 M67:P94 Q67:Q86 R67:W94 X67:X78 Y67 Z67:AB94 AC67:AC77 AE67:AE76 AF67:AF94 AG67:AG89 AD68:AD69 H69:H73 K70 AD72 K73 L73:L74 Y73 H75:H82 K75:K77 Y75:Y81 AD75:AD77 L76:L79 AE78 K79:K94 AC79:AC81 AD79 X80:X87 AE80:AE87 L81 AD81:AD83 AC83:AC94 H84:H94 Y85:Y94 AD85:AD87 Q88 X89 AD89:AD94 AE89 Q90:Q94 X92 AG94 L100 AB100:AB103 X101 Z101 X103:Y103 S104 Z104 V105 Y105 AB105 J106:J107 O106:O107 Q106:Q107 AC106:AC109 C107:H107 L107:N107 P107 R107:U107 V107:V108 W107 X107:X109 Z107:AB107 AD107:AG107 Z110:Z111 X112 O113 AC113 V115:V116 Y115 AC115:AC116 U117 Y117 Z118 V126 AB126 L127 X127:Y127 V128 AB128 V130:V131 X131:X133 Z132 AB134 X135:X141 AC135 Y136 V137 AC137 Z140:Z141 Y142:Y143 AB143 AC144 L152 Y152:Z152 AC152:AC155 V153:V155 X153 Y154 X155 Z156 Y157 AB159:AB160 V160 X160 Z160 X169:X170 AB169 U170 Y171 AB171:AB175 U172:U173 Y173:Y175 X174:X176 Z174:Z175 V182 Z182:Z183 AC182 V184 AC184">
    <cfRule type="expression" dxfId="5" priority="4" stopIfTrue="1">
      <formula>#REF!=""</formula>
    </cfRule>
  </conditionalFormatting>
  <conditionalFormatting sqref="J13:J15 Y13 AB13 AB15 AC16 Y17:Y18 R18 S19 AG19 Y21 AC21:AC22 V22 R24 Y24:Z24 AG24 V25 H27 S27 Z27 AG27 AB28 Z29 AG29 AB30 AC31 R40:R41 AB41 V42 AC42:AC43 H43 J43 R44 Y44:Y46 AB44 AB46:AB48 S47 AG47 H48 R48 Y48 S50:S53 Z50:Z53 AG51 J53 AC54:AC58 H55 Y57 R67 J68:J70 H69:H72 Z70 AC71 R72:R73 V73 AC73 J74 S75 V75 Z75 R77:R78 AB78 S79:S81 Z79:Z81 AG79 R81 S83:S84 Z83:Z84 H85 S86 Z86 AC86:AC88 V87:V88 V90 Z90 AB92 AC93 AD94 C100:G120 H100:H105 J100:J120 L100 M100:M108 N100:X120 Z100:AB120 AC100:AC102 AD100 AE100:AE102 AF100:AF104 AG100:AG102 K101 Y101:Y106 L102:L107 K104 AD104:AD105 AE104:AE120 AC105:AC120 AG105:AG107 I106:I120 K106 AF106:AF120 H107:H120 AD107:AD120 K108:K120 Y108:Y120 AG109:AG120 C126:H141 M126:M133 N126:W141 X126:X129 Z126:AB141 AC126 AE126:AE141 AF126:AG127 J127:J131 K127:L127 Y127:Y128 AD127:AD128 AC128:AC132 L129:L131 AF129 AD130:AD141 AG130:AG132 X131:X141 AF131:AF141 K132 Y132:Y143 AG134:AG141 AC135:AC141 AB143 AC144:AD144 C152:H163 J152:J163 L152:L163 N152:X163 Y152 Z152:AC163 AD152 AE152:AG163 M153:M154 Y154:Y163 I155:I163 K155:K163 AD155:AD163 N169 Z169 AB169 AD169 R170 U170 AA170 Y171 AB171:AB175 AD171:AD172 N172 R172:R173 U172:U173 G173 K173 O173 Q173 Y173:Y175 Z174:Z176 AD174:AD175 Z182:Z183 AC182 S183 AC184">
    <cfRule type="expression" dxfId="5" priority="5" stopIfTrue="1">
      <formula>#REF!=""</formula>
    </cfRule>
  </conditionalFormatting>
  <dataValidations>
    <dataValidation type="list" allowBlank="1" showErrorMessage="1" sqref="B7 B13:B33 B40:B60 B67:B94 B102:B120 B128:B145 B153:B163 B171:B176 B184:B186 B194:B196">
      <formula1>'Nombres de los alumnos '!$B$4:$B$1016</formula1>
    </dataValidation>
    <dataValidation type="list" allowBlank="1" showErrorMessage="1" sqref="B100:B101 B126:B127 B152 B169:B170 B182:B183 B192:B193">
      <formula1>'Nombres de los alumnos '!$B$4:$B$999999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1E11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29" width="4.71"/>
    <col customWidth="1" min="30" max="30" width="20.86"/>
  </cols>
  <sheetData>
    <row r="1" ht="49.5" customHeight="1">
      <c r="A1" s="68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AD1" s="5"/>
    </row>
    <row r="2" ht="15.0" customHeight="1">
      <c r="B2" s="6" t="s">
        <v>1</v>
      </c>
      <c r="C2" s="7" t="s">
        <v>2</v>
      </c>
      <c r="D2" s="8" t="s">
        <v>3</v>
      </c>
      <c r="E2" s="3"/>
      <c r="F2" s="4"/>
      <c r="G2" s="9" t="s">
        <v>4</v>
      </c>
      <c r="H2" s="8" t="s">
        <v>5</v>
      </c>
      <c r="I2" s="3"/>
      <c r="J2" s="4"/>
      <c r="K2" s="10" t="s">
        <v>6</v>
      </c>
      <c r="L2" s="8" t="s">
        <v>7</v>
      </c>
      <c r="M2" s="3"/>
      <c r="N2" s="4"/>
      <c r="O2" s="11" t="s">
        <v>8</v>
      </c>
      <c r="P2" s="8" t="s">
        <v>9</v>
      </c>
      <c r="Q2" s="3"/>
      <c r="R2" s="3"/>
      <c r="S2" s="4"/>
      <c r="T2" s="12" t="s">
        <v>10</v>
      </c>
      <c r="U2" s="8" t="s">
        <v>11</v>
      </c>
      <c r="V2" s="3"/>
      <c r="W2" s="3"/>
      <c r="X2" s="4"/>
      <c r="AD2" s="5"/>
    </row>
    <row r="3" ht="15.0" customHeight="1">
      <c r="AD3" s="13"/>
    </row>
    <row r="4" ht="30.0" customHeight="1">
      <c r="B4" s="14" t="s">
        <v>12</v>
      </c>
      <c r="C4" s="15" t="s">
        <v>13</v>
      </c>
      <c r="AD4" s="15">
        <v>2026.0</v>
      </c>
    </row>
    <row r="5" ht="15.0" customHeight="1">
      <c r="B5" s="14"/>
      <c r="C5" s="16" t="str">
        <f>TEXT(WEEKDAY(DATE(Febrero!CalendarioAño,1,5),1),"ddd")</f>
        <v>lun</v>
      </c>
      <c r="D5" s="16" t="str">
        <f>TEXT(WEEKDAY(DATE(Febrero!CalendarioAño,1,6),1),"ddd")</f>
        <v>mar</v>
      </c>
      <c r="E5" s="16" t="str">
        <f>TEXT(WEEKDAY(DATE(Febrero!CalendarioAño,1,7),1),"ddd")</f>
        <v>mié</v>
      </c>
      <c r="F5" s="16" t="str">
        <f>TEXT(WEEKDAY(DATE(Febrero!CalendarioAño,1,8),1),"ddd")</f>
        <v>jue</v>
      </c>
      <c r="G5" s="16" t="str">
        <f>TEXT(WEEKDAY(DATE(Febrero!CalendarioAño,1,9),1),"ddd")</f>
        <v>vie</v>
      </c>
      <c r="H5" s="16" t="str">
        <f>TEXT(WEEKDAY(DATE(Febrero!CalendarioAño,1,10),1),"ddd")</f>
        <v>sáb</v>
      </c>
      <c r="I5" s="16" t="str">
        <f>TEXT(WEEKDAY(DATE(Febrero!CalendarioAño,1,11),1),"ddd")</f>
        <v>dom</v>
      </c>
      <c r="J5" s="69" t="str">
        <f>TEXT(WEEKDAY(DATE(Febrero!CalendarioAño,1,5),1),"ddd")</f>
        <v>lun</v>
      </c>
      <c r="K5" s="69" t="str">
        <f>TEXT(WEEKDAY(DATE(Febrero!CalendarioAño,1,6),1),"ddd")</f>
        <v>mar</v>
      </c>
      <c r="L5" s="69" t="str">
        <f>TEXT(WEEKDAY(DATE(Febrero!CalendarioAño,1,7),1),"ddd")</f>
        <v>mié</v>
      </c>
      <c r="M5" s="69" t="str">
        <f>TEXT(WEEKDAY(DATE(Febrero!CalendarioAño,1,8),1),"ddd")</f>
        <v>jue</v>
      </c>
      <c r="N5" s="69" t="str">
        <f>TEXT(WEEKDAY(DATE(Febrero!CalendarioAño,1,9),1),"ddd")</f>
        <v>vie</v>
      </c>
      <c r="O5" s="69" t="str">
        <f>TEXT(WEEKDAY(DATE(Febrero!CalendarioAño,1,10),1),"ddd")</f>
        <v>sáb</v>
      </c>
      <c r="P5" s="69" t="str">
        <f>TEXT(WEEKDAY(DATE(Febrero!CalendarioAño,1,11),1),"ddd")</f>
        <v>dom</v>
      </c>
      <c r="Q5" s="69" t="str">
        <f>TEXT(WEEKDAY(DATE(Febrero!CalendarioAño,1,5),1),"ddd")</f>
        <v>lun</v>
      </c>
      <c r="R5" s="69" t="str">
        <f>TEXT(WEEKDAY(DATE(Febrero!CalendarioAño,1,6),1),"ddd")</f>
        <v>mar</v>
      </c>
      <c r="S5" s="69" t="str">
        <f>TEXT(WEEKDAY(DATE(Febrero!CalendarioAño,1,7),1),"ddd")</f>
        <v>mié</v>
      </c>
      <c r="T5" s="69" t="str">
        <f>TEXT(WEEKDAY(DATE(Febrero!CalendarioAño,1,8),1),"ddd")</f>
        <v>jue</v>
      </c>
      <c r="U5" s="69" t="str">
        <f>TEXT(WEEKDAY(DATE(Febrero!CalendarioAño,1,9),1),"ddd")</f>
        <v>vie</v>
      </c>
      <c r="V5" s="69" t="str">
        <f>TEXT(WEEKDAY(DATE(Febrero!CalendarioAño,1,10),1),"ddd")</f>
        <v>sáb</v>
      </c>
      <c r="W5" s="69" t="str">
        <f>TEXT(WEEKDAY(DATE(Febrero!CalendarioAño,1,11),1),"ddd")</f>
        <v>dom</v>
      </c>
      <c r="X5" s="69" t="str">
        <f>TEXT(WEEKDAY(DATE(Febrero!CalendarioAño,1,5),1),"ddd")</f>
        <v>lun</v>
      </c>
      <c r="Y5" s="69" t="str">
        <f>TEXT(WEEKDAY(DATE(Febrero!CalendarioAño,1,6),1),"ddd")</f>
        <v>mar</v>
      </c>
      <c r="Z5" s="69" t="str">
        <f>TEXT(WEEKDAY(DATE(Febrero!CalendarioAño,1,7),1),"ddd")</f>
        <v>mié</v>
      </c>
      <c r="AA5" s="69" t="str">
        <f>TEXT(WEEKDAY(DATE(Febrero!CalendarioAño,1,8),1),"ddd")</f>
        <v>jue</v>
      </c>
      <c r="AB5" s="69" t="str">
        <f>TEXT(WEEKDAY(DATE(Febrero!CalendarioAño,1,9),1),"ddd")</f>
        <v>vie</v>
      </c>
      <c r="AC5" s="69" t="str">
        <f>TEXT(WEEKDAY(DATE(Febrero!CalendarioAño,1,10),1),"ddd")</f>
        <v>sáb</v>
      </c>
      <c r="AD5" s="14"/>
    </row>
    <row r="6" ht="15.0" customHeight="1">
      <c r="A6" s="17"/>
      <c r="B6" s="18" t="s">
        <v>14</v>
      </c>
      <c r="C6" s="70">
        <v>2.0</v>
      </c>
      <c r="D6" s="70">
        <v>3.0</v>
      </c>
      <c r="E6" s="70">
        <v>4.0</v>
      </c>
      <c r="F6" s="70">
        <v>5.0</v>
      </c>
      <c r="G6" s="70">
        <v>6.0</v>
      </c>
      <c r="H6" s="70">
        <v>7.0</v>
      </c>
      <c r="I6" s="70">
        <v>8.0</v>
      </c>
      <c r="J6" s="70">
        <v>9.0</v>
      </c>
      <c r="K6" s="70">
        <v>10.0</v>
      </c>
      <c r="L6" s="70">
        <v>11.0</v>
      </c>
      <c r="M6" s="70">
        <v>12.0</v>
      </c>
      <c r="N6" s="70">
        <v>13.0</v>
      </c>
      <c r="O6" s="70">
        <v>14.0</v>
      </c>
      <c r="P6" s="70">
        <v>15.0</v>
      </c>
      <c r="Q6" s="70">
        <v>16.0</v>
      </c>
      <c r="R6" s="70">
        <v>17.0</v>
      </c>
      <c r="S6" s="70">
        <v>18.0</v>
      </c>
      <c r="T6" s="70">
        <v>19.0</v>
      </c>
      <c r="U6" s="70">
        <v>20.0</v>
      </c>
      <c r="V6" s="70">
        <v>21.0</v>
      </c>
      <c r="W6" s="70">
        <v>22.0</v>
      </c>
      <c r="X6" s="70">
        <v>23.0</v>
      </c>
      <c r="Y6" s="70">
        <v>24.0</v>
      </c>
      <c r="Z6" s="70">
        <v>25.0</v>
      </c>
      <c r="AA6" s="70">
        <v>26.0</v>
      </c>
      <c r="AB6" s="70">
        <v>27.0</v>
      </c>
      <c r="AC6" s="70">
        <v>28.0</v>
      </c>
      <c r="AD6" s="19" t="s">
        <v>46</v>
      </c>
    </row>
    <row r="7" ht="30.0" customHeight="1">
      <c r="B7" s="20"/>
      <c r="C7" s="21"/>
      <c r="D7" s="21"/>
      <c r="E7" s="21"/>
      <c r="F7" s="22"/>
      <c r="G7" s="22"/>
      <c r="H7" s="21"/>
      <c r="I7" s="21"/>
      <c r="J7" s="21"/>
      <c r="K7" s="22"/>
      <c r="L7" s="21"/>
      <c r="M7" s="21"/>
      <c r="N7" s="22"/>
      <c r="O7" s="21"/>
      <c r="P7" s="21"/>
      <c r="Q7" s="21"/>
      <c r="R7" s="22"/>
      <c r="S7" s="21"/>
      <c r="T7" s="22"/>
      <c r="U7" s="22"/>
      <c r="V7" s="21"/>
      <c r="W7" s="21"/>
      <c r="X7" s="21"/>
      <c r="Y7" s="22"/>
      <c r="Z7" s="21"/>
      <c r="AA7" s="22"/>
      <c r="AB7" s="22"/>
      <c r="AC7" s="21"/>
      <c r="AD7" s="23"/>
    </row>
    <row r="8" ht="30.0" customHeight="1">
      <c r="B8" s="24" t="str">
        <f>Febrero!MonthName&amp;" Total"</f>
        <v>Enero Total</v>
      </c>
      <c r="C8" s="25">
        <f>SUBTOTAL(103,Febrero!$C$7)</f>
        <v>0</v>
      </c>
      <c r="D8" s="25">
        <f>SUBTOTAL(103,Febrero!$D$7)</f>
        <v>0</v>
      </c>
      <c r="E8" s="25">
        <f>SUBTOTAL(103,Febrero!$E$7)</f>
        <v>0</v>
      </c>
      <c r="F8" s="25">
        <f>SUBTOTAL(103,Febrero!$F$7)</f>
        <v>0</v>
      </c>
      <c r="G8" s="25">
        <f>SUBTOTAL(103,Febrero!$G$7)</f>
        <v>0</v>
      </c>
      <c r="H8" s="25">
        <f>SUBTOTAL(103,Febrero!$H$7)</f>
        <v>0</v>
      </c>
      <c r="I8" s="25">
        <f>SUBTOTAL(103,Febrero!$I$7)</f>
        <v>0</v>
      </c>
      <c r="J8" s="25">
        <f>SUBTOTAL(103,Febrero!$J$7)</f>
        <v>0</v>
      </c>
      <c r="K8" s="25">
        <f>SUBTOTAL(103,Febrero!$K$7)</f>
        <v>0</v>
      </c>
      <c r="L8" s="25">
        <f>SUBTOTAL(103,Febrero!$L$7)</f>
        <v>0</v>
      </c>
      <c r="M8" s="25">
        <f>SUBTOTAL(103,Febrero!$M$7)</f>
        <v>0</v>
      </c>
      <c r="N8" s="25">
        <f>SUBTOTAL(103,Febrero!$N$7)</f>
        <v>0</v>
      </c>
      <c r="O8" s="25">
        <f>SUBTOTAL(103,Febrero!$O$7)</f>
        <v>0</v>
      </c>
      <c r="P8" s="25">
        <f>SUBTOTAL(103,Febrero!$P$7)</f>
        <v>0</v>
      </c>
      <c r="Q8" s="25">
        <f>SUBTOTAL(103,Febrero!$Q$7)</f>
        <v>0</v>
      </c>
      <c r="R8" s="25">
        <f>SUBTOTAL(103,Febrero!$R$7)</f>
        <v>0</v>
      </c>
      <c r="S8" s="25">
        <f>SUBTOTAL(103,Febrero!$S$7)</f>
        <v>0</v>
      </c>
      <c r="T8" s="25">
        <f>SUBTOTAL(103,Febrero!$T$7)</f>
        <v>0</v>
      </c>
      <c r="U8" s="25">
        <f>SUBTOTAL(103,Febrero!$U$7)</f>
        <v>0</v>
      </c>
      <c r="V8" s="25">
        <f>SUBTOTAL(103,Febrero!$V$7)</f>
        <v>0</v>
      </c>
      <c r="W8" s="25">
        <f>SUBTOTAL(103,Febrero!$W$7)</f>
        <v>0</v>
      </c>
      <c r="X8" s="25">
        <f>SUBTOTAL(103,Febrero!$X$7)</f>
        <v>0</v>
      </c>
      <c r="Y8" s="25">
        <f>SUBTOTAL(103,Febrero!$Y$7)</f>
        <v>0</v>
      </c>
      <c r="Z8" s="25">
        <f>SUBTOTAL(103,Febrero!$Z$7)</f>
        <v>0</v>
      </c>
      <c r="AA8" s="25">
        <f>SUBTOTAL(103,Febrero!$AA$7)</f>
        <v>0</v>
      </c>
      <c r="AB8" s="25">
        <f>SUBTOTAL(103,Febrero!$AB$7)</f>
        <v>0</v>
      </c>
      <c r="AC8" s="25">
        <f>SUBTOTAL(103,Febrero!$AC$7)</f>
        <v>0</v>
      </c>
      <c r="AD8" s="25"/>
    </row>
    <row r="9" ht="30.0" customHeight="1">
      <c r="AD9" s="5"/>
    </row>
    <row r="10" ht="30.0" customHeight="1">
      <c r="B10" s="26" t="s">
        <v>12</v>
      </c>
      <c r="C10" s="27" t="s">
        <v>47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9">
        <v>2026.0</v>
      </c>
    </row>
    <row r="11" ht="30.0" customHeight="1">
      <c r="B11" s="30"/>
      <c r="C11" s="16" t="str">
        <f>TEXT(WEEKDAY(DATE(Febrero!CalendarioAño,1,5),1),"ddd")</f>
        <v>lun</v>
      </c>
      <c r="D11" s="16" t="str">
        <f>TEXT(WEEKDAY(DATE(Febrero!CalendarioAño,1,6),1),"ddd")</f>
        <v>mar</v>
      </c>
      <c r="E11" s="16" t="str">
        <f>TEXT(WEEKDAY(DATE(Febrero!CalendarioAño,1,7),1),"ddd")</f>
        <v>mié</v>
      </c>
      <c r="F11" s="16" t="str">
        <f>TEXT(WEEKDAY(DATE(Febrero!CalendarioAño,1,8),1),"ddd")</f>
        <v>jue</v>
      </c>
      <c r="G11" s="16" t="str">
        <f>TEXT(WEEKDAY(DATE(Febrero!CalendarioAño,1,9),1),"ddd")</f>
        <v>vie</v>
      </c>
      <c r="H11" s="16" t="str">
        <f>TEXT(WEEKDAY(DATE(Febrero!CalendarioAño,1,10),1),"ddd")</f>
        <v>sáb</v>
      </c>
      <c r="I11" s="16" t="str">
        <f>TEXT(WEEKDAY(DATE(Febrero!CalendarioAño,1,11),1),"ddd")</f>
        <v>dom</v>
      </c>
      <c r="J11" s="69" t="str">
        <f>TEXT(WEEKDAY(DATE(Febrero!CalendarioAño,1,5),1),"ddd")</f>
        <v>lun</v>
      </c>
      <c r="K11" s="69" t="str">
        <f>TEXT(WEEKDAY(DATE(Febrero!CalendarioAño,1,6),1),"ddd")</f>
        <v>mar</v>
      </c>
      <c r="L11" s="69" t="str">
        <f>TEXT(WEEKDAY(DATE(Febrero!CalendarioAño,1,7),1),"ddd")</f>
        <v>mié</v>
      </c>
      <c r="M11" s="69" t="str">
        <f>TEXT(WEEKDAY(DATE(Febrero!CalendarioAño,1,8),1),"ddd")</f>
        <v>jue</v>
      </c>
      <c r="N11" s="69" t="str">
        <f>TEXT(WEEKDAY(DATE(Febrero!CalendarioAño,1,9),1),"ddd")</f>
        <v>vie</v>
      </c>
      <c r="O11" s="69" t="str">
        <f>TEXT(WEEKDAY(DATE(Febrero!CalendarioAño,1,10),1),"ddd")</f>
        <v>sáb</v>
      </c>
      <c r="P11" s="69" t="str">
        <f>TEXT(WEEKDAY(DATE(Febrero!CalendarioAño,1,11),1),"ddd")</f>
        <v>dom</v>
      </c>
      <c r="Q11" s="69" t="str">
        <f>TEXT(WEEKDAY(DATE(Febrero!CalendarioAño,1,5),1),"ddd")</f>
        <v>lun</v>
      </c>
      <c r="R11" s="69" t="str">
        <f>TEXT(WEEKDAY(DATE(Febrero!CalendarioAño,1,6),1),"ddd")</f>
        <v>mar</v>
      </c>
      <c r="S11" s="69" t="str">
        <f>TEXT(WEEKDAY(DATE(Febrero!CalendarioAño,1,7),1),"ddd")</f>
        <v>mié</v>
      </c>
      <c r="T11" s="69" t="str">
        <f>TEXT(WEEKDAY(DATE(Febrero!CalendarioAño,1,8),1),"ddd")</f>
        <v>jue</v>
      </c>
      <c r="U11" s="69" t="str">
        <f>TEXT(WEEKDAY(DATE(Febrero!CalendarioAño,1,9),1),"ddd")</f>
        <v>vie</v>
      </c>
      <c r="V11" s="69" t="str">
        <f>TEXT(WEEKDAY(DATE(Febrero!CalendarioAño,1,10),1),"ddd")</f>
        <v>sáb</v>
      </c>
      <c r="W11" s="69" t="str">
        <f>TEXT(WEEKDAY(DATE(Febrero!CalendarioAño,1,11),1),"ddd")</f>
        <v>dom</v>
      </c>
      <c r="X11" s="69" t="str">
        <f>TEXT(WEEKDAY(DATE(Febrero!CalendarioAño,1,5),1),"ddd")</f>
        <v>lun</v>
      </c>
      <c r="Y11" s="69" t="str">
        <f>TEXT(WEEKDAY(DATE(Febrero!CalendarioAño,1,6),1),"ddd")</f>
        <v>mar</v>
      </c>
      <c r="Z11" s="69" t="str">
        <f>TEXT(WEEKDAY(DATE(Febrero!CalendarioAño,1,7),1),"ddd")</f>
        <v>mié</v>
      </c>
      <c r="AA11" s="69" t="str">
        <f>TEXT(WEEKDAY(DATE(Febrero!CalendarioAño,1,8),1),"ddd")</f>
        <v>jue</v>
      </c>
      <c r="AB11" s="69" t="str">
        <f>TEXT(WEEKDAY(DATE(Febrero!CalendarioAño,1,9),1),"ddd")</f>
        <v>vie</v>
      </c>
      <c r="AC11" s="69" t="str">
        <f>TEXT(WEEKDAY(DATE(Febrero!CalendarioAño,1,10),1),"ddd")</f>
        <v>sáb</v>
      </c>
      <c r="AD11" s="30"/>
    </row>
    <row r="12" ht="21.75" customHeight="1">
      <c r="A12" s="17"/>
      <c r="B12" s="31" t="s">
        <v>14</v>
      </c>
      <c r="C12" s="70">
        <v>2.0</v>
      </c>
      <c r="D12" s="70">
        <v>3.0</v>
      </c>
      <c r="E12" s="70">
        <v>4.0</v>
      </c>
      <c r="F12" s="70">
        <v>5.0</v>
      </c>
      <c r="G12" s="70">
        <v>6.0</v>
      </c>
      <c r="H12" s="70">
        <v>7.0</v>
      </c>
      <c r="I12" s="70">
        <v>8.0</v>
      </c>
      <c r="J12" s="70">
        <v>9.0</v>
      </c>
      <c r="K12" s="70">
        <v>10.0</v>
      </c>
      <c r="L12" s="70">
        <v>11.0</v>
      </c>
      <c r="M12" s="70">
        <v>12.0</v>
      </c>
      <c r="N12" s="70">
        <v>13.0</v>
      </c>
      <c r="O12" s="70">
        <v>14.0</v>
      </c>
      <c r="P12" s="70">
        <v>15.0</v>
      </c>
      <c r="Q12" s="70">
        <v>16.0</v>
      </c>
      <c r="R12" s="70">
        <v>17.0</v>
      </c>
      <c r="S12" s="70">
        <v>18.0</v>
      </c>
      <c r="T12" s="70">
        <v>19.0</v>
      </c>
      <c r="U12" s="70">
        <v>20.0</v>
      </c>
      <c r="V12" s="70">
        <v>21.0</v>
      </c>
      <c r="W12" s="70">
        <v>22.0</v>
      </c>
      <c r="X12" s="70">
        <v>23.0</v>
      </c>
      <c r="Y12" s="70">
        <v>24.0</v>
      </c>
      <c r="Z12" s="70">
        <v>25.0</v>
      </c>
      <c r="AA12" s="70">
        <v>26.0</v>
      </c>
      <c r="AB12" s="70">
        <v>27.0</v>
      </c>
      <c r="AC12" s="70">
        <v>28.0</v>
      </c>
      <c r="AD12" s="19" t="s">
        <v>46</v>
      </c>
    </row>
    <row r="13" ht="30.0" customHeight="1">
      <c r="B13" s="32" t="s">
        <v>48</v>
      </c>
      <c r="C13" s="10" t="s">
        <v>6</v>
      </c>
      <c r="D13" s="10" t="s">
        <v>6</v>
      </c>
      <c r="E13" s="10" t="s">
        <v>6</v>
      </c>
      <c r="F13" s="10" t="s">
        <v>6</v>
      </c>
      <c r="G13" s="10" t="s">
        <v>6</v>
      </c>
      <c r="H13" s="36"/>
      <c r="I13" s="36"/>
      <c r="J13" s="10" t="s">
        <v>6</v>
      </c>
      <c r="K13" s="10" t="s">
        <v>6</v>
      </c>
      <c r="L13" s="10" t="s">
        <v>6</v>
      </c>
      <c r="M13" s="10" t="s">
        <v>6</v>
      </c>
      <c r="N13" s="10" t="s">
        <v>6</v>
      </c>
      <c r="O13" s="36"/>
      <c r="P13" s="36"/>
      <c r="Q13" s="10" t="s">
        <v>6</v>
      </c>
      <c r="R13" s="10" t="s">
        <v>6</v>
      </c>
      <c r="S13" s="10" t="s">
        <v>6</v>
      </c>
      <c r="T13" s="10" t="s">
        <v>6</v>
      </c>
      <c r="U13" s="10" t="s">
        <v>6</v>
      </c>
      <c r="V13" s="36"/>
      <c r="W13" s="36"/>
      <c r="X13" s="36"/>
      <c r="Y13" s="36"/>
      <c r="Z13" s="36"/>
      <c r="AA13" s="36"/>
      <c r="AB13" s="36"/>
      <c r="AC13" s="36"/>
      <c r="AD13" s="23"/>
    </row>
    <row r="14" ht="30.0" customHeight="1">
      <c r="B14" s="32" t="s">
        <v>49</v>
      </c>
      <c r="C14" s="10" t="s">
        <v>6</v>
      </c>
      <c r="D14" s="61"/>
      <c r="E14" s="61"/>
      <c r="F14" s="61"/>
      <c r="G14" s="10" t="s">
        <v>6</v>
      </c>
      <c r="H14" s="10" t="s">
        <v>6</v>
      </c>
      <c r="I14" s="61"/>
      <c r="J14" s="10" t="s">
        <v>6</v>
      </c>
      <c r="K14" s="61"/>
      <c r="L14" s="10" t="s">
        <v>6</v>
      </c>
      <c r="M14" s="61"/>
      <c r="N14" s="61"/>
      <c r="O14" s="61"/>
      <c r="P14" s="61"/>
      <c r="Q14" s="61"/>
      <c r="R14" s="61"/>
      <c r="S14" s="10" t="s">
        <v>6</v>
      </c>
      <c r="T14" s="61"/>
      <c r="U14" s="61"/>
      <c r="V14" s="61"/>
      <c r="W14" s="61"/>
      <c r="X14" s="61"/>
      <c r="Y14" s="61"/>
      <c r="Z14" s="10" t="s">
        <v>6</v>
      </c>
      <c r="AA14" s="61"/>
      <c r="AB14" s="61"/>
      <c r="AC14" s="61"/>
      <c r="AD14" s="23"/>
    </row>
    <row r="15" ht="30.0" customHeight="1">
      <c r="B15" s="32" t="s">
        <v>50</v>
      </c>
      <c r="C15" s="10" t="s">
        <v>6</v>
      </c>
      <c r="D15" s="36"/>
      <c r="E15" s="36"/>
      <c r="F15" s="36"/>
      <c r="G15" s="36"/>
      <c r="H15" s="36"/>
      <c r="I15" s="36"/>
      <c r="J15" s="10" t="s">
        <v>6</v>
      </c>
      <c r="K15" s="36"/>
      <c r="L15" s="36"/>
      <c r="M15" s="10" t="s">
        <v>6</v>
      </c>
      <c r="N15" s="36"/>
      <c r="O15" s="36"/>
      <c r="P15" s="36"/>
      <c r="Q15" s="10" t="s">
        <v>6</v>
      </c>
      <c r="R15" s="36"/>
      <c r="S15" s="36"/>
      <c r="T15" s="36"/>
      <c r="U15" s="36"/>
      <c r="V15" s="36"/>
      <c r="W15" s="36"/>
      <c r="X15" s="10" t="s">
        <v>6</v>
      </c>
      <c r="Y15" s="36"/>
      <c r="Z15" s="36"/>
      <c r="AA15" s="36"/>
      <c r="AB15" s="36"/>
      <c r="AC15" s="36"/>
      <c r="AD15" s="23"/>
    </row>
    <row r="16" ht="30.0" customHeight="1">
      <c r="B16" s="32" t="s">
        <v>51</v>
      </c>
      <c r="C16" s="61"/>
      <c r="D16" s="10" t="s">
        <v>6</v>
      </c>
      <c r="E16" s="61"/>
      <c r="F16" s="10" t="s">
        <v>6</v>
      </c>
      <c r="G16" s="10" t="s">
        <v>6</v>
      </c>
      <c r="H16" s="61"/>
      <c r="I16" s="61"/>
      <c r="J16" s="61"/>
      <c r="K16" s="10" t="s">
        <v>6</v>
      </c>
      <c r="L16" s="61"/>
      <c r="M16" s="61"/>
      <c r="N16" s="61"/>
      <c r="O16" s="61"/>
      <c r="P16" s="61"/>
      <c r="Q16" s="10" t="s">
        <v>6</v>
      </c>
      <c r="R16" s="61"/>
      <c r="S16" s="61"/>
      <c r="T16" s="10" t="s">
        <v>6</v>
      </c>
      <c r="U16" s="61"/>
      <c r="V16" s="61"/>
      <c r="W16" s="61"/>
      <c r="X16" s="10" t="s">
        <v>6</v>
      </c>
      <c r="Y16" s="61"/>
      <c r="Z16" s="61"/>
      <c r="AA16" s="10" t="s">
        <v>6</v>
      </c>
      <c r="AB16" s="61"/>
      <c r="AC16" s="61"/>
      <c r="AD16" s="23"/>
    </row>
    <row r="17" ht="30.0" customHeight="1">
      <c r="B17" s="32" t="s">
        <v>52</v>
      </c>
      <c r="C17" s="36"/>
      <c r="D17" s="36"/>
      <c r="E17" s="10" t="s">
        <v>6</v>
      </c>
      <c r="F17" s="36"/>
      <c r="G17" s="10" t="s">
        <v>6</v>
      </c>
      <c r="H17" s="36"/>
      <c r="I17" s="36"/>
      <c r="J17" s="36"/>
      <c r="K17" s="36"/>
      <c r="L17" s="10" t="s">
        <v>6</v>
      </c>
      <c r="M17" s="36"/>
      <c r="N17" s="10" t="s">
        <v>6</v>
      </c>
      <c r="O17" s="36"/>
      <c r="P17" s="36"/>
      <c r="Q17" s="36"/>
      <c r="R17" s="36"/>
      <c r="S17" s="10" t="s">
        <v>6</v>
      </c>
      <c r="T17" s="36"/>
      <c r="U17" s="10" t="s">
        <v>6</v>
      </c>
      <c r="V17" s="36"/>
      <c r="W17" s="36"/>
      <c r="X17" s="36"/>
      <c r="Y17" s="36"/>
      <c r="Z17" s="10" t="s">
        <v>6</v>
      </c>
      <c r="AA17" s="36"/>
      <c r="AB17" s="36"/>
      <c r="AC17" s="36"/>
      <c r="AD17" s="23"/>
    </row>
    <row r="18" ht="30.0" customHeight="1">
      <c r="B18" s="32" t="s">
        <v>53</v>
      </c>
      <c r="C18" s="36"/>
      <c r="D18" s="10" t="s">
        <v>6</v>
      </c>
      <c r="E18" s="10" t="s">
        <v>6</v>
      </c>
      <c r="F18" s="36"/>
      <c r="G18" s="36"/>
      <c r="H18" s="36"/>
      <c r="I18" s="36"/>
      <c r="J18" s="36"/>
      <c r="K18" s="36"/>
      <c r="L18" s="36"/>
      <c r="M18" s="10" t="s">
        <v>6</v>
      </c>
      <c r="N18" s="36"/>
      <c r="O18" s="36"/>
      <c r="P18" s="36"/>
      <c r="Q18" s="36"/>
      <c r="R18" s="36"/>
      <c r="S18" s="36"/>
      <c r="T18" s="10" t="s">
        <v>6</v>
      </c>
      <c r="U18" s="36"/>
      <c r="V18" s="10" t="s">
        <v>6</v>
      </c>
      <c r="W18" s="36"/>
      <c r="X18" s="36"/>
      <c r="Y18" s="36"/>
      <c r="Z18" s="36"/>
      <c r="AA18" s="36"/>
      <c r="AB18" s="36"/>
      <c r="AC18" s="36"/>
      <c r="AD18" s="23"/>
    </row>
    <row r="19" ht="30.0" customHeight="1">
      <c r="B19" s="32" t="s">
        <v>54</v>
      </c>
      <c r="C19" s="61"/>
      <c r="D19" s="61"/>
      <c r="E19" s="61"/>
      <c r="F19" s="10" t="s">
        <v>6</v>
      </c>
      <c r="G19" s="61"/>
      <c r="H19" s="61"/>
      <c r="I19" s="61"/>
      <c r="J19" s="61"/>
      <c r="K19" s="10" t="s">
        <v>6</v>
      </c>
      <c r="L19" s="61"/>
      <c r="M19" s="10" t="s">
        <v>6</v>
      </c>
      <c r="N19" s="61"/>
      <c r="O19" s="10" t="s">
        <v>6</v>
      </c>
      <c r="P19" s="61"/>
      <c r="Q19" s="61"/>
      <c r="R19" s="61"/>
      <c r="S19" s="61"/>
      <c r="T19" s="61"/>
      <c r="U19" s="10" t="s">
        <v>6</v>
      </c>
      <c r="V19" s="10" t="s">
        <v>6</v>
      </c>
      <c r="W19" s="61"/>
      <c r="X19" s="61"/>
      <c r="Y19" s="10" t="s">
        <v>6</v>
      </c>
      <c r="Z19" s="10" t="s">
        <v>6</v>
      </c>
      <c r="AA19" s="10" t="s">
        <v>6</v>
      </c>
      <c r="AB19" s="61"/>
      <c r="AC19" s="61"/>
      <c r="AD19" s="23"/>
    </row>
    <row r="20" ht="30.0" customHeight="1">
      <c r="B20" s="32" t="s">
        <v>55</v>
      </c>
      <c r="C20" s="36"/>
      <c r="D20" s="36"/>
      <c r="E20" s="36"/>
      <c r="F20" s="36"/>
      <c r="G20" s="36"/>
      <c r="H20" s="36"/>
      <c r="I20" s="36"/>
      <c r="J20" s="36"/>
      <c r="K20" s="10" t="s">
        <v>6</v>
      </c>
      <c r="L20" s="36"/>
      <c r="M20" s="10" t="s">
        <v>6</v>
      </c>
      <c r="N20" s="36"/>
      <c r="O20" s="36"/>
      <c r="P20" s="36"/>
      <c r="Q20" s="36"/>
      <c r="R20" s="36"/>
      <c r="S20" s="36"/>
      <c r="T20" s="10" t="s">
        <v>6</v>
      </c>
      <c r="U20" s="36"/>
      <c r="V20" s="36"/>
      <c r="W20" s="36"/>
      <c r="X20" s="36"/>
      <c r="Y20" s="10" t="s">
        <v>6</v>
      </c>
      <c r="Z20" s="36"/>
      <c r="AA20" s="10" t="s">
        <v>6</v>
      </c>
      <c r="AB20" s="36"/>
      <c r="AC20" s="36"/>
      <c r="AD20" s="23"/>
    </row>
    <row r="21" ht="30.0" customHeight="1">
      <c r="B21" s="32" t="s">
        <v>56</v>
      </c>
      <c r="C21" s="61"/>
      <c r="D21" s="61"/>
      <c r="E21" s="61"/>
      <c r="F21" s="61"/>
      <c r="G21" s="10" t="s">
        <v>6</v>
      </c>
      <c r="H21" s="61"/>
      <c r="I21" s="61"/>
      <c r="J21" s="61"/>
      <c r="K21" s="61"/>
      <c r="L21" s="10" t="s">
        <v>6</v>
      </c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23"/>
    </row>
    <row r="22" ht="30.0" customHeight="1">
      <c r="B22" s="32" t="s">
        <v>57</v>
      </c>
      <c r="C22" s="36"/>
      <c r="D22" s="10" t="s">
        <v>6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23"/>
    </row>
    <row r="23" ht="30.0" customHeight="1">
      <c r="B23" s="32" t="s">
        <v>58</v>
      </c>
      <c r="C23" s="36"/>
      <c r="D23" s="36"/>
      <c r="E23" s="10" t="s">
        <v>6</v>
      </c>
      <c r="F23" s="10" t="s">
        <v>6</v>
      </c>
      <c r="G23" s="36"/>
      <c r="H23" s="36"/>
      <c r="I23" s="36"/>
      <c r="J23" s="36"/>
      <c r="K23" s="10" t="s">
        <v>6</v>
      </c>
      <c r="L23" s="36"/>
      <c r="M23" s="10" t="s">
        <v>6</v>
      </c>
      <c r="N23" s="36"/>
      <c r="O23" s="36"/>
      <c r="P23" s="36"/>
      <c r="Q23" s="10" t="s">
        <v>6</v>
      </c>
      <c r="R23" s="10" t="s">
        <v>6</v>
      </c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23"/>
    </row>
    <row r="24" ht="30.0" customHeight="1">
      <c r="B24" s="32" t="s">
        <v>59</v>
      </c>
      <c r="C24" s="61"/>
      <c r="D24" s="61"/>
      <c r="E24" s="61"/>
      <c r="F24" s="61"/>
      <c r="G24" s="61"/>
      <c r="H24" s="10" t="s">
        <v>6</v>
      </c>
      <c r="I24" s="61"/>
      <c r="J24" s="61"/>
      <c r="K24" s="61"/>
      <c r="L24" s="10" t="s">
        <v>6</v>
      </c>
      <c r="M24" s="61"/>
      <c r="N24" s="61"/>
      <c r="O24" s="61"/>
      <c r="P24" s="61"/>
      <c r="Q24" s="61"/>
      <c r="R24" s="61"/>
      <c r="S24" s="61"/>
      <c r="T24" s="61"/>
      <c r="U24" s="10" t="s">
        <v>6</v>
      </c>
      <c r="V24" s="61"/>
      <c r="W24" s="61"/>
      <c r="X24" s="61"/>
      <c r="Y24" s="61"/>
      <c r="Z24" s="61"/>
      <c r="AA24" s="61"/>
      <c r="AB24" s="61"/>
      <c r="AC24" s="61"/>
      <c r="AD24" s="23"/>
    </row>
    <row r="25" ht="30.0" customHeight="1">
      <c r="B25" s="32" t="s">
        <v>60</v>
      </c>
      <c r="C25" s="36"/>
      <c r="D25" s="10" t="s">
        <v>6</v>
      </c>
      <c r="E25" s="36"/>
      <c r="F25" s="10" t="s">
        <v>6</v>
      </c>
      <c r="G25" s="36"/>
      <c r="H25" s="36"/>
      <c r="I25" s="36"/>
      <c r="J25" s="36"/>
      <c r="K25" s="10" t="s">
        <v>6</v>
      </c>
      <c r="L25" s="36"/>
      <c r="M25" s="10" t="s">
        <v>6</v>
      </c>
      <c r="N25" s="36"/>
      <c r="O25" s="36"/>
      <c r="P25" s="36"/>
      <c r="Q25" s="36"/>
      <c r="R25" s="10" t="s">
        <v>6</v>
      </c>
      <c r="S25" s="36"/>
      <c r="T25" s="10" t="s">
        <v>6</v>
      </c>
      <c r="U25" s="36"/>
      <c r="V25" s="36"/>
      <c r="W25" s="36"/>
      <c r="X25" s="36"/>
      <c r="Y25" s="36"/>
      <c r="Z25" s="36"/>
      <c r="AA25" s="36"/>
      <c r="AB25" s="36"/>
      <c r="AC25" s="36"/>
      <c r="AD25" s="23"/>
    </row>
    <row r="26" ht="30.0" customHeight="1">
      <c r="B26" s="32" t="s">
        <v>61</v>
      </c>
      <c r="C26" s="61"/>
      <c r="D26" s="10" t="s">
        <v>6</v>
      </c>
      <c r="E26" s="61"/>
      <c r="F26" s="10" t="s">
        <v>6</v>
      </c>
      <c r="G26" s="61"/>
      <c r="H26" s="61"/>
      <c r="I26" s="61"/>
      <c r="J26" s="61"/>
      <c r="K26" s="61"/>
      <c r="L26" s="61"/>
      <c r="M26" s="61"/>
      <c r="N26" s="10" t="s">
        <v>6</v>
      </c>
      <c r="O26" s="61"/>
      <c r="P26" s="61"/>
      <c r="Q26" s="61"/>
      <c r="R26" s="10" t="s">
        <v>6</v>
      </c>
      <c r="S26" s="61"/>
      <c r="T26" s="61"/>
      <c r="U26" s="10" t="s">
        <v>6</v>
      </c>
      <c r="V26" s="61"/>
      <c r="W26" s="61"/>
      <c r="X26" s="61"/>
      <c r="Y26" s="61"/>
      <c r="Z26" s="61"/>
      <c r="AA26" s="61"/>
      <c r="AB26" s="61"/>
      <c r="AC26" s="61"/>
      <c r="AD26" s="23"/>
    </row>
    <row r="27" ht="30.0" customHeight="1">
      <c r="B27" s="32" t="s">
        <v>62</v>
      </c>
      <c r="C27" s="36"/>
      <c r="D27" s="10" t="s">
        <v>6</v>
      </c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10" t="s">
        <v>6</v>
      </c>
      <c r="V27" s="36"/>
      <c r="W27" s="36"/>
      <c r="X27" s="36"/>
      <c r="Y27" s="36"/>
      <c r="Z27" s="36"/>
      <c r="AA27" s="36"/>
      <c r="AB27" s="36"/>
      <c r="AC27" s="36"/>
      <c r="AD27" s="23"/>
    </row>
    <row r="28" ht="30.0" customHeight="1">
      <c r="B28" s="32" t="s">
        <v>63</v>
      </c>
      <c r="C28" s="10" t="s">
        <v>6</v>
      </c>
      <c r="D28" s="36"/>
      <c r="E28" s="36"/>
      <c r="F28" s="10" t="s">
        <v>6</v>
      </c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23"/>
    </row>
    <row r="29" ht="30.0" customHeight="1">
      <c r="B29" s="32" t="s">
        <v>64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10" t="s">
        <v>6</v>
      </c>
      <c r="W29" s="61"/>
      <c r="X29" s="61"/>
      <c r="Y29" s="61"/>
      <c r="Z29" s="61"/>
      <c r="AA29" s="61"/>
      <c r="AB29" s="61"/>
      <c r="AC29" s="61"/>
      <c r="AD29" s="23"/>
    </row>
    <row r="30" ht="30.0" customHeight="1">
      <c r="B30" s="32" t="s">
        <v>65</v>
      </c>
      <c r="C30" s="36"/>
      <c r="D30" s="36"/>
      <c r="E30" s="36"/>
      <c r="F30" s="36"/>
      <c r="G30" s="36"/>
      <c r="H30" s="36"/>
      <c r="I30" s="36"/>
      <c r="J30" s="10" t="s">
        <v>6</v>
      </c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10" t="s">
        <v>6</v>
      </c>
      <c r="Y30" s="36"/>
      <c r="Z30" s="36"/>
      <c r="AA30" s="10" t="s">
        <v>6</v>
      </c>
      <c r="AB30" s="36"/>
      <c r="AC30" s="36"/>
      <c r="AD30" s="23"/>
    </row>
    <row r="31" ht="30.0" customHeight="1">
      <c r="B31" s="32" t="s">
        <v>66</v>
      </c>
      <c r="C31" s="61"/>
      <c r="D31" s="61"/>
      <c r="E31" s="61"/>
      <c r="F31" s="10" t="s">
        <v>6</v>
      </c>
      <c r="G31" s="61"/>
      <c r="H31" s="61"/>
      <c r="I31" s="61"/>
      <c r="J31" s="61"/>
      <c r="K31" s="10" t="s">
        <v>6</v>
      </c>
      <c r="L31" s="61"/>
      <c r="M31" s="61"/>
      <c r="N31" s="61"/>
      <c r="O31" s="61"/>
      <c r="P31" s="61"/>
      <c r="Q31" s="61"/>
      <c r="R31" s="10" t="s">
        <v>6</v>
      </c>
      <c r="S31" s="61"/>
      <c r="T31" s="10" t="s">
        <v>6</v>
      </c>
      <c r="U31" s="61"/>
      <c r="V31" s="10" t="s">
        <v>6</v>
      </c>
      <c r="W31" s="61"/>
      <c r="X31" s="10" t="s">
        <v>6</v>
      </c>
      <c r="Y31" s="61"/>
      <c r="Z31" s="61"/>
      <c r="AA31" s="10" t="s">
        <v>6</v>
      </c>
      <c r="AB31" s="61"/>
      <c r="AC31" s="61"/>
      <c r="AD31" s="23"/>
    </row>
    <row r="32" ht="30.0" customHeight="1">
      <c r="B32" s="32" t="s">
        <v>184</v>
      </c>
      <c r="C32" s="10" t="s">
        <v>6</v>
      </c>
      <c r="D32" s="36"/>
      <c r="E32" s="10" t="s">
        <v>6</v>
      </c>
      <c r="F32" s="10" t="s">
        <v>6</v>
      </c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23"/>
    </row>
    <row r="33" ht="30.0" customHeight="1">
      <c r="B33" s="32" t="s">
        <v>185</v>
      </c>
      <c r="C33" s="21"/>
      <c r="D33" s="10" t="s">
        <v>6</v>
      </c>
      <c r="E33" s="21"/>
      <c r="F33" s="10" t="s">
        <v>6</v>
      </c>
      <c r="G33" s="21"/>
      <c r="H33" s="21"/>
      <c r="I33" s="21"/>
      <c r="J33" s="21"/>
      <c r="K33" s="10" t="s">
        <v>6</v>
      </c>
      <c r="L33" s="21"/>
      <c r="M33" s="21"/>
      <c r="N33" s="22"/>
      <c r="O33" s="21"/>
      <c r="P33" s="21"/>
      <c r="Q33" s="22"/>
      <c r="R33" s="10" t="s">
        <v>6</v>
      </c>
      <c r="S33" s="21"/>
      <c r="T33" s="21"/>
      <c r="U33" s="21"/>
      <c r="V33" s="21"/>
      <c r="W33" s="21"/>
      <c r="X33" s="22"/>
      <c r="Y33" s="22"/>
      <c r="Z33" s="21"/>
      <c r="AA33" s="21"/>
      <c r="AB33" s="21"/>
      <c r="AC33" s="21"/>
      <c r="AD33" s="23"/>
    </row>
    <row r="34" ht="30.0" customHeight="1">
      <c r="B34" s="32" t="s">
        <v>186</v>
      </c>
      <c r="C34" s="21"/>
      <c r="D34" s="21"/>
      <c r="E34" s="21"/>
      <c r="F34" s="10" t="s">
        <v>6</v>
      </c>
      <c r="G34" s="21"/>
      <c r="H34" s="10" t="s">
        <v>6</v>
      </c>
      <c r="I34" s="21"/>
      <c r="J34" s="21"/>
      <c r="K34" s="10" t="s">
        <v>6</v>
      </c>
      <c r="L34" s="21"/>
      <c r="M34" s="10" t="s">
        <v>6</v>
      </c>
      <c r="N34" s="22"/>
      <c r="O34" s="21"/>
      <c r="P34" s="21"/>
      <c r="Q34" s="22"/>
      <c r="R34" s="10" t="s">
        <v>6</v>
      </c>
      <c r="S34" s="21"/>
      <c r="T34" s="10" t="s">
        <v>6</v>
      </c>
      <c r="U34" s="21"/>
      <c r="V34" s="21"/>
      <c r="W34" s="21"/>
      <c r="X34" s="22"/>
      <c r="Y34" s="10" t="s">
        <v>6</v>
      </c>
      <c r="Z34" s="21"/>
      <c r="AA34" s="10" t="s">
        <v>6</v>
      </c>
      <c r="AB34" s="21"/>
      <c r="AC34" s="21"/>
      <c r="AD34" s="23"/>
    </row>
    <row r="35" ht="30.0" customHeight="1">
      <c r="B35" s="32" t="s">
        <v>187</v>
      </c>
      <c r="C35" s="21"/>
      <c r="D35" s="21"/>
      <c r="E35" s="21"/>
      <c r="F35" s="21"/>
      <c r="G35" s="10" t="s">
        <v>6</v>
      </c>
      <c r="H35" s="21"/>
      <c r="I35" s="21"/>
      <c r="J35" s="21"/>
      <c r="K35" s="21"/>
      <c r="L35" s="21"/>
      <c r="M35" s="21"/>
      <c r="N35" s="22"/>
      <c r="O35" s="21"/>
      <c r="P35" s="21"/>
      <c r="Q35" s="22"/>
      <c r="R35" s="21"/>
      <c r="S35" s="21"/>
      <c r="T35" s="21"/>
      <c r="U35" s="21"/>
      <c r="V35" s="21"/>
      <c r="W35" s="21"/>
      <c r="X35" s="22"/>
      <c r="Y35" s="22"/>
      <c r="Z35" s="21"/>
      <c r="AA35" s="21"/>
      <c r="AB35" s="21"/>
      <c r="AC35" s="21"/>
      <c r="AD35" s="23"/>
    </row>
    <row r="36" ht="30.0" customHeight="1">
      <c r="B36" s="32" t="s">
        <v>188</v>
      </c>
      <c r="C36" s="21"/>
      <c r="D36" s="21"/>
      <c r="E36" s="21"/>
      <c r="F36" s="21"/>
      <c r="G36" s="21"/>
      <c r="H36" s="10" t="s">
        <v>6</v>
      </c>
      <c r="I36" s="21"/>
      <c r="J36" s="21"/>
      <c r="K36" s="21"/>
      <c r="L36" s="21"/>
      <c r="M36" s="10" t="s">
        <v>6</v>
      </c>
      <c r="N36" s="22"/>
      <c r="O36" s="21"/>
      <c r="P36" s="21"/>
      <c r="Q36" s="22"/>
      <c r="R36" s="21"/>
      <c r="S36" s="21"/>
      <c r="T36" s="21"/>
      <c r="U36" s="21"/>
      <c r="V36" s="21"/>
      <c r="W36" s="21"/>
      <c r="X36" s="22"/>
      <c r="Y36" s="22"/>
      <c r="Z36" s="21"/>
      <c r="AA36" s="10" t="s">
        <v>6</v>
      </c>
      <c r="AB36" s="21"/>
      <c r="AC36" s="21"/>
      <c r="AD36" s="23"/>
    </row>
    <row r="37" ht="30.0" customHeight="1">
      <c r="B37" s="32" t="s">
        <v>189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2"/>
      <c r="O37" s="21"/>
      <c r="P37" s="21"/>
      <c r="Q37" s="22"/>
      <c r="R37" s="21"/>
      <c r="S37" s="21"/>
      <c r="T37" s="10" t="s">
        <v>6</v>
      </c>
      <c r="U37" s="21"/>
      <c r="V37" s="21"/>
      <c r="W37" s="21"/>
      <c r="X37" s="10" t="s">
        <v>6</v>
      </c>
      <c r="Y37" s="22"/>
      <c r="Z37" s="21"/>
      <c r="AA37" s="21"/>
      <c r="AB37" s="21"/>
      <c r="AC37" s="21"/>
      <c r="AD37" s="23"/>
    </row>
    <row r="38" ht="30.0" customHeight="1">
      <c r="B38" s="32" t="s">
        <v>190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2"/>
      <c r="O38" s="21"/>
      <c r="P38" s="21"/>
      <c r="Q38" s="22"/>
      <c r="R38" s="21"/>
      <c r="S38" s="21"/>
      <c r="T38" s="21"/>
      <c r="U38" s="21"/>
      <c r="V38" s="21"/>
      <c r="W38" s="21"/>
      <c r="X38" s="22"/>
      <c r="Y38" s="22"/>
      <c r="Z38" s="21"/>
      <c r="AA38" s="10" t="s">
        <v>6</v>
      </c>
      <c r="AB38" s="21"/>
      <c r="AC38" s="21"/>
      <c r="AD38" s="23"/>
    </row>
    <row r="39" ht="30.0" customHeight="1">
      <c r="B39" s="24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</row>
    <row r="40" ht="30.0" customHeight="1"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</row>
    <row r="41" ht="30.0" customHeight="1">
      <c r="B41" s="24" t="str">
        <f>Febrero!MonthName&amp;" Total"</f>
        <v>Enero Total</v>
      </c>
      <c r="C41" s="25">
        <f>SUBTOTAL(103,Febrero!$C$7)</f>
        <v>0</v>
      </c>
      <c r="D41" s="25">
        <f>SUBTOTAL(103,Febrero!$D$7)</f>
        <v>0</v>
      </c>
      <c r="E41" s="25">
        <f>SUBTOTAL(103,Febrero!$E$7)</f>
        <v>0</v>
      </c>
      <c r="F41" s="25"/>
      <c r="G41" s="25">
        <f>SUBTOTAL(103,Febrero!$G$7)</f>
        <v>0</v>
      </c>
      <c r="H41" s="25">
        <f>SUBTOTAL(103,Febrero!$H$7)</f>
        <v>0</v>
      </c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</row>
    <row r="42" ht="30.0" customHeight="1">
      <c r="AD42" s="5"/>
    </row>
    <row r="43" ht="30.0" customHeight="1">
      <c r="AD43" s="5"/>
    </row>
    <row r="44" ht="30.0" customHeight="1">
      <c r="B44" s="30" t="s">
        <v>12</v>
      </c>
      <c r="C44" s="27" t="s">
        <v>67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39">
        <v>2026.0</v>
      </c>
    </row>
    <row r="45" ht="30.0" customHeight="1">
      <c r="B45" s="30"/>
      <c r="C45" s="16" t="str">
        <f>TEXT(WEEKDAY(DATE(Febrero!CalendarioAño,1,5),1),"ddd")</f>
        <v>lun</v>
      </c>
      <c r="D45" s="16" t="str">
        <f>TEXT(WEEKDAY(DATE(Febrero!CalendarioAño,1,6),1),"ddd")</f>
        <v>mar</v>
      </c>
      <c r="E45" s="16" t="str">
        <f>TEXT(WEEKDAY(DATE(Febrero!CalendarioAño,1,7),1),"ddd")</f>
        <v>mié</v>
      </c>
      <c r="F45" s="16" t="str">
        <f>TEXT(WEEKDAY(DATE(Febrero!CalendarioAño,1,8),1),"ddd")</f>
        <v>jue</v>
      </c>
      <c r="G45" s="16" t="str">
        <f>TEXT(WEEKDAY(DATE(Febrero!CalendarioAño,1,9),1),"ddd")</f>
        <v>vie</v>
      </c>
      <c r="H45" s="16" t="str">
        <f>TEXT(WEEKDAY(DATE(Febrero!CalendarioAño,1,10),1),"ddd")</f>
        <v>sáb</v>
      </c>
      <c r="I45" s="16" t="str">
        <f>TEXT(WEEKDAY(DATE(Febrero!CalendarioAño,1,11),1),"ddd")</f>
        <v>dom</v>
      </c>
      <c r="J45" s="69" t="str">
        <f>TEXT(WEEKDAY(DATE(Febrero!CalendarioAño,1,5),1),"ddd")</f>
        <v>lun</v>
      </c>
      <c r="K45" s="69" t="str">
        <f>TEXT(WEEKDAY(DATE(Febrero!CalendarioAño,1,6),1),"ddd")</f>
        <v>mar</v>
      </c>
      <c r="L45" s="69" t="str">
        <f>TEXT(WEEKDAY(DATE(Febrero!CalendarioAño,1,7),1),"ddd")</f>
        <v>mié</v>
      </c>
      <c r="M45" s="69" t="str">
        <f>TEXT(WEEKDAY(DATE(Febrero!CalendarioAño,1,8),1),"ddd")</f>
        <v>jue</v>
      </c>
      <c r="N45" s="69" t="str">
        <f>TEXT(WEEKDAY(DATE(Febrero!CalendarioAño,1,9),1),"ddd")</f>
        <v>vie</v>
      </c>
      <c r="O45" s="69" t="str">
        <f>TEXT(WEEKDAY(DATE(Febrero!CalendarioAño,1,10),1),"ddd")</f>
        <v>sáb</v>
      </c>
      <c r="P45" s="69" t="str">
        <f>TEXT(WEEKDAY(DATE(Febrero!CalendarioAño,1,11),1),"ddd")</f>
        <v>dom</v>
      </c>
      <c r="Q45" s="69" t="str">
        <f>TEXT(WEEKDAY(DATE(Febrero!CalendarioAño,1,5),1),"ddd")</f>
        <v>lun</v>
      </c>
      <c r="R45" s="69" t="str">
        <f>TEXT(WEEKDAY(DATE(Febrero!CalendarioAño,1,6),1),"ddd")</f>
        <v>mar</v>
      </c>
      <c r="S45" s="69" t="str">
        <f>TEXT(WEEKDAY(DATE(Febrero!CalendarioAño,1,7),1),"ddd")</f>
        <v>mié</v>
      </c>
      <c r="T45" s="69" t="str">
        <f>TEXT(WEEKDAY(DATE(Febrero!CalendarioAño,1,8),1),"ddd")</f>
        <v>jue</v>
      </c>
      <c r="U45" s="69" t="str">
        <f>TEXT(WEEKDAY(DATE(Febrero!CalendarioAño,1,9),1),"ddd")</f>
        <v>vie</v>
      </c>
      <c r="V45" s="69" t="str">
        <f>TEXT(WEEKDAY(DATE(Febrero!CalendarioAño,1,10),1),"ddd")</f>
        <v>sáb</v>
      </c>
      <c r="W45" s="69" t="str">
        <f>TEXT(WEEKDAY(DATE(Febrero!CalendarioAño,1,11),1),"ddd")</f>
        <v>dom</v>
      </c>
      <c r="X45" s="69" t="str">
        <f>TEXT(WEEKDAY(DATE(Febrero!CalendarioAño,1,5),1),"ddd")</f>
        <v>lun</v>
      </c>
      <c r="Y45" s="69" t="str">
        <f>TEXT(WEEKDAY(DATE(Febrero!CalendarioAño,1,6),1),"ddd")</f>
        <v>mar</v>
      </c>
      <c r="Z45" s="69" t="str">
        <f>TEXT(WEEKDAY(DATE(Febrero!CalendarioAño,1,7),1),"ddd")</f>
        <v>mié</v>
      </c>
      <c r="AA45" s="69" t="str">
        <f>TEXT(WEEKDAY(DATE(Febrero!CalendarioAño,1,8),1),"ddd")</f>
        <v>jue</v>
      </c>
      <c r="AB45" s="69" t="str">
        <f>TEXT(WEEKDAY(DATE(Febrero!CalendarioAño,1,9),1),"ddd")</f>
        <v>vie</v>
      </c>
      <c r="AC45" s="69" t="str">
        <f>TEXT(WEEKDAY(DATE(Febrero!CalendarioAño,1,10),1),"ddd")</f>
        <v>sáb</v>
      </c>
      <c r="AD45" s="30"/>
    </row>
    <row r="46" ht="30.0" customHeight="1">
      <c r="A46" s="17"/>
      <c r="B46" s="31" t="s">
        <v>14</v>
      </c>
      <c r="C46" s="70">
        <v>2.0</v>
      </c>
      <c r="D46" s="70">
        <v>3.0</v>
      </c>
      <c r="E46" s="70">
        <v>4.0</v>
      </c>
      <c r="F46" s="70">
        <v>5.0</v>
      </c>
      <c r="G46" s="70">
        <v>6.0</v>
      </c>
      <c r="H46" s="70">
        <v>7.0</v>
      </c>
      <c r="I46" s="70">
        <v>8.0</v>
      </c>
      <c r="J46" s="70">
        <v>9.0</v>
      </c>
      <c r="K46" s="70">
        <v>10.0</v>
      </c>
      <c r="L46" s="70">
        <v>11.0</v>
      </c>
      <c r="M46" s="70">
        <v>12.0</v>
      </c>
      <c r="N46" s="70">
        <v>13.0</v>
      </c>
      <c r="O46" s="70">
        <v>14.0</v>
      </c>
      <c r="P46" s="70">
        <v>15.0</v>
      </c>
      <c r="Q46" s="70">
        <v>16.0</v>
      </c>
      <c r="R46" s="70">
        <v>17.0</v>
      </c>
      <c r="S46" s="70">
        <v>18.0</v>
      </c>
      <c r="T46" s="70">
        <v>19.0</v>
      </c>
      <c r="U46" s="70">
        <v>20.0</v>
      </c>
      <c r="V46" s="70">
        <v>21.0</v>
      </c>
      <c r="W46" s="70">
        <v>22.0</v>
      </c>
      <c r="X46" s="70">
        <v>23.0</v>
      </c>
      <c r="Y46" s="70">
        <v>24.0</v>
      </c>
      <c r="Z46" s="70">
        <v>25.0</v>
      </c>
      <c r="AA46" s="70">
        <v>26.0</v>
      </c>
      <c r="AB46" s="70">
        <v>27.0</v>
      </c>
      <c r="AC46" s="70">
        <v>28.0</v>
      </c>
      <c r="AD46" s="19" t="s">
        <v>46</v>
      </c>
    </row>
    <row r="47" ht="30.0" customHeight="1">
      <c r="B47" s="40" t="s">
        <v>68</v>
      </c>
      <c r="C47" s="36"/>
      <c r="D47" s="36"/>
      <c r="E47" s="10" t="s">
        <v>6</v>
      </c>
      <c r="F47" s="36"/>
      <c r="G47" s="10" t="s">
        <v>6</v>
      </c>
      <c r="H47" s="10" t="s">
        <v>6</v>
      </c>
      <c r="I47" s="36"/>
      <c r="J47" s="10" t="s">
        <v>6</v>
      </c>
      <c r="K47" s="36"/>
      <c r="L47" s="10" t="s">
        <v>6</v>
      </c>
      <c r="M47" s="36"/>
      <c r="N47" s="36"/>
      <c r="O47" s="36"/>
      <c r="P47" s="36"/>
      <c r="Q47" s="10" t="s">
        <v>6</v>
      </c>
      <c r="R47" s="36"/>
      <c r="S47" s="10" t="s">
        <v>6</v>
      </c>
      <c r="T47" s="36"/>
      <c r="U47" s="36"/>
      <c r="V47" s="36"/>
      <c r="W47" s="36"/>
      <c r="X47" s="10" t="s">
        <v>6</v>
      </c>
      <c r="Y47" s="36"/>
      <c r="Z47" s="10" t="s">
        <v>6</v>
      </c>
      <c r="AA47" s="36"/>
      <c r="AB47" s="36"/>
      <c r="AC47" s="36"/>
      <c r="AD47" s="23"/>
    </row>
    <row r="48" ht="30.0" customHeight="1">
      <c r="B48" s="40" t="s">
        <v>69</v>
      </c>
      <c r="C48" s="10" t="s">
        <v>6</v>
      </c>
      <c r="D48" s="61"/>
      <c r="E48" s="10" t="s">
        <v>6</v>
      </c>
      <c r="F48" s="61"/>
      <c r="G48" s="10" t="s">
        <v>6</v>
      </c>
      <c r="H48" s="61"/>
      <c r="I48" s="61"/>
      <c r="J48" s="61"/>
      <c r="K48" s="61"/>
      <c r="L48" s="61"/>
      <c r="M48" s="61"/>
      <c r="N48" s="61"/>
      <c r="O48" s="61"/>
      <c r="P48" s="61"/>
      <c r="Q48" s="10" t="s">
        <v>6</v>
      </c>
      <c r="R48" s="61"/>
      <c r="S48" s="10" t="s">
        <v>6</v>
      </c>
      <c r="T48" s="61"/>
      <c r="U48" s="10" t="s">
        <v>6</v>
      </c>
      <c r="V48" s="61"/>
      <c r="W48" s="61"/>
      <c r="X48" s="61"/>
      <c r="Y48" s="61"/>
      <c r="Z48" s="10" t="s">
        <v>6</v>
      </c>
      <c r="AA48" s="61"/>
      <c r="AB48" s="61"/>
      <c r="AC48" s="61"/>
      <c r="AD48" s="23"/>
    </row>
    <row r="49" ht="30.0" customHeight="1">
      <c r="B49" s="32" t="s">
        <v>70</v>
      </c>
      <c r="C49" s="36"/>
      <c r="D49" s="36"/>
      <c r="E49" s="36"/>
      <c r="F49" s="10" t="s">
        <v>6</v>
      </c>
      <c r="G49" s="36"/>
      <c r="H49" s="36"/>
      <c r="I49" s="36"/>
      <c r="J49" s="36"/>
      <c r="K49" s="10" t="s">
        <v>6</v>
      </c>
      <c r="L49" s="36"/>
      <c r="M49" s="10" t="s">
        <v>6</v>
      </c>
      <c r="N49" s="36"/>
      <c r="O49" s="36"/>
      <c r="P49" s="36"/>
      <c r="Q49" s="36"/>
      <c r="R49" s="36"/>
      <c r="S49" s="36"/>
      <c r="T49" s="10" t="s">
        <v>6</v>
      </c>
      <c r="U49" s="36"/>
      <c r="V49" s="36"/>
      <c r="W49" s="36"/>
      <c r="X49" s="10" t="s">
        <v>6</v>
      </c>
      <c r="Y49" s="36"/>
      <c r="Z49" s="36"/>
      <c r="AA49" s="10" t="s">
        <v>6</v>
      </c>
      <c r="AB49" s="36"/>
      <c r="AC49" s="36"/>
      <c r="AD49" s="23"/>
    </row>
    <row r="50" ht="30.0" customHeight="1">
      <c r="B50" s="32" t="s">
        <v>71</v>
      </c>
      <c r="C50" s="61"/>
      <c r="D50" s="10" t="s">
        <v>6</v>
      </c>
      <c r="E50" s="61"/>
      <c r="F50" s="61"/>
      <c r="G50" s="61"/>
      <c r="H50" s="61"/>
      <c r="I50" s="61"/>
      <c r="J50" s="61"/>
      <c r="K50" s="10" t="s">
        <v>6</v>
      </c>
      <c r="L50" s="61"/>
      <c r="M50" s="61"/>
      <c r="N50" s="61"/>
      <c r="O50" s="61"/>
      <c r="P50" s="61"/>
      <c r="Q50" s="61"/>
      <c r="R50" s="61"/>
      <c r="S50" s="61"/>
      <c r="T50" s="10" t="s">
        <v>6</v>
      </c>
      <c r="U50" s="61"/>
      <c r="V50" s="61"/>
      <c r="W50" s="61"/>
      <c r="X50" s="61"/>
      <c r="Y50" s="61"/>
      <c r="Z50" s="61"/>
      <c r="AA50" s="61"/>
      <c r="AB50" s="61"/>
      <c r="AC50" s="61"/>
      <c r="AD50" s="23"/>
    </row>
    <row r="51" ht="30.0" customHeight="1">
      <c r="B51" s="32" t="s">
        <v>72</v>
      </c>
      <c r="C51" s="36"/>
      <c r="D51" s="36"/>
      <c r="E51" s="10" t="s">
        <v>6</v>
      </c>
      <c r="F51" s="36"/>
      <c r="G51" s="10" t="s">
        <v>6</v>
      </c>
      <c r="H51" s="36"/>
      <c r="I51" s="36"/>
      <c r="J51" s="36"/>
      <c r="K51" s="36"/>
      <c r="L51" s="10" t="s">
        <v>6</v>
      </c>
      <c r="M51" s="36"/>
      <c r="N51" s="10" t="s">
        <v>6</v>
      </c>
      <c r="O51" s="36"/>
      <c r="P51" s="36"/>
      <c r="Q51" s="36"/>
      <c r="R51" s="36"/>
      <c r="S51" s="10" t="s">
        <v>6</v>
      </c>
      <c r="T51" s="36"/>
      <c r="U51" s="10" t="s">
        <v>6</v>
      </c>
      <c r="V51" s="36"/>
      <c r="W51" s="36"/>
      <c r="X51" s="36"/>
      <c r="Y51" s="36"/>
      <c r="Z51" s="10" t="s">
        <v>6</v>
      </c>
      <c r="AA51" s="36"/>
      <c r="AB51" s="36"/>
      <c r="AC51" s="36"/>
      <c r="AD51" s="23"/>
    </row>
    <row r="52" ht="30.0" customHeight="1">
      <c r="B52" s="32" t="s">
        <v>73</v>
      </c>
      <c r="C52" s="36"/>
      <c r="D52" s="10" t="s">
        <v>6</v>
      </c>
      <c r="E52" s="10" t="s">
        <v>6</v>
      </c>
      <c r="F52" s="36"/>
      <c r="G52" s="36"/>
      <c r="H52" s="36"/>
      <c r="I52" s="36"/>
      <c r="J52" s="10" t="s">
        <v>6</v>
      </c>
      <c r="K52" s="10" t="s">
        <v>6</v>
      </c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10" t="s">
        <v>6</v>
      </c>
      <c r="Y52" s="36"/>
      <c r="Z52" s="10" t="s">
        <v>6</v>
      </c>
      <c r="AA52" s="36"/>
      <c r="AB52" s="36"/>
      <c r="AC52" s="36"/>
      <c r="AD52" s="23"/>
    </row>
    <row r="53" ht="30.0" customHeight="1">
      <c r="B53" s="32" t="s">
        <v>74</v>
      </c>
      <c r="C53" s="61"/>
      <c r="D53" s="61"/>
      <c r="E53" s="10" t="s">
        <v>6</v>
      </c>
      <c r="F53" s="61"/>
      <c r="G53" s="10" t="s">
        <v>6</v>
      </c>
      <c r="H53" s="61"/>
      <c r="I53" s="61"/>
      <c r="J53" s="61"/>
      <c r="K53" s="61"/>
      <c r="L53" s="10" t="s">
        <v>6</v>
      </c>
      <c r="M53" s="61"/>
      <c r="N53" s="10" t="s">
        <v>6</v>
      </c>
      <c r="O53" s="61"/>
      <c r="P53" s="61"/>
      <c r="Q53" s="61"/>
      <c r="R53" s="61"/>
      <c r="S53" s="10" t="s">
        <v>6</v>
      </c>
      <c r="T53" s="61"/>
      <c r="U53" s="10" t="s">
        <v>6</v>
      </c>
      <c r="V53" s="61"/>
      <c r="W53" s="61"/>
      <c r="X53" s="61"/>
      <c r="Y53" s="61"/>
      <c r="Z53" s="10" t="s">
        <v>6</v>
      </c>
      <c r="AA53" s="61"/>
      <c r="AB53" s="61"/>
      <c r="AC53" s="61"/>
      <c r="AD53" s="23"/>
    </row>
    <row r="54" ht="30.0" customHeight="1">
      <c r="B54" s="32" t="s">
        <v>75</v>
      </c>
      <c r="C54" s="36"/>
      <c r="D54" s="36"/>
      <c r="E54" s="36"/>
      <c r="F54" s="10" t="s">
        <v>6</v>
      </c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10" t="s">
        <v>6</v>
      </c>
      <c r="AA54" s="10" t="s">
        <v>6</v>
      </c>
      <c r="AB54" s="36"/>
      <c r="AC54" s="36"/>
      <c r="AD54" s="23"/>
    </row>
    <row r="55" ht="30.0" customHeight="1">
      <c r="B55" s="32" t="s">
        <v>76</v>
      </c>
      <c r="C55" s="10" t="s">
        <v>6</v>
      </c>
      <c r="D55" s="61"/>
      <c r="E55" s="10" t="s">
        <v>6</v>
      </c>
      <c r="F55" s="61"/>
      <c r="G55" s="61"/>
      <c r="H55" s="61"/>
      <c r="I55" s="61"/>
      <c r="J55" s="61"/>
      <c r="K55" s="61"/>
      <c r="L55" s="61"/>
      <c r="M55" s="61"/>
      <c r="N55" s="10" t="s">
        <v>6</v>
      </c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23"/>
    </row>
    <row r="56" ht="30.0" customHeight="1">
      <c r="B56" s="40" t="s">
        <v>77</v>
      </c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23"/>
    </row>
    <row r="57" ht="30.0" customHeight="1">
      <c r="B57" s="32" t="s">
        <v>79</v>
      </c>
      <c r="C57" s="61"/>
      <c r="D57" s="61"/>
      <c r="E57" s="61"/>
      <c r="F57" s="61"/>
      <c r="G57" s="61"/>
      <c r="H57" s="10" t="s">
        <v>6</v>
      </c>
      <c r="I57" s="61"/>
      <c r="J57" s="61"/>
      <c r="K57" s="61"/>
      <c r="L57" s="61"/>
      <c r="M57" s="61"/>
      <c r="N57" s="61"/>
      <c r="O57" s="10" t="s">
        <v>6</v>
      </c>
      <c r="P57" s="61"/>
      <c r="Q57" s="61"/>
      <c r="R57" s="61"/>
      <c r="S57" s="61"/>
      <c r="T57" s="61"/>
      <c r="U57" s="61"/>
      <c r="V57" s="10" t="s">
        <v>6</v>
      </c>
      <c r="W57" s="61"/>
      <c r="X57" s="61"/>
      <c r="Y57" s="61"/>
      <c r="Z57" s="61"/>
      <c r="AA57" s="61"/>
      <c r="AB57" s="61"/>
      <c r="AC57" s="61"/>
      <c r="AD57" s="23"/>
    </row>
    <row r="58" ht="30.0" customHeight="1">
      <c r="B58" s="32" t="s">
        <v>80</v>
      </c>
      <c r="C58" s="36"/>
      <c r="D58" s="36"/>
      <c r="E58" s="36"/>
      <c r="F58" s="36"/>
      <c r="G58" s="10" t="s">
        <v>6</v>
      </c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10" t="s">
        <v>6</v>
      </c>
      <c r="V58" s="36"/>
      <c r="W58" s="36"/>
      <c r="X58" s="36"/>
      <c r="Y58" s="36"/>
      <c r="Z58" s="10" t="s">
        <v>6</v>
      </c>
      <c r="AA58" s="36"/>
      <c r="AB58" s="36"/>
      <c r="AC58" s="36"/>
      <c r="AD58" s="23"/>
    </row>
    <row r="59" ht="30.0" customHeight="1">
      <c r="B59" s="32" t="s">
        <v>81</v>
      </c>
      <c r="C59" s="10" t="s">
        <v>6</v>
      </c>
      <c r="D59" s="61"/>
      <c r="E59" s="10" t="s">
        <v>6</v>
      </c>
      <c r="F59" s="61"/>
      <c r="G59" s="10" t="s">
        <v>6</v>
      </c>
      <c r="H59" s="61"/>
      <c r="I59" s="61"/>
      <c r="J59" s="61"/>
      <c r="K59" s="10" t="s">
        <v>6</v>
      </c>
      <c r="L59" s="10" t="s">
        <v>6</v>
      </c>
      <c r="M59" s="61"/>
      <c r="N59" s="61"/>
      <c r="O59" s="61"/>
      <c r="P59" s="61"/>
      <c r="Q59" s="10" t="s">
        <v>6</v>
      </c>
      <c r="R59" s="61"/>
      <c r="S59" s="61"/>
      <c r="T59" s="10" t="s">
        <v>6</v>
      </c>
      <c r="U59" s="61"/>
      <c r="V59" s="61"/>
      <c r="W59" s="61"/>
      <c r="X59" s="61"/>
      <c r="Y59" s="61"/>
      <c r="Z59" s="61"/>
      <c r="AA59" s="61"/>
      <c r="AB59" s="61"/>
      <c r="AC59" s="61"/>
      <c r="AD59" s="23"/>
    </row>
    <row r="60" ht="30.0" customHeight="1">
      <c r="B60" s="32" t="s">
        <v>82</v>
      </c>
      <c r="C60" s="36"/>
      <c r="D60" s="10" t="s">
        <v>6</v>
      </c>
      <c r="E60" s="10" t="s">
        <v>6</v>
      </c>
      <c r="F60" s="36"/>
      <c r="G60" s="36"/>
      <c r="H60" s="36"/>
      <c r="I60" s="36"/>
      <c r="J60" s="36"/>
      <c r="K60" s="10" t="s">
        <v>6</v>
      </c>
      <c r="L60" s="36"/>
      <c r="M60" s="10" t="s">
        <v>6</v>
      </c>
      <c r="N60" s="36"/>
      <c r="O60" s="36"/>
      <c r="P60" s="36"/>
      <c r="Q60" s="36"/>
      <c r="R60" s="36"/>
      <c r="S60" s="10" t="s">
        <v>6</v>
      </c>
      <c r="T60" s="36"/>
      <c r="U60" s="10" t="s">
        <v>6</v>
      </c>
      <c r="V60" s="36"/>
      <c r="W60" s="36"/>
      <c r="X60" s="36"/>
      <c r="Y60" s="10" t="s">
        <v>6</v>
      </c>
      <c r="Z60" s="36"/>
      <c r="AA60" s="10" t="s">
        <v>6</v>
      </c>
      <c r="AB60" s="36"/>
      <c r="AC60" s="36"/>
      <c r="AD60" s="23"/>
    </row>
    <row r="61" ht="30.0" customHeight="1">
      <c r="B61" s="32" t="s">
        <v>83</v>
      </c>
      <c r="C61" s="36"/>
      <c r="D61" s="10" t="s">
        <v>6</v>
      </c>
      <c r="E61" s="36"/>
      <c r="F61" s="10" t="s">
        <v>6</v>
      </c>
      <c r="G61" s="36"/>
      <c r="H61" s="36"/>
      <c r="I61" s="36"/>
      <c r="J61" s="36"/>
      <c r="K61" s="36"/>
      <c r="L61" s="36"/>
      <c r="M61" s="36"/>
      <c r="N61" s="10" t="s">
        <v>6</v>
      </c>
      <c r="O61" s="36"/>
      <c r="P61" s="36"/>
      <c r="Q61" s="36"/>
      <c r="R61" s="10" t="s">
        <v>6</v>
      </c>
      <c r="S61" s="36"/>
      <c r="T61" s="10" t="s">
        <v>6</v>
      </c>
      <c r="U61" s="36"/>
      <c r="V61" s="36"/>
      <c r="W61" s="36"/>
      <c r="X61" s="36"/>
      <c r="Y61" s="36"/>
      <c r="Z61" s="36"/>
      <c r="AA61" s="36"/>
      <c r="AB61" s="36"/>
      <c r="AC61" s="36"/>
      <c r="AD61" s="23"/>
    </row>
    <row r="62" ht="30.0" customHeight="1">
      <c r="B62" s="32" t="s">
        <v>84</v>
      </c>
      <c r="C62" s="61"/>
      <c r="D62" s="61"/>
      <c r="E62" s="61"/>
      <c r="F62" s="10" t="s">
        <v>6</v>
      </c>
      <c r="G62" s="61"/>
      <c r="H62" s="10" t="s">
        <v>6</v>
      </c>
      <c r="I62" s="61"/>
      <c r="J62" s="61"/>
      <c r="K62" s="61"/>
      <c r="L62" s="61"/>
      <c r="M62" s="61"/>
      <c r="N62" s="10" t="s">
        <v>6</v>
      </c>
      <c r="O62" s="61"/>
      <c r="P62" s="61"/>
      <c r="Q62" s="61"/>
      <c r="R62" s="61"/>
      <c r="S62" s="61"/>
      <c r="T62" s="10" t="s">
        <v>6</v>
      </c>
      <c r="U62" s="61"/>
      <c r="V62" s="61"/>
      <c r="W62" s="61"/>
      <c r="X62" s="61"/>
      <c r="Y62" s="61"/>
      <c r="Z62" s="61"/>
      <c r="AA62" s="61"/>
      <c r="AB62" s="61"/>
      <c r="AC62" s="61"/>
      <c r="AD62" s="25"/>
    </row>
    <row r="63" ht="30.0" customHeight="1">
      <c r="B63" s="32" t="s">
        <v>85</v>
      </c>
      <c r="C63" s="36"/>
      <c r="D63" s="36"/>
      <c r="E63" s="36"/>
      <c r="F63" s="36"/>
      <c r="G63" s="10" t="s">
        <v>6</v>
      </c>
      <c r="H63" s="36"/>
      <c r="I63" s="36"/>
      <c r="J63" s="36"/>
      <c r="K63" s="10" t="s">
        <v>6</v>
      </c>
      <c r="L63" s="36"/>
      <c r="M63" s="36"/>
      <c r="N63" s="10" t="s">
        <v>6</v>
      </c>
      <c r="O63" s="36"/>
      <c r="P63" s="36"/>
      <c r="Q63" s="36"/>
      <c r="R63" s="10" t="s">
        <v>6</v>
      </c>
      <c r="S63" s="36"/>
      <c r="T63" s="36"/>
      <c r="U63" s="36"/>
      <c r="V63" s="36"/>
      <c r="W63" s="36"/>
      <c r="X63" s="36"/>
      <c r="Y63" s="10" t="s">
        <v>6</v>
      </c>
      <c r="Z63" s="36"/>
      <c r="AA63" s="36"/>
      <c r="AB63" s="36"/>
      <c r="AC63" s="36"/>
      <c r="AD63" s="25"/>
    </row>
    <row r="64" ht="30.0" customHeight="1">
      <c r="B64" s="32" t="s">
        <v>86</v>
      </c>
      <c r="C64" s="61"/>
      <c r="D64" s="61"/>
      <c r="E64" s="61"/>
      <c r="F64" s="10" t="s">
        <v>6</v>
      </c>
      <c r="G64" s="61"/>
      <c r="H64" s="10" t="s">
        <v>6</v>
      </c>
      <c r="I64" s="61"/>
      <c r="J64" s="61"/>
      <c r="K64" s="61"/>
      <c r="L64" s="61"/>
      <c r="M64" s="10" t="s">
        <v>6</v>
      </c>
      <c r="N64" s="61"/>
      <c r="O64" s="10" t="s">
        <v>6</v>
      </c>
      <c r="P64" s="61"/>
      <c r="Q64" s="61"/>
      <c r="R64" s="10" t="s">
        <v>6</v>
      </c>
      <c r="S64" s="61"/>
      <c r="T64" s="61"/>
      <c r="U64" s="61"/>
      <c r="V64" s="61"/>
      <c r="W64" s="61"/>
      <c r="X64" s="61"/>
      <c r="Y64" s="61"/>
      <c r="Z64" s="61"/>
      <c r="AA64" s="10" t="s">
        <v>6</v>
      </c>
      <c r="AB64" s="61"/>
      <c r="AC64" s="61"/>
      <c r="AD64" s="25"/>
    </row>
    <row r="65" ht="30.0" customHeight="1">
      <c r="B65" s="32" t="s">
        <v>87</v>
      </c>
      <c r="C65" s="10" t="s">
        <v>6</v>
      </c>
      <c r="D65" s="36"/>
      <c r="E65" s="36"/>
      <c r="F65" s="36"/>
      <c r="G65" s="10" t="s">
        <v>6</v>
      </c>
      <c r="H65" s="36"/>
      <c r="I65" s="36"/>
      <c r="J65" s="10" t="s">
        <v>6</v>
      </c>
      <c r="K65" s="36"/>
      <c r="L65" s="36"/>
      <c r="M65" s="36"/>
      <c r="N65" s="10" t="s">
        <v>6</v>
      </c>
      <c r="O65" s="36"/>
      <c r="P65" s="36"/>
      <c r="Q65" s="10" t="s">
        <v>6</v>
      </c>
      <c r="R65" s="36"/>
      <c r="S65" s="36"/>
      <c r="T65" s="36"/>
      <c r="U65" s="36"/>
      <c r="V65" s="10" t="s">
        <v>6</v>
      </c>
      <c r="W65" s="36"/>
      <c r="X65" s="10" t="s">
        <v>6</v>
      </c>
      <c r="Y65" s="36"/>
      <c r="Z65" s="36"/>
      <c r="AA65" s="36"/>
      <c r="AB65" s="36"/>
      <c r="AC65" s="36"/>
      <c r="AD65" s="25"/>
    </row>
    <row r="66" ht="30.0" customHeight="1">
      <c r="B66" s="32" t="s">
        <v>88</v>
      </c>
      <c r="C66" s="25"/>
      <c r="D66" s="10" t="s">
        <v>6</v>
      </c>
      <c r="E66" s="25"/>
      <c r="F66" s="25"/>
      <c r="G66" s="25"/>
      <c r="H66" s="10" t="s">
        <v>6</v>
      </c>
      <c r="I66" s="25"/>
      <c r="J66" s="25"/>
      <c r="K66" s="10" t="s">
        <v>6</v>
      </c>
      <c r="L66" s="25"/>
      <c r="M66" s="25"/>
      <c r="N66" s="25"/>
      <c r="O66" s="10" t="s">
        <v>6</v>
      </c>
      <c r="P66" s="25"/>
      <c r="Q66" s="25"/>
      <c r="R66" s="25"/>
      <c r="S66" s="25"/>
      <c r="T66" s="25"/>
      <c r="U66" s="25"/>
      <c r="V66" s="10" t="s">
        <v>6</v>
      </c>
      <c r="W66" s="25"/>
      <c r="X66" s="25"/>
      <c r="Y66" s="25"/>
      <c r="Z66" s="25"/>
      <c r="AA66" s="25"/>
      <c r="AB66" s="25"/>
      <c r="AC66" s="25"/>
      <c r="AD66" s="25"/>
    </row>
    <row r="67" ht="30.0" customHeight="1">
      <c r="B67" s="32" t="s">
        <v>191</v>
      </c>
      <c r="C67" s="25"/>
      <c r="D67" s="10" t="s">
        <v>6</v>
      </c>
      <c r="E67" s="25"/>
      <c r="F67" s="10" t="s">
        <v>6</v>
      </c>
      <c r="G67" s="25"/>
      <c r="H67" s="25"/>
      <c r="I67" s="25"/>
      <c r="J67" s="25"/>
      <c r="K67" s="25"/>
      <c r="L67" s="25"/>
      <c r="M67" s="10" t="s">
        <v>6</v>
      </c>
      <c r="N67" s="25"/>
      <c r="O67" s="10" t="s">
        <v>6</v>
      </c>
      <c r="P67" s="25"/>
      <c r="Q67" s="25"/>
      <c r="R67" s="25"/>
      <c r="S67" s="25"/>
      <c r="T67" s="25"/>
      <c r="U67" s="10" t="s">
        <v>6</v>
      </c>
      <c r="V67" s="10" t="s">
        <v>6</v>
      </c>
      <c r="W67" s="25"/>
      <c r="X67" s="25"/>
      <c r="Y67" s="25"/>
      <c r="Z67" s="25"/>
      <c r="AA67" s="25"/>
      <c r="AB67" s="25"/>
      <c r="AC67" s="25"/>
      <c r="AD67" s="25"/>
    </row>
    <row r="68" ht="30.0" customHeight="1">
      <c r="B68" s="32" t="s">
        <v>192</v>
      </c>
      <c r="C68" s="25"/>
      <c r="D68" s="10" t="s">
        <v>6</v>
      </c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10" t="s">
        <v>6</v>
      </c>
      <c r="P68" s="25"/>
      <c r="Q68" s="25"/>
      <c r="R68" s="25"/>
      <c r="S68" s="25"/>
      <c r="T68" s="10" t="s">
        <v>6</v>
      </c>
      <c r="U68" s="10" t="s">
        <v>6</v>
      </c>
      <c r="V68" s="10" t="s">
        <v>6</v>
      </c>
      <c r="W68" s="25"/>
      <c r="X68" s="10" t="s">
        <v>6</v>
      </c>
      <c r="Y68" s="25"/>
      <c r="Z68" s="25"/>
      <c r="AA68" s="25"/>
      <c r="AB68" s="25"/>
      <c r="AC68" s="25"/>
      <c r="AD68" s="25"/>
    </row>
    <row r="69" ht="30.0" customHeight="1">
      <c r="A69" s="44"/>
      <c r="B69" s="45" t="s">
        <v>193</v>
      </c>
      <c r="C69" s="38"/>
      <c r="D69" s="46" t="s">
        <v>6</v>
      </c>
      <c r="E69" s="38"/>
      <c r="F69" s="38"/>
      <c r="G69" s="38"/>
      <c r="H69" s="46" t="s">
        <v>6</v>
      </c>
      <c r="I69" s="38"/>
      <c r="J69" s="38"/>
      <c r="K69" s="46" t="s">
        <v>6</v>
      </c>
      <c r="L69" s="38"/>
      <c r="M69" s="38"/>
      <c r="N69" s="46" t="s">
        <v>6</v>
      </c>
      <c r="O69" s="46" t="s">
        <v>6</v>
      </c>
      <c r="P69" s="38"/>
      <c r="Q69" s="38"/>
      <c r="R69" s="46" t="s">
        <v>6</v>
      </c>
      <c r="S69" s="38"/>
      <c r="T69" s="38"/>
      <c r="U69" s="38"/>
      <c r="V69" s="46" t="s">
        <v>6</v>
      </c>
      <c r="W69" s="38"/>
      <c r="X69" s="38"/>
      <c r="Y69" s="46" t="s">
        <v>6</v>
      </c>
      <c r="Z69" s="38"/>
      <c r="AA69" s="38"/>
      <c r="AB69" s="38"/>
      <c r="AC69" s="38"/>
      <c r="AD69" s="38"/>
    </row>
    <row r="70" ht="30.0" customHeight="1">
      <c r="B70" s="32" t="s">
        <v>194</v>
      </c>
      <c r="C70" s="25"/>
      <c r="D70" s="25"/>
      <c r="E70" s="10" t="s">
        <v>6</v>
      </c>
      <c r="F70" s="25"/>
      <c r="G70" s="25"/>
      <c r="H70" s="10" t="s">
        <v>6</v>
      </c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10" t="s">
        <v>6</v>
      </c>
      <c r="W70" s="25"/>
      <c r="X70" s="25"/>
      <c r="Y70" s="25"/>
      <c r="Z70" s="10" t="s">
        <v>6</v>
      </c>
      <c r="AA70" s="25"/>
      <c r="AB70" s="25"/>
      <c r="AC70" s="25"/>
      <c r="AD70" s="25"/>
    </row>
    <row r="71" ht="30.0" customHeight="1">
      <c r="B71" s="32" t="s">
        <v>195</v>
      </c>
      <c r="C71" s="25"/>
      <c r="D71" s="25"/>
      <c r="E71" s="25"/>
      <c r="F71" s="25"/>
      <c r="G71" s="25"/>
      <c r="H71" s="25"/>
      <c r="I71" s="25"/>
      <c r="J71" s="25"/>
      <c r="K71" s="10" t="s">
        <v>6</v>
      </c>
      <c r="L71" s="25"/>
      <c r="M71" s="10" t="s">
        <v>6</v>
      </c>
      <c r="N71" s="25"/>
      <c r="O71" s="25"/>
      <c r="P71" s="25"/>
      <c r="Q71" s="25"/>
      <c r="R71" s="10" t="s">
        <v>6</v>
      </c>
      <c r="S71" s="25"/>
      <c r="T71" s="10" t="s">
        <v>6</v>
      </c>
      <c r="U71" s="25"/>
      <c r="V71" s="25"/>
      <c r="W71" s="25"/>
      <c r="X71" s="25"/>
      <c r="Y71" s="25"/>
      <c r="Z71" s="25"/>
      <c r="AA71" s="25"/>
      <c r="AB71" s="25"/>
      <c r="AC71" s="25"/>
      <c r="AD71" s="25"/>
    </row>
    <row r="72" ht="30.0" customHeight="1">
      <c r="B72" s="32" t="s">
        <v>196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10" t="s">
        <v>6</v>
      </c>
      <c r="U72" s="25"/>
      <c r="V72" s="25"/>
      <c r="W72" s="25"/>
      <c r="X72" s="25"/>
      <c r="Y72" s="10" t="s">
        <v>6</v>
      </c>
      <c r="Z72" s="25"/>
      <c r="AA72" s="10" t="s">
        <v>6</v>
      </c>
      <c r="AB72" s="25"/>
      <c r="AC72" s="25"/>
      <c r="AD72" s="25"/>
    </row>
    <row r="73" ht="30.0" customHeight="1">
      <c r="B73" s="32" t="s">
        <v>197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10" t="s">
        <v>6</v>
      </c>
      <c r="AB73" s="25"/>
      <c r="AC73" s="25"/>
      <c r="AD73" s="25"/>
    </row>
    <row r="74" ht="30.0" customHeight="1">
      <c r="B74" s="32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</row>
    <row r="75" ht="30.0" customHeight="1">
      <c r="B75" s="32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</row>
    <row r="76" ht="30.0" customHeight="1">
      <c r="B76" s="24" t="str">
        <f>Febrero!MonthName&amp;" Total"</f>
        <v>Enero Total</v>
      </c>
      <c r="C76" s="25">
        <f>SUBTOTAL(103,Febrero!$C$7)</f>
        <v>0</v>
      </c>
      <c r="D76" s="25">
        <f>SUBTOTAL(103,Febrero!$D$7)</f>
        <v>0</v>
      </c>
      <c r="E76" s="25">
        <f>SUBTOTAL(103,Febrero!$E$7)</f>
        <v>0</v>
      </c>
      <c r="F76" s="25"/>
      <c r="G76" s="25">
        <f>SUBTOTAL(103,Febrero!$G$7)</f>
        <v>0</v>
      </c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</row>
    <row r="77" ht="30.0" customHeight="1">
      <c r="AD77" s="5"/>
    </row>
    <row r="78" ht="30.0" customHeight="1">
      <c r="B78" s="30" t="s">
        <v>12</v>
      </c>
      <c r="C78" s="27" t="s">
        <v>89</v>
      </c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39">
        <v>2026.0</v>
      </c>
    </row>
    <row r="79" ht="30.0" customHeight="1">
      <c r="B79" s="30"/>
      <c r="C79" s="16" t="str">
        <f>TEXT(WEEKDAY(DATE(Febrero!CalendarioAño,1,5),1),"ddd")</f>
        <v>lun</v>
      </c>
      <c r="D79" s="16" t="str">
        <f>TEXT(WEEKDAY(DATE(Febrero!CalendarioAño,1,6),1),"ddd")</f>
        <v>mar</v>
      </c>
      <c r="E79" s="16" t="str">
        <f>TEXT(WEEKDAY(DATE(Febrero!CalendarioAño,1,7),1),"ddd")</f>
        <v>mié</v>
      </c>
      <c r="F79" s="16" t="str">
        <f>TEXT(WEEKDAY(DATE(Febrero!CalendarioAño,1,8),1),"ddd")</f>
        <v>jue</v>
      </c>
      <c r="G79" s="16" t="str">
        <f>TEXT(WEEKDAY(DATE(Febrero!CalendarioAño,1,9),1),"ddd")</f>
        <v>vie</v>
      </c>
      <c r="H79" s="16" t="str">
        <f>TEXT(WEEKDAY(DATE(Febrero!CalendarioAño,1,10),1),"ddd")</f>
        <v>sáb</v>
      </c>
      <c r="I79" s="16" t="str">
        <f>TEXT(WEEKDAY(DATE(Febrero!CalendarioAño,1,11),1),"ddd")</f>
        <v>dom</v>
      </c>
      <c r="J79" s="69" t="str">
        <f>TEXT(WEEKDAY(DATE(Febrero!CalendarioAño,1,5),1),"ddd")</f>
        <v>lun</v>
      </c>
      <c r="K79" s="69" t="str">
        <f>TEXT(WEEKDAY(DATE(Febrero!CalendarioAño,1,6),1),"ddd")</f>
        <v>mar</v>
      </c>
      <c r="L79" s="69" t="str">
        <f>TEXT(WEEKDAY(DATE(Febrero!CalendarioAño,1,7),1),"ddd")</f>
        <v>mié</v>
      </c>
      <c r="M79" s="69" t="str">
        <f>TEXT(WEEKDAY(DATE(Febrero!CalendarioAño,1,8),1),"ddd")</f>
        <v>jue</v>
      </c>
      <c r="N79" s="69" t="str">
        <f>TEXT(WEEKDAY(DATE(Febrero!CalendarioAño,1,9),1),"ddd")</f>
        <v>vie</v>
      </c>
      <c r="O79" s="69" t="str">
        <f>TEXT(WEEKDAY(DATE(Febrero!CalendarioAño,1,10),1),"ddd")</f>
        <v>sáb</v>
      </c>
      <c r="P79" s="69" t="str">
        <f>TEXT(WEEKDAY(DATE(Febrero!CalendarioAño,1,11),1),"ddd")</f>
        <v>dom</v>
      </c>
      <c r="Q79" s="69" t="str">
        <f>TEXT(WEEKDAY(DATE(Febrero!CalendarioAño,1,5),1),"ddd")</f>
        <v>lun</v>
      </c>
      <c r="R79" s="69" t="str">
        <f>TEXT(WEEKDAY(DATE(Febrero!CalendarioAño,1,6),1),"ddd")</f>
        <v>mar</v>
      </c>
      <c r="S79" s="69" t="str">
        <f>TEXT(WEEKDAY(DATE(Febrero!CalendarioAño,1,7),1),"ddd")</f>
        <v>mié</v>
      </c>
      <c r="T79" s="69" t="str">
        <f>TEXT(WEEKDAY(DATE(Febrero!CalendarioAño,1,8),1),"ddd")</f>
        <v>jue</v>
      </c>
      <c r="U79" s="69" t="str">
        <f>TEXT(WEEKDAY(DATE(Febrero!CalendarioAño,1,9),1),"ddd")</f>
        <v>vie</v>
      </c>
      <c r="V79" s="69" t="str">
        <f>TEXT(WEEKDAY(DATE(Febrero!CalendarioAño,1,10),1),"ddd")</f>
        <v>sáb</v>
      </c>
      <c r="W79" s="69" t="str">
        <f>TEXT(WEEKDAY(DATE(Febrero!CalendarioAño,1,11),1),"ddd")</f>
        <v>dom</v>
      </c>
      <c r="X79" s="69" t="str">
        <f>TEXT(WEEKDAY(DATE(Febrero!CalendarioAño,1,5),1),"ddd")</f>
        <v>lun</v>
      </c>
      <c r="Y79" s="69" t="str">
        <f>TEXT(WEEKDAY(DATE(Febrero!CalendarioAño,1,6),1),"ddd")</f>
        <v>mar</v>
      </c>
      <c r="Z79" s="69" t="str">
        <f>TEXT(WEEKDAY(DATE(Febrero!CalendarioAño,1,7),1),"ddd")</f>
        <v>mié</v>
      </c>
      <c r="AA79" s="69" t="str">
        <f>TEXT(WEEKDAY(DATE(Febrero!CalendarioAño,1,8),1),"ddd")</f>
        <v>jue</v>
      </c>
      <c r="AB79" s="69" t="str">
        <f>TEXT(WEEKDAY(DATE(Febrero!CalendarioAño,1,9),1),"ddd")</f>
        <v>vie</v>
      </c>
      <c r="AC79" s="69" t="str">
        <f>TEXT(WEEKDAY(DATE(Febrero!CalendarioAño,1,10),1),"ddd")</f>
        <v>sáb</v>
      </c>
      <c r="AD79" s="30"/>
    </row>
    <row r="80" ht="30.0" customHeight="1">
      <c r="A80" s="17"/>
      <c r="B80" s="31" t="s">
        <v>14</v>
      </c>
      <c r="C80" s="70">
        <v>2.0</v>
      </c>
      <c r="D80" s="70">
        <v>3.0</v>
      </c>
      <c r="E80" s="70">
        <v>4.0</v>
      </c>
      <c r="F80" s="70">
        <v>5.0</v>
      </c>
      <c r="G80" s="70">
        <v>6.0</v>
      </c>
      <c r="H80" s="70">
        <v>7.0</v>
      </c>
      <c r="I80" s="70">
        <v>8.0</v>
      </c>
      <c r="J80" s="70">
        <v>9.0</v>
      </c>
      <c r="K80" s="70">
        <v>10.0</v>
      </c>
      <c r="L80" s="70">
        <v>11.0</v>
      </c>
      <c r="M80" s="70">
        <v>12.0</v>
      </c>
      <c r="N80" s="70">
        <v>13.0</v>
      </c>
      <c r="O80" s="70">
        <v>14.0</v>
      </c>
      <c r="P80" s="70">
        <v>15.0</v>
      </c>
      <c r="Q80" s="70">
        <v>16.0</v>
      </c>
      <c r="R80" s="70">
        <v>17.0</v>
      </c>
      <c r="S80" s="70">
        <v>18.0</v>
      </c>
      <c r="T80" s="70">
        <v>19.0</v>
      </c>
      <c r="U80" s="70">
        <v>20.0</v>
      </c>
      <c r="V80" s="70">
        <v>21.0</v>
      </c>
      <c r="W80" s="70">
        <v>22.0</v>
      </c>
      <c r="X80" s="70">
        <v>23.0</v>
      </c>
      <c r="Y80" s="70">
        <v>24.0</v>
      </c>
      <c r="Z80" s="70">
        <v>25.0</v>
      </c>
      <c r="AA80" s="70">
        <v>26.0</v>
      </c>
      <c r="AB80" s="70">
        <v>27.0</v>
      </c>
      <c r="AC80" s="70">
        <v>28.0</v>
      </c>
      <c r="AD80" s="19" t="s">
        <v>46</v>
      </c>
    </row>
    <row r="81" ht="30.0" customHeight="1">
      <c r="B81" s="40" t="s">
        <v>90</v>
      </c>
      <c r="C81" s="36"/>
      <c r="D81" s="36"/>
      <c r="E81" s="36"/>
      <c r="F81" s="10" t="s">
        <v>6</v>
      </c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23"/>
    </row>
    <row r="82" ht="30.0" customHeight="1">
      <c r="B82" s="40" t="s">
        <v>91</v>
      </c>
      <c r="C82" s="10" t="s">
        <v>6</v>
      </c>
      <c r="D82" s="61"/>
      <c r="E82" s="10" t="s">
        <v>6</v>
      </c>
      <c r="F82" s="10" t="s">
        <v>6</v>
      </c>
      <c r="G82" s="10" t="s">
        <v>6</v>
      </c>
      <c r="H82" s="10" t="s">
        <v>6</v>
      </c>
      <c r="I82" s="61"/>
      <c r="J82" s="10" t="s">
        <v>6</v>
      </c>
      <c r="K82" s="10" t="s">
        <v>6</v>
      </c>
      <c r="L82" s="61"/>
      <c r="M82" s="61"/>
      <c r="N82" s="61"/>
      <c r="O82" s="61"/>
      <c r="P82" s="61"/>
      <c r="Q82" s="61"/>
      <c r="R82" s="10" t="s">
        <v>6</v>
      </c>
      <c r="S82" s="61"/>
      <c r="T82" s="61"/>
      <c r="U82" s="61"/>
      <c r="V82" s="61"/>
      <c r="W82" s="61"/>
      <c r="X82" s="10" t="s">
        <v>6</v>
      </c>
      <c r="Y82" s="61"/>
      <c r="Z82" s="10" t="s">
        <v>6</v>
      </c>
      <c r="AA82" s="61"/>
      <c r="AB82" s="61"/>
      <c r="AC82" s="61"/>
      <c r="AD82" s="23"/>
    </row>
    <row r="83" ht="30.0" customHeight="1">
      <c r="B83" s="40" t="s">
        <v>92</v>
      </c>
      <c r="C83" s="36"/>
      <c r="D83" s="10" t="s">
        <v>6</v>
      </c>
      <c r="E83" s="36"/>
      <c r="F83" s="10" t="s">
        <v>6</v>
      </c>
      <c r="G83" s="36"/>
      <c r="H83" s="36"/>
      <c r="I83" s="36"/>
      <c r="J83" s="36"/>
      <c r="K83" s="10" t="s">
        <v>6</v>
      </c>
      <c r="L83" s="36"/>
      <c r="M83" s="10" t="s">
        <v>6</v>
      </c>
      <c r="N83" s="36"/>
      <c r="O83" s="36"/>
      <c r="P83" s="36"/>
      <c r="Q83" s="36"/>
      <c r="R83" s="10" t="s">
        <v>6</v>
      </c>
      <c r="S83" s="36"/>
      <c r="T83" s="10" t="s">
        <v>6</v>
      </c>
      <c r="U83" s="36"/>
      <c r="V83" s="36"/>
      <c r="W83" s="36"/>
      <c r="X83" s="36"/>
      <c r="Y83" s="36"/>
      <c r="Z83" s="36"/>
      <c r="AA83" s="36"/>
      <c r="AB83" s="36"/>
      <c r="AC83" s="36"/>
      <c r="AD83" s="23"/>
    </row>
    <row r="84" ht="30.0" customHeight="1">
      <c r="B84" s="40" t="s">
        <v>93</v>
      </c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10" t="s">
        <v>6</v>
      </c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23"/>
    </row>
    <row r="85" ht="30.0" customHeight="1">
      <c r="B85" s="32" t="s">
        <v>94</v>
      </c>
      <c r="C85" s="36"/>
      <c r="D85" s="10" t="s">
        <v>6</v>
      </c>
      <c r="E85" s="36"/>
      <c r="F85" s="10" t="s">
        <v>6</v>
      </c>
      <c r="G85" s="36"/>
      <c r="H85" s="36"/>
      <c r="I85" s="36"/>
      <c r="J85" s="36"/>
      <c r="K85" s="10" t="s">
        <v>6</v>
      </c>
      <c r="L85" s="36"/>
      <c r="M85" s="10" t="s">
        <v>6</v>
      </c>
      <c r="N85" s="36"/>
      <c r="O85" s="36"/>
      <c r="P85" s="36"/>
      <c r="Q85" s="36"/>
      <c r="R85" s="10" t="s">
        <v>6</v>
      </c>
      <c r="S85" s="36"/>
      <c r="T85" s="10" t="s">
        <v>6</v>
      </c>
      <c r="U85" s="36"/>
      <c r="V85" s="36"/>
      <c r="W85" s="36"/>
      <c r="X85" s="36"/>
      <c r="Y85" s="10" t="s">
        <v>6</v>
      </c>
      <c r="Z85" s="36"/>
      <c r="AA85" s="36"/>
      <c r="AB85" s="36"/>
      <c r="AC85" s="36"/>
      <c r="AD85" s="23"/>
    </row>
    <row r="86" ht="30.0" customHeight="1">
      <c r="B86" s="40" t="s">
        <v>95</v>
      </c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23"/>
    </row>
    <row r="87" ht="30.0" customHeight="1">
      <c r="B87" s="32" t="s">
        <v>96</v>
      </c>
      <c r="C87" s="61"/>
      <c r="D87" s="10" t="s">
        <v>6</v>
      </c>
      <c r="E87" s="61"/>
      <c r="F87" s="61"/>
      <c r="G87" s="10" t="s">
        <v>6</v>
      </c>
      <c r="H87" s="61"/>
      <c r="I87" s="61"/>
      <c r="J87" s="61"/>
      <c r="K87" s="10" t="s">
        <v>6</v>
      </c>
      <c r="L87" s="61"/>
      <c r="M87" s="61"/>
      <c r="N87" s="10" t="s">
        <v>6</v>
      </c>
      <c r="O87" s="61"/>
      <c r="P87" s="61"/>
      <c r="Q87" s="61"/>
      <c r="R87" s="10" t="s">
        <v>6</v>
      </c>
      <c r="S87" s="61"/>
      <c r="T87" s="61"/>
      <c r="U87" s="10" t="s">
        <v>6</v>
      </c>
      <c r="V87" s="61"/>
      <c r="W87" s="61"/>
      <c r="X87" s="61"/>
      <c r="Y87" s="10" t="s">
        <v>6</v>
      </c>
      <c r="Z87" s="61"/>
      <c r="AA87" s="61"/>
      <c r="AB87" s="61"/>
      <c r="AC87" s="61"/>
      <c r="AD87" s="23"/>
    </row>
    <row r="88" ht="30.0" customHeight="1">
      <c r="B88" s="32" t="s">
        <v>97</v>
      </c>
      <c r="C88" s="36"/>
      <c r="D88" s="36"/>
      <c r="E88" s="10" t="s">
        <v>6</v>
      </c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23"/>
    </row>
    <row r="89" ht="30.0" customHeight="1">
      <c r="B89" s="32" t="s">
        <v>98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10" t="s">
        <v>6</v>
      </c>
      <c r="U89" s="61"/>
      <c r="V89" s="61"/>
      <c r="W89" s="61"/>
      <c r="X89" s="61"/>
      <c r="Y89" s="61"/>
      <c r="Z89" s="61"/>
      <c r="AA89" s="10" t="s">
        <v>6</v>
      </c>
      <c r="AB89" s="61"/>
      <c r="AC89" s="61"/>
      <c r="AD89" s="23"/>
    </row>
    <row r="90" ht="30.0" customHeight="1">
      <c r="B90" s="32" t="s">
        <v>99</v>
      </c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23"/>
    </row>
    <row r="91" ht="30.0" customHeight="1">
      <c r="B91" s="32" t="s">
        <v>100</v>
      </c>
      <c r="C91" s="36"/>
      <c r="D91" s="36"/>
      <c r="E91" s="10" t="s">
        <v>6</v>
      </c>
      <c r="F91" s="36"/>
      <c r="G91" s="10" t="s">
        <v>6</v>
      </c>
      <c r="H91" s="36"/>
      <c r="I91" s="36"/>
      <c r="J91" s="36"/>
      <c r="K91" s="36"/>
      <c r="L91" s="10" t="s">
        <v>6</v>
      </c>
      <c r="M91" s="36"/>
      <c r="N91" s="36"/>
      <c r="O91" s="36"/>
      <c r="P91" s="36"/>
      <c r="Q91" s="36"/>
      <c r="R91" s="36"/>
      <c r="S91" s="10" t="s">
        <v>6</v>
      </c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23"/>
    </row>
    <row r="92" ht="30.0" customHeight="1">
      <c r="B92" s="32" t="s">
        <v>101</v>
      </c>
      <c r="C92" s="61"/>
      <c r="D92" s="61"/>
      <c r="E92" s="10" t="s">
        <v>6</v>
      </c>
      <c r="F92" s="61"/>
      <c r="G92" s="10" t="s">
        <v>6</v>
      </c>
      <c r="H92" s="61"/>
      <c r="I92" s="61"/>
      <c r="J92" s="10" t="s">
        <v>6</v>
      </c>
      <c r="K92" s="61"/>
      <c r="L92" s="10" t="s">
        <v>6</v>
      </c>
      <c r="M92" s="61"/>
      <c r="N92" s="10" t="s">
        <v>6</v>
      </c>
      <c r="O92" s="61"/>
      <c r="P92" s="61"/>
      <c r="Q92" s="10" t="s">
        <v>6</v>
      </c>
      <c r="R92" s="61"/>
      <c r="S92" s="10" t="s">
        <v>6</v>
      </c>
      <c r="T92" s="61"/>
      <c r="U92" s="61"/>
      <c r="V92" s="61"/>
      <c r="W92" s="61"/>
      <c r="X92" s="10" t="s">
        <v>6</v>
      </c>
      <c r="Y92" s="61"/>
      <c r="Z92" s="10" t="s">
        <v>6</v>
      </c>
      <c r="AA92" s="61"/>
      <c r="AB92" s="61"/>
      <c r="AC92" s="61"/>
      <c r="AD92" s="23"/>
    </row>
    <row r="93" ht="30.0" customHeight="1">
      <c r="B93" s="32" t="s">
        <v>102</v>
      </c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10" t="s">
        <v>6</v>
      </c>
      <c r="Z93" s="10" t="s">
        <v>6</v>
      </c>
      <c r="AA93" s="10" t="s">
        <v>6</v>
      </c>
      <c r="AB93" s="36"/>
      <c r="AC93" s="36"/>
      <c r="AD93" s="23"/>
    </row>
    <row r="94" ht="30.0" customHeight="1">
      <c r="B94" s="32" t="s">
        <v>103</v>
      </c>
      <c r="C94" s="61"/>
      <c r="D94" s="61"/>
      <c r="E94" s="61"/>
      <c r="F94" s="61"/>
      <c r="G94" s="61"/>
      <c r="H94" s="10" t="s">
        <v>6</v>
      </c>
      <c r="I94" s="61"/>
      <c r="J94" s="61"/>
      <c r="K94" s="61"/>
      <c r="L94" s="61"/>
      <c r="M94" s="61"/>
      <c r="N94" s="61"/>
      <c r="O94" s="10" t="s">
        <v>6</v>
      </c>
      <c r="P94" s="61"/>
      <c r="Q94" s="61"/>
      <c r="R94" s="61"/>
      <c r="S94" s="61"/>
      <c r="T94" s="61"/>
      <c r="U94" s="61"/>
      <c r="V94" s="10" t="s">
        <v>6</v>
      </c>
      <c r="W94" s="61"/>
      <c r="X94" s="61"/>
      <c r="Y94" s="61"/>
      <c r="Z94" s="61"/>
      <c r="AA94" s="61"/>
      <c r="AB94" s="61"/>
      <c r="AC94" s="61"/>
      <c r="AD94" s="23"/>
    </row>
    <row r="95" ht="30.0" customHeight="1">
      <c r="A95" s="44"/>
      <c r="B95" s="45" t="s">
        <v>104</v>
      </c>
      <c r="C95" s="53"/>
      <c r="D95" s="53"/>
      <c r="E95" s="53"/>
      <c r="F95" s="53"/>
      <c r="G95" s="53"/>
      <c r="H95" s="53"/>
      <c r="I95" s="53"/>
      <c r="J95" s="53"/>
      <c r="K95" s="53"/>
      <c r="L95" s="46" t="s">
        <v>6</v>
      </c>
      <c r="M95" s="53"/>
      <c r="N95" s="53"/>
      <c r="O95" s="46" t="s">
        <v>6</v>
      </c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47"/>
    </row>
    <row r="96" ht="30.0" customHeight="1">
      <c r="B96" s="32" t="s">
        <v>105</v>
      </c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23"/>
    </row>
    <row r="97" ht="30.0" customHeight="1">
      <c r="B97" s="40" t="s">
        <v>106</v>
      </c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10" t="s">
        <v>6</v>
      </c>
      <c r="N97" s="61"/>
      <c r="O97" s="10" t="s">
        <v>6</v>
      </c>
      <c r="P97" s="61"/>
      <c r="Q97" s="61"/>
      <c r="R97" s="61"/>
      <c r="S97" s="61"/>
      <c r="T97" s="61"/>
      <c r="U97" s="61"/>
      <c r="V97" s="10" t="s">
        <v>6</v>
      </c>
      <c r="W97" s="61"/>
      <c r="X97" s="61"/>
      <c r="Y97" s="61"/>
      <c r="Z97" s="61"/>
      <c r="AA97" s="61"/>
      <c r="AB97" s="61"/>
      <c r="AC97" s="61"/>
      <c r="AD97" s="23"/>
    </row>
    <row r="98" ht="30.0" customHeight="1">
      <c r="B98" s="40" t="s">
        <v>107</v>
      </c>
      <c r="C98" s="36"/>
      <c r="D98" s="36"/>
      <c r="E98" s="10" t="s">
        <v>6</v>
      </c>
      <c r="F98" s="36"/>
      <c r="G98" s="36"/>
      <c r="H98" s="10" t="s">
        <v>6</v>
      </c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23"/>
    </row>
    <row r="99" ht="30.0" customHeight="1">
      <c r="B99" s="32" t="s">
        <v>108</v>
      </c>
      <c r="C99" s="61"/>
      <c r="D99" s="10" t="s">
        <v>6</v>
      </c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23"/>
    </row>
    <row r="100" ht="30.0" customHeight="1">
      <c r="B100" s="32" t="s">
        <v>109</v>
      </c>
      <c r="C100" s="10" t="s">
        <v>6</v>
      </c>
      <c r="D100" s="36"/>
      <c r="E100" s="10" t="s">
        <v>6</v>
      </c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10" t="s">
        <v>6</v>
      </c>
      <c r="R100" s="36"/>
      <c r="S100" s="10" t="s">
        <v>6</v>
      </c>
      <c r="T100" s="10" t="s">
        <v>6</v>
      </c>
      <c r="U100" s="10" t="s">
        <v>6</v>
      </c>
      <c r="V100" s="10" t="s">
        <v>6</v>
      </c>
      <c r="W100" s="36"/>
      <c r="X100" s="10" t="s">
        <v>6</v>
      </c>
      <c r="Y100" s="10" t="s">
        <v>6</v>
      </c>
      <c r="Z100" s="10" t="s">
        <v>6</v>
      </c>
      <c r="AA100" s="10" t="s">
        <v>6</v>
      </c>
      <c r="AB100" s="36"/>
      <c r="AC100" s="36"/>
      <c r="AD100" s="23"/>
    </row>
    <row r="101" ht="30.0" customHeight="1">
      <c r="B101" s="32" t="s">
        <v>110</v>
      </c>
      <c r="C101" s="36"/>
      <c r="D101" s="10" t="s">
        <v>6</v>
      </c>
      <c r="E101" s="36"/>
      <c r="F101" s="10" t="s">
        <v>6</v>
      </c>
      <c r="G101" s="36"/>
      <c r="H101" s="36"/>
      <c r="I101" s="36"/>
      <c r="J101" s="10" t="s">
        <v>6</v>
      </c>
      <c r="K101" s="36"/>
      <c r="L101" s="36"/>
      <c r="M101" s="10" t="s">
        <v>6</v>
      </c>
      <c r="N101" s="36"/>
      <c r="O101" s="36"/>
      <c r="P101" s="36"/>
      <c r="Q101" s="36"/>
      <c r="R101" s="10" t="s">
        <v>6</v>
      </c>
      <c r="S101" s="36"/>
      <c r="T101" s="36"/>
      <c r="U101" s="36"/>
      <c r="V101" s="36"/>
      <c r="W101" s="36"/>
      <c r="X101" s="10" t="s">
        <v>6</v>
      </c>
      <c r="Y101" s="36"/>
      <c r="Z101" s="36"/>
      <c r="AA101" s="10" t="s">
        <v>6</v>
      </c>
      <c r="AB101" s="36"/>
      <c r="AC101" s="36"/>
      <c r="AD101" s="23"/>
    </row>
    <row r="102" ht="30.0" customHeight="1">
      <c r="B102" s="32" t="s">
        <v>111</v>
      </c>
      <c r="C102" s="61"/>
      <c r="D102" s="61"/>
      <c r="E102" s="61"/>
      <c r="F102" s="10" t="s">
        <v>6</v>
      </c>
      <c r="G102" s="61"/>
      <c r="H102" s="61"/>
      <c r="I102" s="61"/>
      <c r="J102" s="61"/>
      <c r="K102" s="61"/>
      <c r="L102" s="61"/>
      <c r="M102" s="10" t="s">
        <v>6</v>
      </c>
      <c r="N102" s="61"/>
      <c r="O102" s="61"/>
      <c r="P102" s="61"/>
      <c r="Q102" s="61"/>
      <c r="R102" s="61"/>
      <c r="S102" s="61"/>
      <c r="T102" s="10" t="s">
        <v>6</v>
      </c>
      <c r="U102" s="61"/>
      <c r="V102" s="61"/>
      <c r="W102" s="61"/>
      <c r="X102" s="10" t="s">
        <v>6</v>
      </c>
      <c r="Y102" s="61"/>
      <c r="Z102" s="61"/>
      <c r="AA102" s="10" t="s">
        <v>6</v>
      </c>
      <c r="AB102" s="61"/>
      <c r="AC102" s="61"/>
      <c r="AD102" s="23"/>
    </row>
    <row r="103" ht="30.0" customHeight="1">
      <c r="B103" s="32" t="s">
        <v>112</v>
      </c>
      <c r="C103" s="36"/>
      <c r="D103" s="36"/>
      <c r="E103" s="10" t="s">
        <v>6</v>
      </c>
      <c r="F103" s="36"/>
      <c r="G103" s="36"/>
      <c r="H103" s="36"/>
      <c r="I103" s="36"/>
      <c r="J103" s="36"/>
      <c r="K103" s="36"/>
      <c r="L103" s="10" t="s">
        <v>6</v>
      </c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10" t="s">
        <v>6</v>
      </c>
      <c r="AB103" s="36"/>
      <c r="AC103" s="36"/>
      <c r="AD103" s="23"/>
    </row>
    <row r="104" ht="30.0" customHeight="1">
      <c r="B104" s="32" t="s">
        <v>198</v>
      </c>
      <c r="C104" s="61"/>
      <c r="D104" s="10" t="s">
        <v>6</v>
      </c>
      <c r="E104" s="61"/>
      <c r="F104" s="61"/>
      <c r="G104" s="61"/>
      <c r="H104" s="10" t="s">
        <v>6</v>
      </c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10" t="s">
        <v>6</v>
      </c>
      <c r="W104" s="61"/>
      <c r="X104" s="61"/>
      <c r="Y104" s="61"/>
      <c r="Z104" s="61"/>
      <c r="AA104" s="61"/>
      <c r="AB104" s="61"/>
      <c r="AC104" s="61"/>
      <c r="AD104" s="23"/>
    </row>
    <row r="105" ht="30.0" customHeight="1">
      <c r="B105" s="32" t="s">
        <v>114</v>
      </c>
      <c r="C105" s="10" t="s">
        <v>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23"/>
    </row>
    <row r="106" ht="30.0" customHeight="1">
      <c r="A106" s="44"/>
      <c r="B106" s="45" t="s">
        <v>115</v>
      </c>
      <c r="C106" s="46" t="s">
        <v>6</v>
      </c>
      <c r="D106" s="53"/>
      <c r="E106" s="53"/>
      <c r="F106" s="53"/>
      <c r="G106" s="53"/>
      <c r="H106" s="53"/>
      <c r="I106" s="53"/>
      <c r="J106" s="53"/>
      <c r="K106" s="53"/>
      <c r="L106" s="53"/>
      <c r="M106" s="46" t="s">
        <v>6</v>
      </c>
      <c r="N106" s="53"/>
      <c r="O106" s="53"/>
      <c r="P106" s="53"/>
      <c r="Q106" s="53"/>
      <c r="R106" s="53"/>
      <c r="S106" s="53"/>
      <c r="T106" s="46" t="s">
        <v>6</v>
      </c>
      <c r="U106" s="46" t="s">
        <v>6</v>
      </c>
      <c r="V106" s="53"/>
      <c r="W106" s="53"/>
      <c r="X106" s="46" t="s">
        <v>6</v>
      </c>
      <c r="Y106" s="53"/>
      <c r="Z106" s="53"/>
      <c r="AA106" s="46" t="s">
        <v>6</v>
      </c>
      <c r="AB106" s="53"/>
      <c r="AC106" s="53"/>
      <c r="AD106" s="47"/>
    </row>
    <row r="107" ht="30.0" customHeight="1">
      <c r="B107" s="32" t="s">
        <v>116</v>
      </c>
      <c r="C107" s="36"/>
      <c r="D107" s="36"/>
      <c r="E107" s="36"/>
      <c r="F107" s="10" t="s">
        <v>6</v>
      </c>
      <c r="G107" s="36"/>
      <c r="H107" s="36"/>
      <c r="I107" s="36"/>
      <c r="J107" s="10" t="s">
        <v>6</v>
      </c>
      <c r="K107" s="36"/>
      <c r="L107" s="36"/>
      <c r="M107" s="10" t="s">
        <v>6</v>
      </c>
      <c r="N107" s="36"/>
      <c r="O107" s="36"/>
      <c r="P107" s="36"/>
      <c r="Q107" s="10" t="s">
        <v>6</v>
      </c>
      <c r="R107" s="36"/>
      <c r="S107" s="10" t="s">
        <v>6</v>
      </c>
      <c r="T107" s="36"/>
      <c r="U107" s="36"/>
      <c r="V107" s="36"/>
      <c r="W107" s="36"/>
      <c r="X107" s="36"/>
      <c r="Y107" s="36"/>
      <c r="Z107" s="10" t="s">
        <v>6</v>
      </c>
      <c r="AA107" s="36"/>
      <c r="AB107" s="36"/>
      <c r="AC107" s="36"/>
      <c r="AD107" s="23"/>
    </row>
    <row r="108" ht="30.0" customHeight="1">
      <c r="B108" s="32" t="s">
        <v>199</v>
      </c>
      <c r="C108" s="21"/>
      <c r="D108" s="21"/>
      <c r="E108" s="21"/>
      <c r="F108" s="21"/>
      <c r="G108" s="21"/>
      <c r="H108" s="10" t="s">
        <v>6</v>
      </c>
      <c r="I108" s="43"/>
      <c r="J108" s="43"/>
      <c r="K108" s="43"/>
      <c r="L108" s="43"/>
      <c r="M108" s="43"/>
      <c r="N108" s="21"/>
      <c r="O108" s="10" t="s">
        <v>6</v>
      </c>
      <c r="P108" s="43"/>
      <c r="Q108" s="43"/>
      <c r="R108" s="21"/>
      <c r="S108" s="43"/>
      <c r="T108" s="21"/>
      <c r="U108" s="21"/>
      <c r="V108" s="10" t="s">
        <v>6</v>
      </c>
      <c r="W108" s="21"/>
      <c r="X108" s="43"/>
      <c r="Y108" s="21"/>
      <c r="Z108" s="43"/>
      <c r="AA108" s="21"/>
      <c r="AB108" s="21"/>
      <c r="AC108" s="21"/>
      <c r="AD108" s="23"/>
    </row>
    <row r="109" ht="30.0" customHeight="1">
      <c r="B109" s="32" t="s">
        <v>200</v>
      </c>
      <c r="C109" s="21"/>
      <c r="D109" s="21"/>
      <c r="E109" s="21"/>
      <c r="F109" s="21"/>
      <c r="G109" s="21"/>
      <c r="H109" s="21"/>
      <c r="I109" s="43"/>
      <c r="J109" s="43"/>
      <c r="K109" s="43"/>
      <c r="L109" s="43"/>
      <c r="M109" s="43"/>
      <c r="N109" s="10" t="s">
        <v>6</v>
      </c>
      <c r="O109" s="43"/>
      <c r="P109" s="43"/>
      <c r="Q109" s="10" t="s">
        <v>6</v>
      </c>
      <c r="R109" s="21"/>
      <c r="S109" s="43"/>
      <c r="T109" s="21"/>
      <c r="U109" s="10" t="s">
        <v>6</v>
      </c>
      <c r="V109" s="21"/>
      <c r="W109" s="21"/>
      <c r="X109" s="10" t="s">
        <v>6</v>
      </c>
      <c r="Y109" s="21"/>
      <c r="Z109" s="43"/>
      <c r="AA109" s="21"/>
      <c r="AB109" s="21"/>
      <c r="AC109" s="21"/>
      <c r="AD109" s="23"/>
    </row>
    <row r="110" ht="30.0" customHeight="1">
      <c r="B110" s="32" t="s">
        <v>194</v>
      </c>
      <c r="C110" s="21"/>
      <c r="D110" s="21"/>
      <c r="E110" s="21"/>
      <c r="F110" s="21"/>
      <c r="G110" s="21"/>
      <c r="H110" s="21"/>
      <c r="I110" s="43"/>
      <c r="J110" s="43"/>
      <c r="K110" s="43"/>
      <c r="L110" s="43"/>
      <c r="M110" s="43"/>
      <c r="N110" s="21"/>
      <c r="O110" s="43"/>
      <c r="P110" s="43"/>
      <c r="Q110" s="43"/>
      <c r="R110" s="21"/>
      <c r="S110" s="43"/>
      <c r="T110" s="21"/>
      <c r="U110" s="21"/>
      <c r="V110" s="21"/>
      <c r="W110" s="21"/>
      <c r="X110" s="43"/>
      <c r="Y110" s="21"/>
      <c r="Z110" s="43"/>
      <c r="AA110" s="21"/>
      <c r="AB110" s="21"/>
      <c r="AC110" s="21"/>
      <c r="AD110" s="23"/>
    </row>
    <row r="111" ht="30.0" customHeight="1">
      <c r="B111" s="32"/>
      <c r="C111" s="21"/>
      <c r="D111" s="21"/>
      <c r="E111" s="21"/>
      <c r="F111" s="21"/>
      <c r="G111" s="21"/>
      <c r="H111" s="21"/>
      <c r="I111" s="43"/>
      <c r="J111" s="43"/>
      <c r="K111" s="43"/>
      <c r="L111" s="43"/>
      <c r="M111" s="43"/>
      <c r="N111" s="21"/>
      <c r="O111" s="43"/>
      <c r="P111" s="43"/>
      <c r="Q111" s="43"/>
      <c r="R111" s="21"/>
      <c r="S111" s="43"/>
      <c r="T111" s="21"/>
      <c r="U111" s="21"/>
      <c r="V111" s="21"/>
      <c r="W111" s="21"/>
      <c r="X111" s="43"/>
      <c r="Y111" s="21"/>
      <c r="Z111" s="43"/>
      <c r="AA111" s="21"/>
      <c r="AB111" s="21"/>
      <c r="AC111" s="21"/>
      <c r="AD111" s="23"/>
    </row>
    <row r="112" ht="30.0" customHeight="1">
      <c r="B112" s="20"/>
      <c r="C112" s="21"/>
      <c r="D112" s="21"/>
      <c r="E112" s="21"/>
      <c r="F112" s="21"/>
      <c r="G112" s="21"/>
      <c r="H112" s="21"/>
      <c r="I112" s="43"/>
      <c r="J112" s="43"/>
      <c r="K112" s="43"/>
      <c r="L112" s="43"/>
      <c r="M112" s="43"/>
      <c r="N112" s="21"/>
      <c r="O112" s="43"/>
      <c r="P112" s="43"/>
      <c r="Q112" s="43"/>
      <c r="R112" s="21"/>
      <c r="S112" s="43"/>
      <c r="T112" s="21"/>
      <c r="U112" s="21"/>
      <c r="V112" s="21"/>
      <c r="W112" s="21"/>
      <c r="X112" s="43"/>
      <c r="Y112" s="21"/>
      <c r="Z112" s="43"/>
      <c r="AA112" s="21"/>
      <c r="AB112" s="21"/>
      <c r="AC112" s="21"/>
      <c r="AD112" s="23"/>
    </row>
    <row r="113" ht="30.0" customHeight="1">
      <c r="B113" s="48" t="str">
        <f>Febrero!MonthName&amp;" Total"</f>
        <v>Enero Total</v>
      </c>
      <c r="C113" s="25">
        <f>SUBTOTAL(103,Febrero!$C$7)</f>
        <v>0</v>
      </c>
      <c r="D113" s="25">
        <f>SUBTOTAL(103,Febrero!$D$7)</f>
        <v>0</v>
      </c>
      <c r="E113" s="25">
        <f>SUBTOTAL(103,Febrero!$E$7)</f>
        <v>0</v>
      </c>
      <c r="F113" s="25"/>
      <c r="G113" s="25">
        <f>SUBTOTAL(103,Febrero!$G$7)</f>
        <v>0</v>
      </c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</row>
    <row r="114" ht="30.0" customHeight="1">
      <c r="AD114" s="5"/>
    </row>
    <row r="115" ht="30.0" customHeight="1">
      <c r="B115" s="30" t="s">
        <v>12</v>
      </c>
      <c r="C115" s="27" t="s">
        <v>118</v>
      </c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39">
        <v>2026.0</v>
      </c>
    </row>
    <row r="116" ht="30.0" customHeight="1">
      <c r="B116" s="30"/>
      <c r="C116" s="16" t="str">
        <f>TEXT(WEEKDAY(DATE(Febrero!CalendarioAño,1,5),1),"ddd")</f>
        <v>lun</v>
      </c>
      <c r="D116" s="16" t="str">
        <f>TEXT(WEEKDAY(DATE(Febrero!CalendarioAño,1,6),1),"ddd")</f>
        <v>mar</v>
      </c>
      <c r="E116" s="16" t="str">
        <f>TEXT(WEEKDAY(DATE(Febrero!CalendarioAño,1,7),1),"ddd")</f>
        <v>mié</v>
      </c>
      <c r="F116" s="16" t="str">
        <f>TEXT(WEEKDAY(DATE(Febrero!CalendarioAño,1,8),1),"ddd")</f>
        <v>jue</v>
      </c>
      <c r="G116" s="16" t="str">
        <f>TEXT(WEEKDAY(DATE(Febrero!CalendarioAño,1,9),1),"ddd")</f>
        <v>vie</v>
      </c>
      <c r="H116" s="16" t="str">
        <f>TEXT(WEEKDAY(DATE(Febrero!CalendarioAño,1,10),1),"ddd")</f>
        <v>sáb</v>
      </c>
      <c r="I116" s="16" t="str">
        <f>TEXT(WEEKDAY(DATE(Febrero!CalendarioAño,1,11),1),"ddd")</f>
        <v>dom</v>
      </c>
      <c r="J116" s="69" t="str">
        <f>TEXT(WEEKDAY(DATE(Febrero!CalendarioAño,1,5),1),"ddd")</f>
        <v>lun</v>
      </c>
      <c r="K116" s="69" t="str">
        <f>TEXT(WEEKDAY(DATE(Febrero!CalendarioAño,1,6),1),"ddd")</f>
        <v>mar</v>
      </c>
      <c r="L116" s="69" t="str">
        <f>TEXT(WEEKDAY(DATE(Febrero!CalendarioAño,1,7),1),"ddd")</f>
        <v>mié</v>
      </c>
      <c r="M116" s="69" t="str">
        <f>TEXT(WEEKDAY(DATE(Febrero!CalendarioAño,1,8),1),"ddd")</f>
        <v>jue</v>
      </c>
      <c r="N116" s="69" t="str">
        <f>TEXT(WEEKDAY(DATE(Febrero!CalendarioAño,1,9),1),"ddd")</f>
        <v>vie</v>
      </c>
      <c r="O116" s="69" t="str">
        <f>TEXT(WEEKDAY(DATE(Febrero!CalendarioAño,1,10),1),"ddd")</f>
        <v>sáb</v>
      </c>
      <c r="P116" s="69" t="str">
        <f>TEXT(WEEKDAY(DATE(Febrero!CalendarioAño,1,11),1),"ddd")</f>
        <v>dom</v>
      </c>
      <c r="Q116" s="69" t="str">
        <f>TEXT(WEEKDAY(DATE(Febrero!CalendarioAño,1,5),1),"ddd")</f>
        <v>lun</v>
      </c>
      <c r="R116" s="69" t="str">
        <f>TEXT(WEEKDAY(DATE(Febrero!CalendarioAño,1,6),1),"ddd")</f>
        <v>mar</v>
      </c>
      <c r="S116" s="69" t="str">
        <f>TEXT(WEEKDAY(DATE(Febrero!CalendarioAño,1,7),1),"ddd")</f>
        <v>mié</v>
      </c>
      <c r="T116" s="69" t="str">
        <f>TEXT(WEEKDAY(DATE(Febrero!CalendarioAño,1,8),1),"ddd")</f>
        <v>jue</v>
      </c>
      <c r="U116" s="69" t="str">
        <f>TEXT(WEEKDAY(DATE(Febrero!CalendarioAño,1,9),1),"ddd")</f>
        <v>vie</v>
      </c>
      <c r="V116" s="69" t="str">
        <f>TEXT(WEEKDAY(DATE(Febrero!CalendarioAño,1,10),1),"ddd")</f>
        <v>sáb</v>
      </c>
      <c r="W116" s="69" t="str">
        <f>TEXT(WEEKDAY(DATE(Febrero!CalendarioAño,1,11),1),"ddd")</f>
        <v>dom</v>
      </c>
      <c r="X116" s="69" t="str">
        <f>TEXT(WEEKDAY(DATE(Febrero!CalendarioAño,1,5),1),"ddd")</f>
        <v>lun</v>
      </c>
      <c r="Y116" s="69" t="str">
        <f>TEXT(WEEKDAY(DATE(Febrero!CalendarioAño,1,6),1),"ddd")</f>
        <v>mar</v>
      </c>
      <c r="Z116" s="69" t="str">
        <f>TEXT(WEEKDAY(DATE(Febrero!CalendarioAño,1,7),1),"ddd")</f>
        <v>mié</v>
      </c>
      <c r="AA116" s="69" t="str">
        <f>TEXT(WEEKDAY(DATE(Febrero!CalendarioAño,1,8),1),"ddd")</f>
        <v>jue</v>
      </c>
      <c r="AB116" s="69" t="str">
        <f>TEXT(WEEKDAY(DATE(Febrero!CalendarioAño,1,9),1),"ddd")</f>
        <v>vie</v>
      </c>
      <c r="AC116" s="69" t="str">
        <f>TEXT(WEEKDAY(DATE(Febrero!CalendarioAño,1,10),1),"ddd")</f>
        <v>sáb</v>
      </c>
      <c r="AD116" s="30"/>
    </row>
    <row r="117" ht="30.0" customHeight="1">
      <c r="A117" s="17"/>
      <c r="B117" s="31" t="s">
        <v>14</v>
      </c>
      <c r="C117" s="70">
        <v>2.0</v>
      </c>
      <c r="D117" s="70">
        <v>3.0</v>
      </c>
      <c r="E117" s="70">
        <v>4.0</v>
      </c>
      <c r="F117" s="70">
        <v>5.0</v>
      </c>
      <c r="G117" s="70">
        <v>6.0</v>
      </c>
      <c r="H117" s="70">
        <v>7.0</v>
      </c>
      <c r="I117" s="70">
        <v>8.0</v>
      </c>
      <c r="J117" s="70">
        <v>9.0</v>
      </c>
      <c r="K117" s="70">
        <v>10.0</v>
      </c>
      <c r="L117" s="70">
        <v>11.0</v>
      </c>
      <c r="M117" s="70">
        <v>12.0</v>
      </c>
      <c r="N117" s="70">
        <v>13.0</v>
      </c>
      <c r="O117" s="70">
        <v>14.0</v>
      </c>
      <c r="P117" s="70">
        <v>15.0</v>
      </c>
      <c r="Q117" s="70">
        <v>16.0</v>
      </c>
      <c r="R117" s="70">
        <v>17.0</v>
      </c>
      <c r="S117" s="70">
        <v>18.0</v>
      </c>
      <c r="T117" s="70">
        <v>19.0</v>
      </c>
      <c r="U117" s="70">
        <v>20.0</v>
      </c>
      <c r="V117" s="70">
        <v>21.0</v>
      </c>
      <c r="W117" s="70">
        <v>22.0</v>
      </c>
      <c r="X117" s="70">
        <v>23.0</v>
      </c>
      <c r="Y117" s="70">
        <v>24.0</v>
      </c>
      <c r="Z117" s="70">
        <v>25.0</v>
      </c>
      <c r="AA117" s="70">
        <v>26.0</v>
      </c>
      <c r="AB117" s="70">
        <v>27.0</v>
      </c>
      <c r="AC117" s="70">
        <v>28.0</v>
      </c>
      <c r="AD117" s="19" t="s">
        <v>46</v>
      </c>
    </row>
    <row r="118" ht="30.0" customHeight="1">
      <c r="B118" s="32" t="s">
        <v>119</v>
      </c>
      <c r="C118" s="10" t="s">
        <v>6</v>
      </c>
      <c r="D118" s="36"/>
      <c r="E118" s="10" t="s">
        <v>6</v>
      </c>
      <c r="F118" s="36"/>
      <c r="G118" s="36"/>
      <c r="H118" s="36"/>
      <c r="I118" s="36"/>
      <c r="J118" s="10" t="s">
        <v>6</v>
      </c>
      <c r="K118" s="36"/>
      <c r="L118" s="10" t="s">
        <v>6</v>
      </c>
      <c r="M118" s="36"/>
      <c r="N118" s="36"/>
      <c r="O118" s="36"/>
      <c r="P118" s="36"/>
      <c r="Q118" s="10" t="s">
        <v>6</v>
      </c>
      <c r="R118" s="36"/>
      <c r="S118" s="10" t="s">
        <v>6</v>
      </c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23"/>
    </row>
    <row r="119" ht="30.0" customHeight="1">
      <c r="B119" s="32" t="s">
        <v>120</v>
      </c>
      <c r="C119" s="61"/>
      <c r="D119" s="10" t="s">
        <v>6</v>
      </c>
      <c r="E119" s="10" t="s">
        <v>6</v>
      </c>
      <c r="F119" s="61"/>
      <c r="G119" s="61"/>
      <c r="H119" s="61"/>
      <c r="I119" s="61"/>
      <c r="J119" s="10" t="s">
        <v>6</v>
      </c>
      <c r="K119" s="61"/>
      <c r="L119" s="10" t="s">
        <v>6</v>
      </c>
      <c r="M119" s="61"/>
      <c r="N119" s="61"/>
      <c r="O119" s="61"/>
      <c r="P119" s="61"/>
      <c r="Q119" s="10" t="s">
        <v>6</v>
      </c>
      <c r="R119" s="61"/>
      <c r="S119" s="61"/>
      <c r="T119" s="10" t="s">
        <v>6</v>
      </c>
      <c r="U119" s="61"/>
      <c r="V119" s="61"/>
      <c r="W119" s="61"/>
      <c r="X119" s="61"/>
      <c r="Y119" s="61"/>
      <c r="Z119" s="61"/>
      <c r="AA119" s="61"/>
      <c r="AB119" s="61"/>
      <c r="AC119" s="61"/>
      <c r="AD119" s="23"/>
    </row>
    <row r="120" ht="30.0" customHeight="1">
      <c r="B120" s="32" t="s">
        <v>121</v>
      </c>
      <c r="C120" s="36"/>
      <c r="D120" s="36"/>
      <c r="E120" s="10" t="s">
        <v>6</v>
      </c>
      <c r="F120" s="36"/>
      <c r="G120" s="36"/>
      <c r="H120" s="36"/>
      <c r="I120" s="36"/>
      <c r="J120" s="10" t="s">
        <v>6</v>
      </c>
      <c r="K120" s="36"/>
      <c r="L120" s="10" t="s">
        <v>6</v>
      </c>
      <c r="M120" s="36"/>
      <c r="N120" s="36"/>
      <c r="O120" s="36"/>
      <c r="P120" s="36"/>
      <c r="Q120" s="10" t="s">
        <v>6</v>
      </c>
      <c r="R120" s="36"/>
      <c r="S120" s="10" t="s">
        <v>6</v>
      </c>
      <c r="T120" s="36"/>
      <c r="U120" s="36"/>
      <c r="V120" s="36"/>
      <c r="W120" s="36"/>
      <c r="X120" s="36"/>
      <c r="Y120" s="36"/>
      <c r="Z120" s="10" t="s">
        <v>6</v>
      </c>
      <c r="AA120" s="36"/>
      <c r="AB120" s="36"/>
      <c r="AC120" s="36"/>
      <c r="AD120" s="23"/>
    </row>
    <row r="121" ht="30.0" customHeight="1">
      <c r="B121" s="32" t="s">
        <v>122</v>
      </c>
      <c r="C121" s="10" t="s">
        <v>6</v>
      </c>
      <c r="D121" s="61"/>
      <c r="E121" s="10" t="s">
        <v>6</v>
      </c>
      <c r="F121" s="10" t="s">
        <v>6</v>
      </c>
      <c r="G121" s="61"/>
      <c r="H121" s="61"/>
      <c r="I121" s="61"/>
      <c r="J121" s="10" t="s">
        <v>6</v>
      </c>
      <c r="K121" s="61"/>
      <c r="L121" s="10" t="s">
        <v>6</v>
      </c>
      <c r="M121" s="61"/>
      <c r="N121" s="10" t="s">
        <v>6</v>
      </c>
      <c r="O121" s="61"/>
      <c r="P121" s="61"/>
      <c r="Q121" s="10" t="s">
        <v>6</v>
      </c>
      <c r="R121" s="61"/>
      <c r="S121" s="10" t="s">
        <v>6</v>
      </c>
      <c r="T121" s="10" t="s">
        <v>6</v>
      </c>
      <c r="U121" s="61"/>
      <c r="V121" s="61"/>
      <c r="W121" s="61"/>
      <c r="X121" s="10" t="s">
        <v>6</v>
      </c>
      <c r="Y121" s="61"/>
      <c r="Z121" s="10" t="s">
        <v>6</v>
      </c>
      <c r="AA121" s="61"/>
      <c r="AB121" s="61"/>
      <c r="AC121" s="61"/>
      <c r="AD121" s="23"/>
    </row>
    <row r="122" ht="30.0" customHeight="1">
      <c r="B122" s="32" t="s">
        <v>123</v>
      </c>
      <c r="C122" s="36"/>
      <c r="D122" s="36"/>
      <c r="E122" s="36"/>
      <c r="F122" s="36"/>
      <c r="G122" s="10" t="s">
        <v>6</v>
      </c>
      <c r="H122" s="10" t="s">
        <v>6</v>
      </c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23"/>
    </row>
    <row r="123" ht="30.0" customHeight="1">
      <c r="B123" s="32" t="s">
        <v>124</v>
      </c>
      <c r="C123" s="10" t="s">
        <v>6</v>
      </c>
      <c r="D123" s="36"/>
      <c r="E123" s="10" t="s">
        <v>6</v>
      </c>
      <c r="F123" s="36"/>
      <c r="G123" s="36"/>
      <c r="H123" s="36"/>
      <c r="I123" s="36"/>
      <c r="J123" s="36"/>
      <c r="K123" s="10" t="s">
        <v>6</v>
      </c>
      <c r="L123" s="10" t="s">
        <v>6</v>
      </c>
      <c r="M123" s="36"/>
      <c r="N123" s="36"/>
      <c r="O123" s="36"/>
      <c r="P123" s="36"/>
      <c r="Q123" s="36"/>
      <c r="R123" s="10" t="s">
        <v>6</v>
      </c>
      <c r="S123" s="36"/>
      <c r="T123" s="36"/>
      <c r="U123" s="10" t="s">
        <v>6</v>
      </c>
      <c r="V123" s="36"/>
      <c r="W123" s="36"/>
      <c r="X123" s="36"/>
      <c r="Y123" s="10" t="s">
        <v>6</v>
      </c>
      <c r="Z123" s="36"/>
      <c r="AA123" s="36"/>
      <c r="AB123" s="36"/>
      <c r="AC123" s="36"/>
      <c r="AD123" s="23"/>
    </row>
    <row r="124" ht="30.0" customHeight="1">
      <c r="B124" s="32" t="s">
        <v>201</v>
      </c>
      <c r="C124" s="61"/>
      <c r="D124" s="10" t="s">
        <v>6</v>
      </c>
      <c r="E124" s="61"/>
      <c r="F124" s="61"/>
      <c r="G124" s="61"/>
      <c r="H124" s="61"/>
      <c r="I124" s="61"/>
      <c r="J124" s="10" t="s">
        <v>6</v>
      </c>
      <c r="K124" s="61"/>
      <c r="L124" s="61"/>
      <c r="M124" s="10" t="s">
        <v>6</v>
      </c>
      <c r="N124" s="61"/>
      <c r="O124" s="61"/>
      <c r="P124" s="61"/>
      <c r="Q124" s="61"/>
      <c r="R124" s="10" t="s">
        <v>6</v>
      </c>
      <c r="S124" s="61"/>
      <c r="T124" s="10" t="s">
        <v>6</v>
      </c>
      <c r="U124" s="61"/>
      <c r="V124" s="61"/>
      <c r="W124" s="61"/>
      <c r="X124" s="10" t="s">
        <v>6</v>
      </c>
      <c r="Y124" s="61"/>
      <c r="Z124" s="61"/>
      <c r="AA124" s="10" t="s">
        <v>6</v>
      </c>
      <c r="AB124" s="61"/>
      <c r="AC124" s="61"/>
      <c r="AD124" s="23"/>
    </row>
    <row r="125" ht="30.0" customHeight="1">
      <c r="B125" s="32" t="s">
        <v>126</v>
      </c>
      <c r="C125" s="36"/>
      <c r="D125" s="36"/>
      <c r="E125" s="36"/>
      <c r="F125" s="10" t="s">
        <v>6</v>
      </c>
      <c r="G125" s="36"/>
      <c r="H125" s="36"/>
      <c r="I125" s="36"/>
      <c r="J125" s="10" t="s">
        <v>6</v>
      </c>
      <c r="K125" s="36"/>
      <c r="L125" s="36"/>
      <c r="M125" s="10" t="s">
        <v>6</v>
      </c>
      <c r="N125" s="36"/>
      <c r="O125" s="36"/>
      <c r="P125" s="36"/>
      <c r="Q125" s="36"/>
      <c r="R125" s="36"/>
      <c r="S125" s="36"/>
      <c r="T125" s="10" t="s">
        <v>6</v>
      </c>
      <c r="U125" s="36"/>
      <c r="V125" s="36"/>
      <c r="W125" s="36"/>
      <c r="X125" s="10" t="s">
        <v>6</v>
      </c>
      <c r="Y125" s="36"/>
      <c r="Z125" s="36"/>
      <c r="AA125" s="36"/>
      <c r="AB125" s="36"/>
      <c r="AC125" s="36"/>
      <c r="AD125" s="23"/>
    </row>
    <row r="126" ht="30.0" customHeight="1">
      <c r="B126" s="32" t="s">
        <v>127</v>
      </c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23"/>
    </row>
    <row r="127" ht="30.0" customHeight="1">
      <c r="A127" s="50"/>
      <c r="B127" s="51" t="s">
        <v>128</v>
      </c>
      <c r="C127" s="36"/>
      <c r="D127" s="10" t="s">
        <v>6</v>
      </c>
      <c r="E127" s="36"/>
      <c r="F127" s="10" t="s">
        <v>6</v>
      </c>
      <c r="G127" s="36"/>
      <c r="H127" s="10" t="s">
        <v>6</v>
      </c>
      <c r="I127" s="36"/>
      <c r="J127" s="36"/>
      <c r="K127" s="10" t="s">
        <v>6</v>
      </c>
      <c r="L127" s="36"/>
      <c r="M127" s="10" t="s">
        <v>6</v>
      </c>
      <c r="N127" s="36"/>
      <c r="O127" s="10" t="s">
        <v>6</v>
      </c>
      <c r="P127" s="36"/>
      <c r="Q127" s="36"/>
      <c r="R127" s="10" t="s">
        <v>6</v>
      </c>
      <c r="S127" s="36"/>
      <c r="T127" s="10" t="s">
        <v>6</v>
      </c>
      <c r="U127" s="36"/>
      <c r="V127" s="10" t="s">
        <v>6</v>
      </c>
      <c r="W127" s="36"/>
      <c r="X127" s="36"/>
      <c r="Y127" s="10" t="s">
        <v>6</v>
      </c>
      <c r="Z127" s="36"/>
      <c r="AA127" s="10" t="s">
        <v>6</v>
      </c>
      <c r="AB127" s="36"/>
      <c r="AC127" s="36"/>
      <c r="AD127" s="23"/>
    </row>
    <row r="128" ht="30.0" customHeight="1">
      <c r="A128" s="50"/>
      <c r="B128" s="51" t="s">
        <v>129</v>
      </c>
      <c r="C128" s="36"/>
      <c r="D128" s="36"/>
      <c r="E128" s="36"/>
      <c r="F128" s="36"/>
      <c r="G128" s="36"/>
      <c r="H128" s="10" t="s">
        <v>6</v>
      </c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10" t="s">
        <v>6</v>
      </c>
      <c r="W128" s="36"/>
      <c r="X128" s="36"/>
      <c r="Y128" s="36"/>
      <c r="Z128" s="36"/>
      <c r="AA128" s="36"/>
      <c r="AB128" s="36"/>
      <c r="AC128" s="36"/>
      <c r="AD128" s="23"/>
    </row>
    <row r="129" ht="30.0" customHeight="1">
      <c r="A129" s="50"/>
      <c r="B129" s="51" t="s">
        <v>130</v>
      </c>
      <c r="C129" s="61"/>
      <c r="D129" s="61"/>
      <c r="E129" s="61"/>
      <c r="F129" s="61"/>
      <c r="G129" s="61"/>
      <c r="H129" s="10" t="s">
        <v>6</v>
      </c>
      <c r="I129" s="61"/>
      <c r="J129" s="61"/>
      <c r="K129" s="61"/>
      <c r="L129" s="61"/>
      <c r="M129" s="61"/>
      <c r="N129" s="61"/>
      <c r="O129" s="10" t="s">
        <v>6</v>
      </c>
      <c r="P129" s="61"/>
      <c r="Q129" s="61"/>
      <c r="R129" s="61"/>
      <c r="S129" s="61"/>
      <c r="T129" s="61"/>
      <c r="U129" s="61"/>
      <c r="V129" s="10" t="s">
        <v>6</v>
      </c>
      <c r="W129" s="61"/>
      <c r="X129" s="61"/>
      <c r="Y129" s="61"/>
      <c r="Z129" s="61"/>
      <c r="AA129" s="61"/>
      <c r="AB129" s="61"/>
      <c r="AC129" s="61"/>
      <c r="AD129" s="23"/>
    </row>
    <row r="130" ht="30.0" customHeight="1">
      <c r="A130" s="50"/>
      <c r="B130" s="51" t="s">
        <v>131</v>
      </c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23"/>
    </row>
    <row r="131" ht="30.0" customHeight="1">
      <c r="A131" s="50"/>
      <c r="B131" s="51" t="s">
        <v>132</v>
      </c>
      <c r="C131" s="61"/>
      <c r="D131" s="61"/>
      <c r="E131" s="61"/>
      <c r="F131" s="10" t="s">
        <v>6</v>
      </c>
      <c r="G131" s="61"/>
      <c r="H131" s="61"/>
      <c r="I131" s="61"/>
      <c r="J131" s="61"/>
      <c r="K131" s="61"/>
      <c r="L131" s="61"/>
      <c r="M131" s="10" t="s">
        <v>6</v>
      </c>
      <c r="N131" s="61"/>
      <c r="O131" s="61"/>
      <c r="P131" s="61"/>
      <c r="Q131" s="61"/>
      <c r="R131" s="61"/>
      <c r="S131" s="61"/>
      <c r="T131" s="10" t="s">
        <v>6</v>
      </c>
      <c r="U131" s="61"/>
      <c r="V131" s="61"/>
      <c r="W131" s="61"/>
      <c r="X131" s="10" t="s">
        <v>6</v>
      </c>
      <c r="Y131" s="61"/>
      <c r="Z131" s="61"/>
      <c r="AA131" s="10" t="s">
        <v>6</v>
      </c>
      <c r="AB131" s="61"/>
      <c r="AC131" s="61"/>
      <c r="AD131" s="23"/>
    </row>
    <row r="132" ht="30.0" customHeight="1">
      <c r="A132" s="50"/>
      <c r="B132" s="51" t="s">
        <v>133</v>
      </c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23"/>
    </row>
    <row r="133" ht="30.0" customHeight="1">
      <c r="A133" s="50"/>
      <c r="B133" s="51" t="s">
        <v>134</v>
      </c>
      <c r="C133" s="36"/>
      <c r="D133" s="10" t="s">
        <v>6</v>
      </c>
      <c r="E133" s="36"/>
      <c r="F133" s="10" t="s">
        <v>6</v>
      </c>
      <c r="G133" s="36"/>
      <c r="H133" s="36"/>
      <c r="I133" s="36"/>
      <c r="J133" s="36"/>
      <c r="K133" s="10" t="s">
        <v>6</v>
      </c>
      <c r="L133" s="36"/>
      <c r="M133" s="10" t="s">
        <v>6</v>
      </c>
      <c r="N133" s="36"/>
      <c r="O133" s="36"/>
      <c r="P133" s="36"/>
      <c r="Q133" s="36"/>
      <c r="R133" s="10" t="s">
        <v>6</v>
      </c>
      <c r="S133" s="36"/>
      <c r="T133" s="36"/>
      <c r="U133" s="10" t="s">
        <v>6</v>
      </c>
      <c r="V133" s="36"/>
      <c r="W133" s="36"/>
      <c r="X133" s="36"/>
      <c r="Y133" s="36"/>
      <c r="Z133" s="10" t="s">
        <v>6</v>
      </c>
      <c r="AA133" s="36"/>
      <c r="AB133" s="36"/>
      <c r="AC133" s="36"/>
      <c r="AD133" s="23"/>
    </row>
    <row r="134" ht="30.0" customHeight="1">
      <c r="A134" s="50"/>
      <c r="B134" s="51" t="s">
        <v>135</v>
      </c>
      <c r="C134" s="61"/>
      <c r="D134" s="61"/>
      <c r="E134" s="61"/>
      <c r="F134" s="61"/>
      <c r="G134" s="61"/>
      <c r="H134" s="61"/>
      <c r="I134" s="61"/>
      <c r="J134" s="61"/>
      <c r="K134" s="10" t="s">
        <v>6</v>
      </c>
      <c r="L134" s="61"/>
      <c r="M134" s="10" t="s">
        <v>6</v>
      </c>
      <c r="N134" s="61"/>
      <c r="O134" s="61"/>
      <c r="P134" s="61"/>
      <c r="Q134" s="61"/>
      <c r="R134" s="10" t="s">
        <v>6</v>
      </c>
      <c r="S134" s="61"/>
      <c r="T134" s="10" t="s">
        <v>6</v>
      </c>
      <c r="U134" s="61"/>
      <c r="V134" s="61"/>
      <c r="W134" s="61"/>
      <c r="X134" s="61"/>
      <c r="Y134" s="10" t="s">
        <v>6</v>
      </c>
      <c r="Z134" s="61"/>
      <c r="AA134" s="10" t="s">
        <v>6</v>
      </c>
      <c r="AB134" s="61"/>
      <c r="AC134" s="61"/>
      <c r="AD134" s="23"/>
    </row>
    <row r="135" ht="30.0" customHeight="1">
      <c r="A135" s="50"/>
      <c r="B135" s="51" t="s">
        <v>136</v>
      </c>
      <c r="C135" s="10" t="s">
        <v>6</v>
      </c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23"/>
    </row>
    <row r="136" ht="30.0" customHeight="1">
      <c r="A136" s="50"/>
      <c r="B136" s="51" t="s">
        <v>137</v>
      </c>
      <c r="C136" s="61"/>
      <c r="D136" s="61"/>
      <c r="E136" s="61"/>
      <c r="F136" s="61"/>
      <c r="G136" s="61"/>
      <c r="H136" s="61"/>
      <c r="I136" s="61"/>
      <c r="J136" s="10" t="s">
        <v>6</v>
      </c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23"/>
    </row>
    <row r="137" ht="30.0" customHeight="1">
      <c r="A137" s="50"/>
      <c r="B137" s="51" t="s">
        <v>139</v>
      </c>
      <c r="C137" s="36"/>
      <c r="D137" s="36"/>
      <c r="E137" s="36"/>
      <c r="F137" s="10" t="s">
        <v>6</v>
      </c>
      <c r="G137" s="36"/>
      <c r="H137" s="10" t="s">
        <v>6</v>
      </c>
      <c r="I137" s="36"/>
      <c r="J137" s="36"/>
      <c r="K137" s="36"/>
      <c r="L137" s="36"/>
      <c r="M137" s="10" t="s">
        <v>6</v>
      </c>
      <c r="N137" s="36"/>
      <c r="O137" s="10" t="s">
        <v>6</v>
      </c>
      <c r="P137" s="36"/>
      <c r="Q137" s="36"/>
      <c r="R137" s="10" t="s">
        <v>6</v>
      </c>
      <c r="S137" s="36"/>
      <c r="T137" s="36"/>
      <c r="U137" s="36"/>
      <c r="V137" s="10" t="s">
        <v>6</v>
      </c>
      <c r="W137" s="36"/>
      <c r="X137" s="36"/>
      <c r="Y137" s="36"/>
      <c r="Z137" s="36"/>
      <c r="AA137" s="10" t="s">
        <v>6</v>
      </c>
      <c r="AB137" s="36"/>
      <c r="AC137" s="36"/>
      <c r="AD137" s="23"/>
    </row>
    <row r="138" ht="30.0" customHeight="1">
      <c r="A138" s="50"/>
      <c r="B138" s="51" t="s">
        <v>202</v>
      </c>
      <c r="C138" s="36"/>
      <c r="D138" s="36"/>
      <c r="E138" s="36"/>
      <c r="F138" s="36"/>
      <c r="G138" s="36"/>
      <c r="H138" s="36"/>
      <c r="I138" s="36"/>
      <c r="J138" s="36"/>
      <c r="K138" s="52"/>
      <c r="L138" s="43"/>
      <c r="M138" s="43"/>
      <c r="N138" s="36"/>
      <c r="O138" s="43"/>
      <c r="P138" s="43"/>
      <c r="Q138" s="36"/>
      <c r="R138" s="10" t="s">
        <v>6</v>
      </c>
      <c r="S138" s="36"/>
      <c r="T138" s="10" t="s">
        <v>6</v>
      </c>
      <c r="U138" s="36"/>
      <c r="V138" s="36"/>
      <c r="W138" s="36"/>
      <c r="X138" s="36"/>
      <c r="Y138" s="10" t="s">
        <v>6</v>
      </c>
      <c r="Z138" s="36"/>
      <c r="AA138" s="43"/>
      <c r="AB138" s="36"/>
      <c r="AC138" s="36"/>
      <c r="AD138" s="23"/>
    </row>
    <row r="139" ht="30.0" customHeight="1">
      <c r="A139" s="50"/>
      <c r="B139" s="51" t="s">
        <v>203</v>
      </c>
      <c r="C139" s="36"/>
      <c r="D139" s="36"/>
      <c r="E139" s="36"/>
      <c r="F139" s="36"/>
      <c r="G139" s="36"/>
      <c r="H139" s="36"/>
      <c r="I139" s="36"/>
      <c r="J139" s="36"/>
      <c r="K139" s="52"/>
      <c r="L139" s="43"/>
      <c r="M139" s="43"/>
      <c r="N139" s="36"/>
      <c r="O139" s="43"/>
      <c r="P139" s="43"/>
      <c r="Q139" s="36"/>
      <c r="R139" s="36"/>
      <c r="S139" s="36"/>
      <c r="T139" s="43"/>
      <c r="U139" s="36"/>
      <c r="V139" s="36"/>
      <c r="W139" s="36"/>
      <c r="X139" s="36"/>
      <c r="Y139" s="36"/>
      <c r="Z139" s="36"/>
      <c r="AA139" s="10" t="s">
        <v>6</v>
      </c>
      <c r="AB139" s="36"/>
      <c r="AC139" s="36"/>
      <c r="AD139" s="23"/>
    </row>
    <row r="140" ht="30.0" customHeight="1">
      <c r="A140" s="50"/>
      <c r="B140" s="71"/>
      <c r="C140" s="36"/>
      <c r="D140" s="36"/>
      <c r="E140" s="36"/>
      <c r="F140" s="36"/>
      <c r="G140" s="36"/>
      <c r="H140" s="36"/>
      <c r="I140" s="36"/>
      <c r="J140" s="36"/>
      <c r="K140" s="52"/>
      <c r="L140" s="43"/>
      <c r="M140" s="43"/>
      <c r="N140" s="36"/>
      <c r="O140" s="43"/>
      <c r="P140" s="43"/>
      <c r="Q140" s="36"/>
      <c r="R140" s="36"/>
      <c r="S140" s="36"/>
      <c r="T140" s="43"/>
      <c r="U140" s="36"/>
      <c r="V140" s="36"/>
      <c r="W140" s="36"/>
      <c r="X140" s="36"/>
      <c r="Y140" s="36"/>
      <c r="Z140" s="36"/>
      <c r="AA140" s="43"/>
      <c r="AB140" s="36"/>
      <c r="AC140" s="36"/>
      <c r="AD140" s="23"/>
    </row>
    <row r="141" ht="30.0" customHeight="1">
      <c r="A141" s="50"/>
      <c r="B141" s="71"/>
      <c r="C141" s="36"/>
      <c r="D141" s="36"/>
      <c r="E141" s="36"/>
      <c r="F141" s="36"/>
      <c r="G141" s="36"/>
      <c r="H141" s="36"/>
      <c r="I141" s="36"/>
      <c r="J141" s="36"/>
      <c r="K141" s="52"/>
      <c r="L141" s="43"/>
      <c r="M141" s="43"/>
      <c r="N141" s="36"/>
      <c r="O141" s="43"/>
      <c r="P141" s="43"/>
      <c r="Q141" s="36"/>
      <c r="R141" s="36"/>
      <c r="S141" s="36"/>
      <c r="T141" s="43"/>
      <c r="U141" s="36"/>
      <c r="V141" s="36"/>
      <c r="W141" s="36"/>
      <c r="X141" s="36"/>
      <c r="Y141" s="36"/>
      <c r="Z141" s="36"/>
      <c r="AA141" s="43"/>
      <c r="AB141" s="36"/>
      <c r="AC141" s="36"/>
      <c r="AD141" s="23"/>
    </row>
    <row r="142" ht="30.0" customHeight="1">
      <c r="B142" s="48" t="str">
        <f>Febrero!MonthName&amp;" Total"</f>
        <v>Enero Total</v>
      </c>
      <c r="C142" s="25">
        <f>SUBTOTAL(103,Febrero!$C$7)</f>
        <v>0</v>
      </c>
      <c r="D142" s="25">
        <f>SUBTOTAL(103,Febrero!$D$7)</f>
        <v>0</v>
      </c>
      <c r="E142" s="25">
        <f>SUBTOTAL(103,Febrero!$E$7)</f>
        <v>0</v>
      </c>
      <c r="F142" s="25"/>
      <c r="G142" s="25"/>
      <c r="H142" s="25">
        <f>SUBTOTAL(103,Febrero!$H$7)</f>
        <v>0</v>
      </c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</row>
    <row r="143" ht="30.0" customHeight="1">
      <c r="AD143" s="5"/>
    </row>
    <row r="144" ht="30.0" customHeight="1">
      <c r="B144" s="30" t="s">
        <v>12</v>
      </c>
      <c r="C144" s="27" t="s">
        <v>140</v>
      </c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39">
        <v>2026.0</v>
      </c>
    </row>
    <row r="145" ht="30.0" customHeight="1">
      <c r="B145" s="30"/>
      <c r="C145" s="16" t="str">
        <f>TEXT(WEEKDAY(DATE(Febrero!CalendarioAño,1,5),1),"ddd")</f>
        <v>lun</v>
      </c>
      <c r="D145" s="16" t="str">
        <f>TEXT(WEEKDAY(DATE(Febrero!CalendarioAño,1,6),1),"ddd")</f>
        <v>mar</v>
      </c>
      <c r="E145" s="16" t="str">
        <f>TEXT(WEEKDAY(DATE(Febrero!CalendarioAño,1,7),1),"ddd")</f>
        <v>mié</v>
      </c>
      <c r="F145" s="16" t="str">
        <f>TEXT(WEEKDAY(DATE(Febrero!CalendarioAño,1,8),1),"ddd")</f>
        <v>jue</v>
      </c>
      <c r="G145" s="16" t="str">
        <f>TEXT(WEEKDAY(DATE(Febrero!CalendarioAño,1,9),1),"ddd")</f>
        <v>vie</v>
      </c>
      <c r="H145" s="16" t="str">
        <f>TEXT(WEEKDAY(DATE(Febrero!CalendarioAño,1,10),1),"ddd")</f>
        <v>sáb</v>
      </c>
      <c r="I145" s="16" t="str">
        <f>TEXT(WEEKDAY(DATE(Febrero!CalendarioAño,1,11),1),"ddd")</f>
        <v>dom</v>
      </c>
      <c r="J145" s="69" t="str">
        <f>TEXT(WEEKDAY(DATE(Febrero!CalendarioAño,1,5),1),"ddd")</f>
        <v>lun</v>
      </c>
      <c r="K145" s="69" t="str">
        <f>TEXT(WEEKDAY(DATE(Febrero!CalendarioAño,1,6),1),"ddd")</f>
        <v>mar</v>
      </c>
      <c r="L145" s="69" t="str">
        <f>TEXT(WEEKDAY(DATE(Febrero!CalendarioAño,1,7),1),"ddd")</f>
        <v>mié</v>
      </c>
      <c r="M145" s="69" t="str">
        <f>TEXT(WEEKDAY(DATE(Febrero!CalendarioAño,1,8),1),"ddd")</f>
        <v>jue</v>
      </c>
      <c r="N145" s="69" t="str">
        <f>TEXT(WEEKDAY(DATE(Febrero!CalendarioAño,1,9),1),"ddd")</f>
        <v>vie</v>
      </c>
      <c r="O145" s="69" t="str">
        <f>TEXT(WEEKDAY(DATE(Febrero!CalendarioAño,1,10),1),"ddd")</f>
        <v>sáb</v>
      </c>
      <c r="P145" s="69" t="str">
        <f>TEXT(WEEKDAY(DATE(Febrero!CalendarioAño,1,11),1),"ddd")</f>
        <v>dom</v>
      </c>
      <c r="Q145" s="69" t="str">
        <f>TEXT(WEEKDAY(DATE(Febrero!CalendarioAño,1,5),1),"ddd")</f>
        <v>lun</v>
      </c>
      <c r="R145" s="69" t="str">
        <f>TEXT(WEEKDAY(DATE(Febrero!CalendarioAño,1,6),1),"ddd")</f>
        <v>mar</v>
      </c>
      <c r="S145" s="69" t="str">
        <f>TEXT(WEEKDAY(DATE(Febrero!CalendarioAño,1,7),1),"ddd")</f>
        <v>mié</v>
      </c>
      <c r="T145" s="69" t="str">
        <f>TEXT(WEEKDAY(DATE(Febrero!CalendarioAño,1,8),1),"ddd")</f>
        <v>jue</v>
      </c>
      <c r="U145" s="69" t="str">
        <f>TEXT(WEEKDAY(DATE(Febrero!CalendarioAño,1,9),1),"ddd")</f>
        <v>vie</v>
      </c>
      <c r="V145" s="69" t="str">
        <f>TEXT(WEEKDAY(DATE(Febrero!CalendarioAño,1,10),1),"ddd")</f>
        <v>sáb</v>
      </c>
      <c r="W145" s="69" t="str">
        <f>TEXT(WEEKDAY(DATE(Febrero!CalendarioAño,1,11),1),"ddd")</f>
        <v>dom</v>
      </c>
      <c r="X145" s="69" t="str">
        <f>TEXT(WEEKDAY(DATE(Febrero!CalendarioAño,1,5),1),"ddd")</f>
        <v>lun</v>
      </c>
      <c r="Y145" s="69" t="str">
        <f>TEXT(WEEKDAY(DATE(Febrero!CalendarioAño,1,6),1),"ddd")</f>
        <v>mar</v>
      </c>
      <c r="Z145" s="69" t="str">
        <f>TEXT(WEEKDAY(DATE(Febrero!CalendarioAño,1,7),1),"ddd")</f>
        <v>mié</v>
      </c>
      <c r="AA145" s="69" t="str">
        <f>TEXT(WEEKDAY(DATE(Febrero!CalendarioAño,1,8),1),"ddd")</f>
        <v>jue</v>
      </c>
      <c r="AB145" s="69" t="str">
        <f>TEXT(WEEKDAY(DATE(Febrero!CalendarioAño,1,9),1),"ddd")</f>
        <v>vie</v>
      </c>
      <c r="AC145" s="69" t="str">
        <f>TEXT(WEEKDAY(DATE(Febrero!CalendarioAño,1,10),1),"ddd")</f>
        <v>sáb</v>
      </c>
      <c r="AD145" s="30"/>
    </row>
    <row r="146" ht="30.0" customHeight="1">
      <c r="A146" s="17"/>
      <c r="B146" s="31" t="s">
        <v>14</v>
      </c>
      <c r="C146" s="70">
        <v>2.0</v>
      </c>
      <c r="D146" s="70">
        <v>3.0</v>
      </c>
      <c r="E146" s="70">
        <v>4.0</v>
      </c>
      <c r="F146" s="70">
        <v>5.0</v>
      </c>
      <c r="G146" s="70">
        <v>6.0</v>
      </c>
      <c r="H146" s="70">
        <v>7.0</v>
      </c>
      <c r="I146" s="70">
        <v>8.0</v>
      </c>
      <c r="J146" s="70">
        <v>9.0</v>
      </c>
      <c r="K146" s="70">
        <v>10.0</v>
      </c>
      <c r="L146" s="70">
        <v>11.0</v>
      </c>
      <c r="M146" s="70">
        <v>12.0</v>
      </c>
      <c r="N146" s="70">
        <v>13.0</v>
      </c>
      <c r="O146" s="70">
        <v>14.0</v>
      </c>
      <c r="P146" s="70">
        <v>15.0</v>
      </c>
      <c r="Q146" s="70">
        <v>16.0</v>
      </c>
      <c r="R146" s="70">
        <v>17.0</v>
      </c>
      <c r="S146" s="70">
        <v>18.0</v>
      </c>
      <c r="T146" s="70">
        <v>19.0</v>
      </c>
      <c r="U146" s="70">
        <v>20.0</v>
      </c>
      <c r="V146" s="70">
        <v>21.0</v>
      </c>
      <c r="W146" s="70">
        <v>22.0</v>
      </c>
      <c r="X146" s="70">
        <v>23.0</v>
      </c>
      <c r="Y146" s="70">
        <v>24.0</v>
      </c>
      <c r="Z146" s="70">
        <v>25.0</v>
      </c>
      <c r="AA146" s="70">
        <v>26.0</v>
      </c>
      <c r="AB146" s="70">
        <v>27.0</v>
      </c>
      <c r="AC146" s="70">
        <v>28.0</v>
      </c>
      <c r="AD146" s="19" t="s">
        <v>46</v>
      </c>
    </row>
    <row r="147" ht="30.0" customHeight="1">
      <c r="B147" s="40" t="s">
        <v>141</v>
      </c>
      <c r="C147" s="10" t="s">
        <v>6</v>
      </c>
      <c r="D147" s="36"/>
      <c r="E147" s="36"/>
      <c r="F147" s="10" t="s">
        <v>6</v>
      </c>
      <c r="G147" s="10" t="s">
        <v>6</v>
      </c>
      <c r="H147" s="36"/>
      <c r="I147" s="36"/>
      <c r="J147" s="10" t="s">
        <v>6</v>
      </c>
      <c r="K147" s="36"/>
      <c r="L147" s="10" t="s">
        <v>6</v>
      </c>
      <c r="M147" s="36"/>
      <c r="N147" s="36"/>
      <c r="O147" s="36"/>
      <c r="P147" s="36"/>
      <c r="Q147" s="10" t="s">
        <v>6</v>
      </c>
      <c r="R147" s="36"/>
      <c r="S147" s="36"/>
      <c r="T147" s="36"/>
      <c r="U147" s="36"/>
      <c r="V147" s="36"/>
      <c r="W147" s="36"/>
      <c r="X147" s="10" t="s">
        <v>6</v>
      </c>
      <c r="Y147" s="36"/>
      <c r="Z147" s="10" t="s">
        <v>6</v>
      </c>
      <c r="AA147" s="36"/>
      <c r="AB147" s="36"/>
      <c r="AC147" s="36"/>
      <c r="AD147" s="23"/>
    </row>
    <row r="148" ht="30.0" customHeight="1">
      <c r="B148" s="32" t="s">
        <v>142</v>
      </c>
      <c r="C148" s="61"/>
      <c r="D148" s="61"/>
      <c r="E148" s="10" t="s">
        <v>6</v>
      </c>
      <c r="F148" s="61"/>
      <c r="G148" s="10" t="s">
        <v>6</v>
      </c>
      <c r="H148" s="61"/>
      <c r="I148" s="61"/>
      <c r="J148" s="61"/>
      <c r="K148" s="61"/>
      <c r="L148" s="10" t="s">
        <v>6</v>
      </c>
      <c r="M148" s="61"/>
      <c r="N148" s="61"/>
      <c r="O148" s="61"/>
      <c r="P148" s="61"/>
      <c r="Q148" s="61"/>
      <c r="R148" s="61"/>
      <c r="S148" s="10" t="s">
        <v>6</v>
      </c>
      <c r="T148" s="61"/>
      <c r="U148" s="10" t="s">
        <v>6</v>
      </c>
      <c r="V148" s="61"/>
      <c r="W148" s="61"/>
      <c r="X148" s="61"/>
      <c r="Y148" s="61"/>
      <c r="Z148" s="61"/>
      <c r="AA148" s="72" t="s">
        <v>204</v>
      </c>
      <c r="AB148" s="61"/>
      <c r="AC148" s="61"/>
      <c r="AD148" s="23"/>
    </row>
    <row r="149" ht="30.0" customHeight="1">
      <c r="B149" s="32" t="s">
        <v>143</v>
      </c>
      <c r="C149" s="10" t="s">
        <v>6</v>
      </c>
      <c r="D149" s="36"/>
      <c r="E149" s="36"/>
      <c r="F149" s="36"/>
      <c r="G149" s="36"/>
      <c r="H149" s="10" t="s">
        <v>6</v>
      </c>
      <c r="I149" s="36"/>
      <c r="J149" s="36"/>
      <c r="K149" s="36"/>
      <c r="L149" s="10" t="s">
        <v>6</v>
      </c>
      <c r="M149" s="36"/>
      <c r="N149" s="10" t="s">
        <v>6</v>
      </c>
      <c r="O149" s="36"/>
      <c r="P149" s="36"/>
      <c r="Q149" s="36"/>
      <c r="R149" s="36"/>
      <c r="S149" s="10" t="s">
        <v>6</v>
      </c>
      <c r="T149" s="36"/>
      <c r="U149" s="36"/>
      <c r="V149" s="10" t="s">
        <v>6</v>
      </c>
      <c r="W149" s="36"/>
      <c r="X149" s="10" t="s">
        <v>6</v>
      </c>
      <c r="Y149" s="36"/>
      <c r="Z149" s="10" t="s">
        <v>6</v>
      </c>
      <c r="AA149" s="36"/>
      <c r="AB149" s="36"/>
      <c r="AC149" s="36"/>
      <c r="AD149" s="23"/>
    </row>
    <row r="150" ht="30.0" customHeight="1">
      <c r="B150" s="32" t="s">
        <v>144</v>
      </c>
      <c r="C150" s="61"/>
      <c r="D150" s="61"/>
      <c r="E150" s="61"/>
      <c r="F150" s="61"/>
      <c r="G150" s="10" t="s">
        <v>6</v>
      </c>
      <c r="H150" s="61"/>
      <c r="I150" s="61"/>
      <c r="J150" s="61"/>
      <c r="K150" s="61"/>
      <c r="L150" s="61"/>
      <c r="M150" s="61"/>
      <c r="N150" s="10" t="s">
        <v>6</v>
      </c>
      <c r="O150" s="61"/>
      <c r="P150" s="61"/>
      <c r="Q150" s="61"/>
      <c r="R150" s="61"/>
      <c r="S150" s="61"/>
      <c r="T150" s="61"/>
      <c r="U150" s="10" t="s">
        <v>6</v>
      </c>
      <c r="V150" s="61"/>
      <c r="W150" s="61"/>
      <c r="X150" s="61"/>
      <c r="Y150" s="61"/>
      <c r="Z150" s="61"/>
      <c r="AA150" s="61"/>
      <c r="AB150" s="61"/>
      <c r="AC150" s="61"/>
      <c r="AD150" s="23"/>
    </row>
    <row r="151" ht="30.0" customHeight="1">
      <c r="B151" s="32" t="s">
        <v>145</v>
      </c>
      <c r="C151" s="36"/>
      <c r="D151" s="10" t="s">
        <v>6</v>
      </c>
      <c r="E151" s="36"/>
      <c r="F151" s="10" t="s">
        <v>6</v>
      </c>
      <c r="G151" s="36"/>
      <c r="H151" s="36"/>
      <c r="I151" s="36"/>
      <c r="J151" s="36"/>
      <c r="K151" s="10" t="s">
        <v>6</v>
      </c>
      <c r="L151" s="36"/>
      <c r="M151" s="10" t="s">
        <v>6</v>
      </c>
      <c r="N151" s="36"/>
      <c r="O151" s="36"/>
      <c r="P151" s="36"/>
      <c r="Q151" s="36"/>
      <c r="R151" s="10" t="s">
        <v>6</v>
      </c>
      <c r="S151" s="36"/>
      <c r="T151" s="10" t="s">
        <v>6</v>
      </c>
      <c r="U151" s="36"/>
      <c r="V151" s="36"/>
      <c r="W151" s="36"/>
      <c r="X151" s="36"/>
      <c r="Y151" s="10" t="s">
        <v>6</v>
      </c>
      <c r="Z151" s="36"/>
      <c r="AA151" s="36"/>
      <c r="AB151" s="36"/>
      <c r="AC151" s="36"/>
      <c r="AD151" s="23"/>
    </row>
    <row r="152" ht="30.0" customHeight="1">
      <c r="B152" s="40" t="s">
        <v>146</v>
      </c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23"/>
    </row>
    <row r="153" ht="30.0" customHeight="1">
      <c r="B153" s="32" t="s">
        <v>147</v>
      </c>
      <c r="C153" s="61"/>
      <c r="D153" s="61"/>
      <c r="E153" s="10" t="s">
        <v>6</v>
      </c>
      <c r="F153" s="61"/>
      <c r="G153" s="61"/>
      <c r="H153" s="10" t="s">
        <v>6</v>
      </c>
      <c r="I153" s="61"/>
      <c r="J153" s="61"/>
      <c r="K153" s="61"/>
      <c r="L153" s="10" t="s">
        <v>6</v>
      </c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10" t="s">
        <v>6</v>
      </c>
      <c r="Y153" s="61"/>
      <c r="Z153" s="61"/>
      <c r="AA153" s="61"/>
      <c r="AB153" s="61"/>
      <c r="AC153" s="61"/>
      <c r="AD153" s="23"/>
    </row>
    <row r="154" ht="30.0" customHeight="1">
      <c r="B154" s="32" t="s">
        <v>148</v>
      </c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23"/>
    </row>
    <row r="155" ht="30.0" customHeight="1">
      <c r="B155" s="32" t="s">
        <v>149</v>
      </c>
      <c r="C155" s="61"/>
      <c r="D155" s="61"/>
      <c r="E155" s="61"/>
      <c r="F155" s="61"/>
      <c r="G155" s="61"/>
      <c r="H155" s="61"/>
      <c r="I155" s="61"/>
      <c r="J155" s="10" t="s">
        <v>6</v>
      </c>
      <c r="K155" s="61"/>
      <c r="L155" s="10" t="s">
        <v>6</v>
      </c>
      <c r="M155" s="61"/>
      <c r="N155" s="61"/>
      <c r="O155" s="61"/>
      <c r="P155" s="61"/>
      <c r="Q155" s="61"/>
      <c r="R155" s="10" t="s">
        <v>6</v>
      </c>
      <c r="S155" s="61"/>
      <c r="T155" s="61"/>
      <c r="U155" s="10" t="s">
        <v>6</v>
      </c>
      <c r="V155" s="61"/>
      <c r="W155" s="61"/>
      <c r="X155" s="61"/>
      <c r="Y155" s="10" t="s">
        <v>6</v>
      </c>
      <c r="Z155" s="61"/>
      <c r="AA155" s="61"/>
      <c r="AB155" s="61"/>
      <c r="AC155" s="61"/>
      <c r="AD155" s="23"/>
    </row>
    <row r="156" ht="30.0" customHeight="1">
      <c r="B156" s="32" t="s">
        <v>150</v>
      </c>
      <c r="C156" s="36"/>
      <c r="D156" s="10" t="s">
        <v>6</v>
      </c>
      <c r="E156" s="36"/>
      <c r="F156" s="36"/>
      <c r="G156" s="10" t="s">
        <v>6</v>
      </c>
      <c r="H156" s="36"/>
      <c r="I156" s="36"/>
      <c r="J156" s="36"/>
      <c r="K156" s="36"/>
      <c r="L156" s="10" t="s">
        <v>6</v>
      </c>
      <c r="M156" s="10" t="s">
        <v>6</v>
      </c>
      <c r="N156" s="36"/>
      <c r="O156" s="36"/>
      <c r="P156" s="36"/>
      <c r="Q156" s="36"/>
      <c r="R156" s="36"/>
      <c r="S156" s="36"/>
      <c r="T156" s="10" t="s">
        <v>6</v>
      </c>
      <c r="U156" s="36"/>
      <c r="V156" s="36"/>
      <c r="W156" s="36"/>
      <c r="X156" s="36"/>
      <c r="Y156" s="36"/>
      <c r="Z156" s="10" t="s">
        <v>6</v>
      </c>
      <c r="AA156" s="36"/>
      <c r="AB156" s="36"/>
      <c r="AC156" s="36"/>
      <c r="AD156" s="23"/>
    </row>
    <row r="157" ht="30.0" customHeight="1">
      <c r="B157" s="32" t="s">
        <v>152</v>
      </c>
      <c r="C157" s="61"/>
      <c r="D157" s="10" t="s">
        <v>6</v>
      </c>
      <c r="E157" s="61"/>
      <c r="F157" s="10" t="s">
        <v>6</v>
      </c>
      <c r="G157" s="61"/>
      <c r="H157" s="61"/>
      <c r="I157" s="61"/>
      <c r="J157" s="10" t="s">
        <v>6</v>
      </c>
      <c r="K157" s="10" t="s">
        <v>6</v>
      </c>
      <c r="L157" s="10" t="s">
        <v>6</v>
      </c>
      <c r="M157" s="10" t="s">
        <v>6</v>
      </c>
      <c r="N157" s="61"/>
      <c r="O157" s="61"/>
      <c r="P157" s="61"/>
      <c r="Q157" s="61"/>
      <c r="R157" s="10" t="s">
        <v>6</v>
      </c>
      <c r="S157" s="61"/>
      <c r="T157" s="10" t="s">
        <v>6</v>
      </c>
      <c r="U157" s="61"/>
      <c r="V157" s="61"/>
      <c r="W157" s="61"/>
      <c r="X157" s="61"/>
      <c r="Y157" s="61"/>
      <c r="Z157" s="61"/>
      <c r="AA157" s="61"/>
      <c r="AB157" s="61"/>
      <c r="AC157" s="61"/>
      <c r="AD157" s="23"/>
    </row>
    <row r="158" ht="30.0" customHeight="1">
      <c r="B158" s="32" t="s">
        <v>153</v>
      </c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23"/>
    </row>
    <row r="159" ht="30.0" customHeight="1">
      <c r="B159" s="32" t="s">
        <v>105</v>
      </c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23"/>
    </row>
    <row r="160" ht="30.0" customHeight="1">
      <c r="B160" s="32" t="s">
        <v>154</v>
      </c>
      <c r="C160" s="36"/>
      <c r="D160" s="36"/>
      <c r="E160" s="36"/>
      <c r="F160" s="36"/>
      <c r="G160" s="36"/>
      <c r="H160" s="10" t="s">
        <v>6</v>
      </c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10" t="s">
        <v>6</v>
      </c>
      <c r="W160" s="36"/>
      <c r="X160" s="36"/>
      <c r="Y160" s="36"/>
      <c r="Z160" s="36"/>
      <c r="AA160" s="36"/>
      <c r="AB160" s="36"/>
      <c r="AC160" s="36"/>
      <c r="AD160" s="23"/>
    </row>
    <row r="161" ht="30.0" customHeight="1">
      <c r="B161" s="32" t="s">
        <v>155</v>
      </c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10" t="s">
        <v>6</v>
      </c>
      <c r="P161" s="36"/>
      <c r="Q161" s="36"/>
      <c r="R161" s="36"/>
      <c r="S161" s="36"/>
      <c r="T161" s="10" t="s">
        <v>6</v>
      </c>
      <c r="U161" s="36"/>
      <c r="V161" s="36"/>
      <c r="W161" s="36"/>
      <c r="X161" s="36"/>
      <c r="Y161" s="36"/>
      <c r="Z161" s="36"/>
      <c r="AA161" s="36"/>
      <c r="AB161" s="36"/>
      <c r="AC161" s="36"/>
      <c r="AD161" s="23"/>
    </row>
    <row r="162" ht="30.0" customHeight="1">
      <c r="B162" s="32" t="s">
        <v>156</v>
      </c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25"/>
    </row>
    <row r="163" ht="30.0" customHeight="1">
      <c r="B163" s="32" t="s">
        <v>157</v>
      </c>
      <c r="C163" s="10" t="s">
        <v>6</v>
      </c>
      <c r="D163" s="36"/>
      <c r="E163" s="36"/>
      <c r="F163" s="36"/>
      <c r="G163" s="10" t="s">
        <v>6</v>
      </c>
      <c r="H163" s="36"/>
      <c r="I163" s="36"/>
      <c r="J163" s="10" t="s">
        <v>6</v>
      </c>
      <c r="K163" s="36"/>
      <c r="L163" s="10" t="s">
        <v>6</v>
      </c>
      <c r="M163" s="36"/>
      <c r="N163" s="10" t="s">
        <v>6</v>
      </c>
      <c r="O163" s="36"/>
      <c r="P163" s="36"/>
      <c r="Q163" s="10" t="s">
        <v>6</v>
      </c>
      <c r="R163" s="36"/>
      <c r="S163" s="36"/>
      <c r="T163" s="36"/>
      <c r="U163" s="10" t="s">
        <v>6</v>
      </c>
      <c r="V163" s="36"/>
      <c r="W163" s="36"/>
      <c r="X163" s="10" t="s">
        <v>6</v>
      </c>
      <c r="Y163" s="36"/>
      <c r="Z163" s="36"/>
      <c r="AA163" s="36"/>
      <c r="AB163" s="36"/>
      <c r="AC163" s="36"/>
      <c r="AD163" s="25"/>
    </row>
    <row r="164" ht="30.0" customHeight="1">
      <c r="B164" s="32" t="s">
        <v>158</v>
      </c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25"/>
    </row>
    <row r="165" ht="30.0" customHeight="1">
      <c r="B165" s="32" t="s">
        <v>159</v>
      </c>
      <c r="C165" s="10" t="s">
        <v>6</v>
      </c>
      <c r="D165" s="36"/>
      <c r="E165" s="36"/>
      <c r="F165" s="10" t="s">
        <v>6</v>
      </c>
      <c r="G165" s="36"/>
      <c r="H165" s="36"/>
      <c r="I165" s="36"/>
      <c r="J165" s="10" t="s">
        <v>6</v>
      </c>
      <c r="K165" s="36"/>
      <c r="L165" s="36"/>
      <c r="M165" s="10" t="s">
        <v>6</v>
      </c>
      <c r="N165" s="36"/>
      <c r="O165" s="36"/>
      <c r="P165" s="36"/>
      <c r="Q165" s="10" t="s">
        <v>6</v>
      </c>
      <c r="R165" s="36"/>
      <c r="S165" s="36"/>
      <c r="T165" s="10" t="s">
        <v>6</v>
      </c>
      <c r="U165" s="36"/>
      <c r="V165" s="36"/>
      <c r="W165" s="36"/>
      <c r="X165" s="10" t="s">
        <v>6</v>
      </c>
      <c r="Y165" s="36"/>
      <c r="Z165" s="36"/>
      <c r="AA165" s="36"/>
      <c r="AB165" s="36"/>
      <c r="AC165" s="36"/>
      <c r="AD165" s="25"/>
    </row>
    <row r="166" ht="30.0" customHeight="1">
      <c r="B166" s="32" t="s">
        <v>205</v>
      </c>
      <c r="C166" s="25"/>
      <c r="D166" s="10" t="s">
        <v>6</v>
      </c>
      <c r="E166" s="10" t="s">
        <v>6</v>
      </c>
      <c r="F166" s="25"/>
      <c r="G166" s="10" t="s">
        <v>6</v>
      </c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10" t="s">
        <v>6</v>
      </c>
      <c r="V166" s="25"/>
      <c r="W166" s="25"/>
      <c r="X166" s="25"/>
      <c r="Y166" s="10" t="s">
        <v>6</v>
      </c>
      <c r="Z166" s="10" t="s">
        <v>6</v>
      </c>
      <c r="AA166" s="10" t="s">
        <v>6</v>
      </c>
      <c r="AB166" s="25"/>
      <c r="AC166" s="25"/>
      <c r="AD166" s="25"/>
    </row>
    <row r="167" ht="30.0" customHeight="1">
      <c r="B167" s="32" t="s">
        <v>151</v>
      </c>
      <c r="C167" s="25"/>
      <c r="D167" s="10" t="s">
        <v>6</v>
      </c>
      <c r="E167" s="25"/>
      <c r="F167" s="25"/>
      <c r="G167" s="25"/>
      <c r="H167" s="25"/>
      <c r="I167" s="25"/>
      <c r="J167" s="25"/>
      <c r="K167" s="25"/>
      <c r="L167" s="25"/>
      <c r="M167" s="25"/>
      <c r="N167" s="10" t="s">
        <v>6</v>
      </c>
      <c r="O167" s="25"/>
      <c r="P167" s="25"/>
      <c r="Q167" s="25"/>
      <c r="R167" s="10" t="s">
        <v>6</v>
      </c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</row>
    <row r="168" ht="30.0" customHeight="1">
      <c r="B168" s="32" t="s">
        <v>117</v>
      </c>
      <c r="C168" s="25"/>
      <c r="D168" s="25"/>
      <c r="E168" s="10" t="s">
        <v>6</v>
      </c>
      <c r="F168" s="25"/>
      <c r="G168" s="10" t="s">
        <v>6</v>
      </c>
      <c r="H168" s="10" t="s">
        <v>6</v>
      </c>
      <c r="I168" s="25"/>
      <c r="J168" s="25"/>
      <c r="K168" s="10" t="s">
        <v>6</v>
      </c>
      <c r="L168" s="25"/>
      <c r="M168" s="25"/>
      <c r="N168" s="10" t="s">
        <v>6</v>
      </c>
      <c r="O168" s="10" t="s">
        <v>6</v>
      </c>
      <c r="P168" s="25"/>
      <c r="Q168" s="25"/>
      <c r="R168" s="25"/>
      <c r="S168" s="25"/>
      <c r="T168" s="25"/>
      <c r="U168" s="25"/>
      <c r="V168" s="10" t="s">
        <v>6</v>
      </c>
      <c r="W168" s="25"/>
      <c r="X168" s="25"/>
      <c r="Y168" s="25"/>
      <c r="Z168" s="10" t="s">
        <v>6</v>
      </c>
      <c r="AA168" s="25"/>
      <c r="AB168" s="25"/>
      <c r="AC168" s="25"/>
      <c r="AD168" s="25"/>
    </row>
    <row r="169" ht="30.0" customHeight="1">
      <c r="B169" s="32" t="s">
        <v>138</v>
      </c>
      <c r="C169" s="25"/>
      <c r="D169" s="25"/>
      <c r="E169" s="25"/>
      <c r="F169" s="25"/>
      <c r="G169" s="25"/>
      <c r="H169" s="10" t="s">
        <v>6</v>
      </c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</row>
    <row r="170" ht="30.0" customHeight="1">
      <c r="B170" s="48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</row>
    <row r="171" ht="30.0" customHeight="1">
      <c r="B171" s="48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</row>
    <row r="172" ht="30.0" customHeight="1">
      <c r="B172" s="48" t="str">
        <f>Febrero!MonthName&amp;" Total"</f>
        <v>Enero Total</v>
      </c>
      <c r="C172" s="25">
        <f>SUBTOTAL(103,Febrero!$C$7)</f>
        <v>0</v>
      </c>
      <c r="D172" s="25">
        <f>SUBTOTAL(103,Febrero!$D$7)</f>
        <v>0</v>
      </c>
      <c r="E172" s="25">
        <f>SUBTOTAL(103,Febrero!$E$7)</f>
        <v>0</v>
      </c>
      <c r="F172" s="25"/>
      <c r="G172" s="25"/>
      <c r="H172" s="25">
        <f>SUBTOTAL(103,Febrero!$H$7)</f>
        <v>0</v>
      </c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>
        <f>SUM(C172:AC172)</f>
        <v>0</v>
      </c>
    </row>
    <row r="173" ht="30.0" customHeight="1">
      <c r="AD173" s="5"/>
    </row>
    <row r="174" ht="30.0" customHeight="1">
      <c r="B174" s="30" t="s">
        <v>12</v>
      </c>
      <c r="C174" s="27" t="s">
        <v>160</v>
      </c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39">
        <v>2026.0</v>
      </c>
    </row>
    <row r="175" ht="30.0" customHeight="1">
      <c r="B175" s="30"/>
      <c r="C175" s="16" t="str">
        <f>TEXT(WEEKDAY(DATE(Febrero!CalendarioAño,1,5),1),"ddd")</f>
        <v>lun</v>
      </c>
      <c r="D175" s="16" t="str">
        <f>TEXT(WEEKDAY(DATE(Febrero!CalendarioAño,1,6),1),"ddd")</f>
        <v>mar</v>
      </c>
      <c r="E175" s="16" t="str">
        <f>TEXT(WEEKDAY(DATE(Febrero!CalendarioAño,1,7),1),"ddd")</f>
        <v>mié</v>
      </c>
      <c r="F175" s="16" t="str">
        <f>TEXT(WEEKDAY(DATE(Febrero!CalendarioAño,1,8),1),"ddd")</f>
        <v>jue</v>
      </c>
      <c r="G175" s="16" t="str">
        <f>TEXT(WEEKDAY(DATE(Febrero!CalendarioAño,1,9),1),"ddd")</f>
        <v>vie</v>
      </c>
      <c r="H175" s="16" t="str">
        <f>TEXT(WEEKDAY(DATE(Febrero!CalendarioAño,1,10),1),"ddd")</f>
        <v>sáb</v>
      </c>
      <c r="I175" s="16" t="str">
        <f>TEXT(WEEKDAY(DATE(Febrero!CalendarioAño,1,11),1),"ddd")</f>
        <v>dom</v>
      </c>
      <c r="J175" s="69" t="str">
        <f>TEXT(WEEKDAY(DATE(Febrero!CalendarioAño,1,5),1),"ddd")</f>
        <v>lun</v>
      </c>
      <c r="K175" s="69" t="str">
        <f>TEXT(WEEKDAY(DATE(Febrero!CalendarioAño,1,6),1),"ddd")</f>
        <v>mar</v>
      </c>
      <c r="L175" s="69" t="str">
        <f>TEXT(WEEKDAY(DATE(Febrero!CalendarioAño,1,7),1),"ddd")</f>
        <v>mié</v>
      </c>
      <c r="M175" s="69" t="str">
        <f>TEXT(WEEKDAY(DATE(Febrero!CalendarioAño,1,8),1),"ddd")</f>
        <v>jue</v>
      </c>
      <c r="N175" s="69" t="str">
        <f>TEXT(WEEKDAY(DATE(Febrero!CalendarioAño,1,9),1),"ddd")</f>
        <v>vie</v>
      </c>
      <c r="O175" s="69" t="str">
        <f>TEXT(WEEKDAY(DATE(Febrero!CalendarioAño,1,10),1),"ddd")</f>
        <v>sáb</v>
      </c>
      <c r="P175" s="69" t="str">
        <f>TEXT(WEEKDAY(DATE(Febrero!CalendarioAño,1,11),1),"ddd")</f>
        <v>dom</v>
      </c>
      <c r="Q175" s="69" t="str">
        <f>TEXT(WEEKDAY(DATE(Febrero!CalendarioAño,1,5),1),"ddd")</f>
        <v>lun</v>
      </c>
      <c r="R175" s="69" t="str">
        <f>TEXT(WEEKDAY(DATE(Febrero!CalendarioAño,1,6),1),"ddd")</f>
        <v>mar</v>
      </c>
      <c r="S175" s="69" t="str">
        <f>TEXT(WEEKDAY(DATE(Febrero!CalendarioAño,1,7),1),"ddd")</f>
        <v>mié</v>
      </c>
      <c r="T175" s="69" t="str">
        <f>TEXT(WEEKDAY(DATE(Febrero!CalendarioAño,1,8),1),"ddd")</f>
        <v>jue</v>
      </c>
      <c r="U175" s="69" t="str">
        <f>TEXT(WEEKDAY(DATE(Febrero!CalendarioAño,1,9),1),"ddd")</f>
        <v>vie</v>
      </c>
      <c r="V175" s="69" t="str">
        <f>TEXT(WEEKDAY(DATE(Febrero!CalendarioAño,1,10),1),"ddd")</f>
        <v>sáb</v>
      </c>
      <c r="W175" s="69" t="str">
        <f>TEXT(WEEKDAY(DATE(Febrero!CalendarioAño,1,11),1),"ddd")</f>
        <v>dom</v>
      </c>
      <c r="X175" s="69" t="str">
        <f>TEXT(WEEKDAY(DATE(Febrero!CalendarioAño,1,5),1),"ddd")</f>
        <v>lun</v>
      </c>
      <c r="Y175" s="69" t="str">
        <f>TEXT(WEEKDAY(DATE(Febrero!CalendarioAño,1,6),1),"ddd")</f>
        <v>mar</v>
      </c>
      <c r="Z175" s="69" t="str">
        <f>TEXT(WEEKDAY(DATE(Febrero!CalendarioAño,1,7),1),"ddd")</f>
        <v>mié</v>
      </c>
      <c r="AA175" s="69" t="str">
        <f>TEXT(WEEKDAY(DATE(Febrero!CalendarioAño,1,8),1),"ddd")</f>
        <v>jue</v>
      </c>
      <c r="AB175" s="69" t="str">
        <f>TEXT(WEEKDAY(DATE(Febrero!CalendarioAño,1,9),1),"ddd")</f>
        <v>vie</v>
      </c>
      <c r="AC175" s="69" t="str">
        <f>TEXT(WEEKDAY(DATE(Febrero!CalendarioAño,1,10),1),"ddd")</f>
        <v>sáb</v>
      </c>
      <c r="AD175" s="30"/>
    </row>
    <row r="176" ht="30.0" customHeight="1">
      <c r="A176" s="17"/>
      <c r="B176" s="31" t="s">
        <v>14</v>
      </c>
      <c r="C176" s="70">
        <v>2.0</v>
      </c>
      <c r="D176" s="70">
        <v>3.0</v>
      </c>
      <c r="E176" s="70">
        <v>4.0</v>
      </c>
      <c r="F176" s="70">
        <v>5.0</v>
      </c>
      <c r="G176" s="70">
        <v>6.0</v>
      </c>
      <c r="H176" s="70">
        <v>7.0</v>
      </c>
      <c r="I176" s="70">
        <v>8.0</v>
      </c>
      <c r="J176" s="70">
        <v>9.0</v>
      </c>
      <c r="K176" s="70">
        <v>10.0</v>
      </c>
      <c r="L176" s="70">
        <v>11.0</v>
      </c>
      <c r="M176" s="70">
        <v>12.0</v>
      </c>
      <c r="N176" s="70">
        <v>13.0</v>
      </c>
      <c r="O176" s="70">
        <v>14.0</v>
      </c>
      <c r="P176" s="70">
        <v>15.0</v>
      </c>
      <c r="Q176" s="70">
        <v>16.0</v>
      </c>
      <c r="R176" s="70">
        <v>17.0</v>
      </c>
      <c r="S176" s="70">
        <v>18.0</v>
      </c>
      <c r="T176" s="70">
        <v>19.0</v>
      </c>
      <c r="U176" s="70">
        <v>20.0</v>
      </c>
      <c r="V176" s="70">
        <v>21.0</v>
      </c>
      <c r="W176" s="70">
        <v>22.0</v>
      </c>
      <c r="X176" s="70">
        <v>23.0</v>
      </c>
      <c r="Y176" s="70">
        <v>24.0</v>
      </c>
      <c r="Z176" s="70">
        <v>25.0</v>
      </c>
      <c r="AA176" s="70">
        <v>26.0</v>
      </c>
      <c r="AB176" s="70">
        <v>27.0</v>
      </c>
      <c r="AC176" s="70">
        <v>28.0</v>
      </c>
      <c r="AD176" s="19" t="s">
        <v>46</v>
      </c>
    </row>
    <row r="177" ht="30.0" customHeight="1">
      <c r="B177" s="32" t="s">
        <v>161</v>
      </c>
      <c r="C177" s="10" t="s">
        <v>6</v>
      </c>
      <c r="D177" s="36"/>
      <c r="E177" s="36"/>
      <c r="F177" s="36"/>
      <c r="G177" s="10" t="s">
        <v>6</v>
      </c>
      <c r="H177" s="10" t="s">
        <v>6</v>
      </c>
      <c r="I177" s="36"/>
      <c r="J177" s="36"/>
      <c r="K177" s="10" t="s">
        <v>6</v>
      </c>
      <c r="L177" s="36"/>
      <c r="M177" s="10" t="s">
        <v>6</v>
      </c>
      <c r="N177" s="36"/>
      <c r="O177" s="36"/>
      <c r="P177" s="36"/>
      <c r="Q177" s="36"/>
      <c r="R177" s="10" t="s">
        <v>6</v>
      </c>
      <c r="S177" s="36"/>
      <c r="T177" s="10" t="s">
        <v>6</v>
      </c>
      <c r="U177" s="10" t="s">
        <v>6</v>
      </c>
      <c r="V177" s="10" t="s">
        <v>6</v>
      </c>
      <c r="W177" s="36"/>
      <c r="X177" s="10" t="s">
        <v>6</v>
      </c>
      <c r="Y177" s="10" t="s">
        <v>6</v>
      </c>
      <c r="Z177" s="10" t="s">
        <v>6</v>
      </c>
      <c r="AA177" s="10" t="s">
        <v>6</v>
      </c>
      <c r="AB177" s="36"/>
      <c r="AC177" s="36"/>
      <c r="AD177" s="23"/>
    </row>
    <row r="178" ht="30.0" customHeight="1">
      <c r="B178" s="40" t="s">
        <v>162</v>
      </c>
      <c r="C178" s="61"/>
      <c r="D178" s="10" t="s">
        <v>6</v>
      </c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23"/>
    </row>
    <row r="179" ht="30.0" customHeight="1">
      <c r="B179" s="40" t="s">
        <v>163</v>
      </c>
      <c r="C179" s="36"/>
      <c r="D179" s="10" t="s">
        <v>6</v>
      </c>
      <c r="E179" s="36"/>
      <c r="F179" s="36"/>
      <c r="G179" s="10" t="s">
        <v>6</v>
      </c>
      <c r="H179" s="36"/>
      <c r="I179" s="36"/>
      <c r="J179" s="36"/>
      <c r="K179" s="10" t="s">
        <v>6</v>
      </c>
      <c r="L179" s="36"/>
      <c r="M179" s="36"/>
      <c r="N179" s="10" t="s">
        <v>6</v>
      </c>
      <c r="O179" s="36"/>
      <c r="P179" s="36"/>
      <c r="Q179" s="36"/>
      <c r="R179" s="10" t="s">
        <v>6</v>
      </c>
      <c r="S179" s="36"/>
      <c r="T179" s="36"/>
      <c r="U179" s="10" t="s">
        <v>6</v>
      </c>
      <c r="V179" s="36"/>
      <c r="W179" s="36"/>
      <c r="X179" s="36"/>
      <c r="Y179" s="10" t="s">
        <v>6</v>
      </c>
      <c r="Z179" s="36"/>
      <c r="AA179" s="36"/>
      <c r="AB179" s="36"/>
      <c r="AC179" s="36"/>
      <c r="AD179" s="23"/>
    </row>
    <row r="180" ht="30.0" customHeight="1">
      <c r="B180" s="32" t="s">
        <v>164</v>
      </c>
      <c r="C180" s="61"/>
      <c r="D180" s="10" t="s">
        <v>6</v>
      </c>
      <c r="E180" s="61"/>
      <c r="F180" s="61"/>
      <c r="G180" s="61"/>
      <c r="H180" s="61"/>
      <c r="I180" s="61"/>
      <c r="J180" s="61"/>
      <c r="K180" s="10" t="s">
        <v>6</v>
      </c>
      <c r="L180" s="61"/>
      <c r="M180" s="10" t="s">
        <v>6</v>
      </c>
      <c r="N180" s="61"/>
      <c r="O180" s="61"/>
      <c r="P180" s="61"/>
      <c r="Q180" s="61"/>
      <c r="R180" s="10" t="s">
        <v>6</v>
      </c>
      <c r="S180" s="61"/>
      <c r="T180" s="10" t="s">
        <v>6</v>
      </c>
      <c r="U180" s="61"/>
      <c r="V180" s="61"/>
      <c r="W180" s="61"/>
      <c r="X180" s="61"/>
      <c r="Y180" s="10" t="s">
        <v>6</v>
      </c>
      <c r="Z180" s="61"/>
      <c r="AA180" s="10" t="s">
        <v>6</v>
      </c>
      <c r="AB180" s="61"/>
      <c r="AC180" s="61"/>
      <c r="AD180" s="23"/>
    </row>
    <row r="181" ht="30.0" customHeight="1">
      <c r="B181" s="32" t="s">
        <v>165</v>
      </c>
      <c r="C181" s="36"/>
      <c r="D181" s="36"/>
      <c r="E181" s="36"/>
      <c r="F181" s="36"/>
      <c r="G181" s="36"/>
      <c r="H181" s="10" t="s">
        <v>6</v>
      </c>
      <c r="I181" s="36"/>
      <c r="J181" s="36"/>
      <c r="K181" s="36"/>
      <c r="L181" s="36"/>
      <c r="M181" s="36"/>
      <c r="N181" s="36"/>
      <c r="O181" s="10" t="s">
        <v>6</v>
      </c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23"/>
    </row>
    <row r="182" ht="30.0" customHeight="1">
      <c r="B182" s="32" t="s">
        <v>166</v>
      </c>
      <c r="C182" s="10" t="s">
        <v>6</v>
      </c>
      <c r="D182" s="36"/>
      <c r="E182" s="36"/>
      <c r="F182" s="36"/>
      <c r="G182" s="36"/>
      <c r="H182" s="36"/>
      <c r="I182" s="36"/>
      <c r="J182" s="36"/>
      <c r="K182" s="10" t="s">
        <v>6</v>
      </c>
      <c r="L182" s="36"/>
      <c r="M182" s="36"/>
      <c r="N182" s="36"/>
      <c r="O182" s="36"/>
      <c r="P182" s="36"/>
      <c r="Q182" s="10" t="s">
        <v>6</v>
      </c>
      <c r="R182" s="10" t="s">
        <v>6</v>
      </c>
      <c r="S182" s="36"/>
      <c r="T182" s="36"/>
      <c r="U182" s="10" t="s">
        <v>6</v>
      </c>
      <c r="V182" s="10" t="s">
        <v>6</v>
      </c>
      <c r="W182" s="36"/>
      <c r="X182" s="36"/>
      <c r="Y182" s="36"/>
      <c r="Z182" s="36"/>
      <c r="AA182" s="36"/>
      <c r="AB182" s="36"/>
      <c r="AC182" s="36"/>
      <c r="AD182" s="23"/>
    </row>
    <row r="183" ht="30.0" customHeight="1">
      <c r="B183" s="32" t="s">
        <v>167</v>
      </c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23"/>
    </row>
    <row r="184" ht="30.0" customHeight="1">
      <c r="B184" s="32" t="s">
        <v>168</v>
      </c>
      <c r="C184" s="10" t="s">
        <v>6</v>
      </c>
      <c r="D184" s="36"/>
      <c r="E184" s="10" t="s">
        <v>6</v>
      </c>
      <c r="F184" s="36"/>
      <c r="G184" s="36"/>
      <c r="H184" s="36"/>
      <c r="I184" s="36"/>
      <c r="J184" s="36"/>
      <c r="K184" s="36"/>
      <c r="L184" s="10" t="s">
        <v>6</v>
      </c>
      <c r="M184" s="36"/>
      <c r="N184" s="10" t="s">
        <v>6</v>
      </c>
      <c r="O184" s="36"/>
      <c r="P184" s="36"/>
      <c r="Q184" s="10" t="s">
        <v>6</v>
      </c>
      <c r="R184" s="36"/>
      <c r="S184" s="36"/>
      <c r="T184" s="36"/>
      <c r="U184" s="10" t="s">
        <v>6</v>
      </c>
      <c r="V184" s="36"/>
      <c r="W184" s="36"/>
      <c r="X184" s="10" t="s">
        <v>6</v>
      </c>
      <c r="Y184" s="36"/>
      <c r="Z184" s="10" t="s">
        <v>6</v>
      </c>
      <c r="AA184" s="36"/>
      <c r="AB184" s="36"/>
      <c r="AC184" s="36"/>
      <c r="AD184" s="23"/>
    </row>
    <row r="185" ht="30.0" customHeight="1">
      <c r="B185" s="32" t="s">
        <v>169</v>
      </c>
      <c r="C185" s="10" t="s">
        <v>6</v>
      </c>
      <c r="D185" s="61"/>
      <c r="E185" s="61"/>
      <c r="F185" s="61"/>
      <c r="G185" s="10" t="s">
        <v>6</v>
      </c>
      <c r="H185" s="10" t="s">
        <v>6</v>
      </c>
      <c r="I185" s="61"/>
      <c r="J185" s="10" t="s">
        <v>6</v>
      </c>
      <c r="K185" s="61"/>
      <c r="L185" s="10" t="s">
        <v>6</v>
      </c>
      <c r="M185" s="61"/>
      <c r="N185" s="61"/>
      <c r="O185" s="10" t="s">
        <v>6</v>
      </c>
      <c r="P185" s="61"/>
      <c r="Q185" s="10" t="s">
        <v>6</v>
      </c>
      <c r="R185" s="61"/>
      <c r="S185" s="61"/>
      <c r="T185" s="61"/>
      <c r="U185" s="61"/>
      <c r="V185" s="10" t="s">
        <v>6</v>
      </c>
      <c r="W185" s="61"/>
      <c r="X185" s="10" t="s">
        <v>6</v>
      </c>
      <c r="Y185" s="10" t="s">
        <v>6</v>
      </c>
      <c r="Z185" s="10" t="s">
        <v>6</v>
      </c>
      <c r="AA185" s="10" t="s">
        <v>6</v>
      </c>
      <c r="AB185" s="61"/>
      <c r="AC185" s="61"/>
      <c r="AD185" s="23"/>
    </row>
    <row r="186" ht="30.0" customHeight="1">
      <c r="B186" s="32" t="s">
        <v>170</v>
      </c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10" t="s">
        <v>6</v>
      </c>
      <c r="O186" s="36"/>
      <c r="P186" s="36"/>
      <c r="Q186" s="36"/>
      <c r="R186" s="36"/>
      <c r="S186" s="36"/>
      <c r="T186" s="36"/>
      <c r="U186" s="10" t="s">
        <v>6</v>
      </c>
      <c r="V186" s="36"/>
      <c r="W186" s="36"/>
      <c r="X186" s="36"/>
      <c r="Y186" s="10" t="s">
        <v>6</v>
      </c>
      <c r="Z186" s="36"/>
      <c r="AA186" s="36"/>
      <c r="AB186" s="36"/>
      <c r="AC186" s="36"/>
      <c r="AD186" s="23"/>
    </row>
    <row r="187" ht="30.0" customHeight="1">
      <c r="B187" s="32" t="s">
        <v>156</v>
      </c>
      <c r="C187" s="10" t="s">
        <v>6</v>
      </c>
      <c r="D187" s="21"/>
      <c r="E187" s="10" t="s">
        <v>6</v>
      </c>
      <c r="F187" s="21"/>
      <c r="G187" s="21"/>
      <c r="H187" s="21"/>
      <c r="I187" s="21"/>
      <c r="J187" s="21"/>
      <c r="K187" s="21"/>
      <c r="L187" s="21"/>
      <c r="M187" s="33"/>
      <c r="N187" s="21"/>
      <c r="O187" s="21"/>
      <c r="P187" s="21"/>
      <c r="Q187" s="21"/>
      <c r="R187" s="21"/>
      <c r="S187" s="21"/>
      <c r="T187" s="33"/>
      <c r="U187" s="21"/>
      <c r="V187" s="21"/>
      <c r="W187" s="21"/>
      <c r="X187" s="21"/>
      <c r="Y187" s="21"/>
      <c r="Z187" s="21"/>
      <c r="AA187" s="21"/>
      <c r="AB187" s="21"/>
      <c r="AC187" s="21"/>
      <c r="AD187" s="23"/>
    </row>
    <row r="188" ht="30.0" customHeight="1">
      <c r="B188" s="32" t="s">
        <v>206</v>
      </c>
      <c r="C188" s="21"/>
      <c r="D188" s="21"/>
      <c r="E188" s="10" t="s">
        <v>6</v>
      </c>
      <c r="F188" s="21"/>
      <c r="G188" s="10" t="s">
        <v>6</v>
      </c>
      <c r="H188" s="21"/>
      <c r="I188" s="21"/>
      <c r="J188" s="21"/>
      <c r="K188" s="21"/>
      <c r="L188" s="10" t="s">
        <v>6</v>
      </c>
      <c r="M188" s="33"/>
      <c r="N188" s="10" t="s">
        <v>6</v>
      </c>
      <c r="O188" s="21"/>
      <c r="P188" s="21"/>
      <c r="Q188" s="21"/>
      <c r="R188" s="21"/>
      <c r="S188" s="21"/>
      <c r="T188" s="33"/>
      <c r="U188" s="21"/>
      <c r="V188" s="21"/>
      <c r="W188" s="21"/>
      <c r="X188" s="21"/>
      <c r="Y188" s="21"/>
      <c r="Z188" s="10" t="s">
        <v>6</v>
      </c>
      <c r="AA188" s="21"/>
      <c r="AB188" s="21"/>
      <c r="AC188" s="21"/>
      <c r="AD188" s="23"/>
    </row>
    <row r="189" ht="30.0" customHeight="1">
      <c r="B189" s="32" t="s">
        <v>207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33"/>
      <c r="N189" s="21"/>
      <c r="O189" s="21"/>
      <c r="P189" s="21"/>
      <c r="Q189" s="21"/>
      <c r="R189" s="21"/>
      <c r="S189" s="21"/>
      <c r="T189" s="33"/>
      <c r="U189" s="10" t="s">
        <v>6</v>
      </c>
      <c r="V189" s="21"/>
      <c r="W189" s="21"/>
      <c r="X189" s="21"/>
      <c r="Y189" s="21"/>
      <c r="Z189" s="10" t="s">
        <v>6</v>
      </c>
      <c r="AA189" s="21"/>
      <c r="AB189" s="21"/>
      <c r="AC189" s="21"/>
      <c r="AD189" s="23"/>
    </row>
    <row r="190" ht="30.0" customHeight="1">
      <c r="B190" s="32" t="s">
        <v>208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33"/>
      <c r="N190" s="21"/>
      <c r="O190" s="21"/>
      <c r="P190" s="21"/>
      <c r="Q190" s="21"/>
      <c r="R190" s="21"/>
      <c r="S190" s="21"/>
      <c r="T190" s="33"/>
      <c r="U190" s="21"/>
      <c r="V190" s="21"/>
      <c r="W190" s="21"/>
      <c r="X190" s="10" t="s">
        <v>6</v>
      </c>
      <c r="Y190" s="21"/>
      <c r="Z190" s="21"/>
      <c r="AA190" s="21"/>
      <c r="AB190" s="21"/>
      <c r="AC190" s="21"/>
      <c r="AD190" s="23"/>
    </row>
    <row r="191" ht="30.0" customHeight="1">
      <c r="B191" s="32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33"/>
      <c r="N191" s="21"/>
      <c r="O191" s="21"/>
      <c r="P191" s="21"/>
      <c r="Q191" s="21"/>
      <c r="R191" s="21"/>
      <c r="S191" s="21"/>
      <c r="T191" s="33"/>
      <c r="U191" s="21"/>
      <c r="V191" s="21"/>
      <c r="W191" s="21"/>
      <c r="X191" s="21"/>
      <c r="Y191" s="21"/>
      <c r="Z191" s="21"/>
      <c r="AA191" s="21"/>
      <c r="AB191" s="21"/>
      <c r="AC191" s="21"/>
      <c r="AD191" s="23"/>
    </row>
    <row r="192" ht="30.0" customHeight="1">
      <c r="B192" s="32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33"/>
      <c r="N192" s="21"/>
      <c r="O192" s="21"/>
      <c r="P192" s="21"/>
      <c r="Q192" s="21"/>
      <c r="R192" s="21"/>
      <c r="S192" s="21"/>
      <c r="T192" s="33"/>
      <c r="U192" s="21"/>
      <c r="V192" s="21"/>
      <c r="W192" s="21"/>
      <c r="X192" s="21"/>
      <c r="Y192" s="21"/>
      <c r="Z192" s="21"/>
      <c r="AA192" s="21"/>
      <c r="AB192" s="21"/>
      <c r="AC192" s="21"/>
      <c r="AD192" s="23"/>
    </row>
    <row r="193" ht="30.0" customHeight="1">
      <c r="B193" s="48" t="str">
        <f>Febrero!MonthName&amp;" Total"</f>
        <v>Enero Total</v>
      </c>
      <c r="C193" s="25">
        <f>SUBTOTAL(103,Febrero!$C$7)</f>
        <v>0</v>
      </c>
      <c r="D193" s="25">
        <f>SUBTOTAL(103,Febrero!$D$7)</f>
        <v>0</v>
      </c>
      <c r="E193" s="25">
        <f>SUBTOTAL(103,Febrero!$E$7)</f>
        <v>0</v>
      </c>
      <c r="F193" s="25"/>
      <c r="G193" s="25"/>
      <c r="H193" s="25">
        <f>SUBTOTAL(103,Febrero!$H$7)</f>
        <v>0</v>
      </c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>
        <f>SUBTOTAL(103,Febrero!$Y$7)</f>
        <v>0</v>
      </c>
      <c r="Z193" s="25">
        <f>SUBTOTAL(103,Febrero!$Z$7)</f>
        <v>0</v>
      </c>
      <c r="AA193" s="25">
        <f>SUBTOTAL(103,Febrero!$AA$7)</f>
        <v>0</v>
      </c>
      <c r="AB193" s="25">
        <f>SUBTOTAL(103,Febrero!$AB$7)</f>
        <v>0</v>
      </c>
      <c r="AC193" s="25">
        <f>SUBTOTAL(103,Febrero!$AC$7)</f>
        <v>0</v>
      </c>
      <c r="AD193" s="25">
        <f>SUM(C193:AC193)</f>
        <v>0</v>
      </c>
    </row>
    <row r="194" ht="30.0" customHeight="1">
      <c r="AD194" s="5"/>
    </row>
    <row r="195" ht="30.0" customHeight="1">
      <c r="A195" s="50"/>
      <c r="B195" s="30" t="s">
        <v>12</v>
      </c>
      <c r="C195" s="27" t="s">
        <v>171</v>
      </c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39">
        <v>2026.0</v>
      </c>
    </row>
    <row r="196" ht="30.0" customHeight="1">
      <c r="A196" s="50"/>
      <c r="B196" s="56"/>
      <c r="C196" s="16" t="str">
        <f>TEXT(WEEKDAY(DATE(Febrero!CalendarioAño,1,5),1),"ddd")</f>
        <v>lun</v>
      </c>
      <c r="D196" s="16" t="str">
        <f>TEXT(WEEKDAY(DATE(Febrero!CalendarioAño,1,6),1),"ddd")</f>
        <v>mar</v>
      </c>
      <c r="E196" s="16" t="str">
        <f>TEXT(WEEKDAY(DATE(Febrero!CalendarioAño,1,7),1),"ddd")</f>
        <v>mié</v>
      </c>
      <c r="F196" s="16" t="str">
        <f>TEXT(WEEKDAY(DATE(Febrero!CalendarioAño,1,8),1),"ddd")</f>
        <v>jue</v>
      </c>
      <c r="G196" s="16" t="str">
        <f>TEXT(WEEKDAY(DATE(Febrero!CalendarioAño,1,9),1),"ddd")</f>
        <v>vie</v>
      </c>
      <c r="H196" s="16" t="str">
        <f>TEXT(WEEKDAY(DATE(Febrero!CalendarioAño,1,10),1),"ddd")</f>
        <v>sáb</v>
      </c>
      <c r="I196" s="16" t="str">
        <f>TEXT(WEEKDAY(DATE(Febrero!CalendarioAño,1,11),1),"ddd")</f>
        <v>dom</v>
      </c>
      <c r="J196" s="69" t="str">
        <f>TEXT(WEEKDAY(DATE(Febrero!CalendarioAño,1,5),1),"ddd")</f>
        <v>lun</v>
      </c>
      <c r="K196" s="69" t="str">
        <f>TEXT(WEEKDAY(DATE(Febrero!CalendarioAño,1,6),1),"ddd")</f>
        <v>mar</v>
      </c>
      <c r="L196" s="69" t="str">
        <f>TEXT(WEEKDAY(DATE(Febrero!CalendarioAño,1,7),1),"ddd")</f>
        <v>mié</v>
      </c>
      <c r="M196" s="69" t="str">
        <f>TEXT(WEEKDAY(DATE(Febrero!CalendarioAño,1,8),1),"ddd")</f>
        <v>jue</v>
      </c>
      <c r="N196" s="69" t="str">
        <f>TEXT(WEEKDAY(DATE(Febrero!CalendarioAño,1,9),1),"ddd")</f>
        <v>vie</v>
      </c>
      <c r="O196" s="69" t="str">
        <f>TEXT(WEEKDAY(DATE(Febrero!CalendarioAño,1,10),1),"ddd")</f>
        <v>sáb</v>
      </c>
      <c r="P196" s="69" t="str">
        <f>TEXT(WEEKDAY(DATE(Febrero!CalendarioAño,1,11),1),"ddd")</f>
        <v>dom</v>
      </c>
      <c r="Q196" s="69" t="str">
        <f>TEXT(WEEKDAY(DATE(Febrero!CalendarioAño,1,5),1),"ddd")</f>
        <v>lun</v>
      </c>
      <c r="R196" s="69" t="str">
        <f>TEXT(WEEKDAY(DATE(Febrero!CalendarioAño,1,6),1),"ddd")</f>
        <v>mar</v>
      </c>
      <c r="S196" s="69" t="str">
        <f>TEXT(WEEKDAY(DATE(Febrero!CalendarioAño,1,7),1),"ddd")</f>
        <v>mié</v>
      </c>
      <c r="T196" s="69" t="str">
        <f>TEXT(WEEKDAY(DATE(Febrero!CalendarioAño,1,8),1),"ddd")</f>
        <v>jue</v>
      </c>
      <c r="U196" s="69" t="str">
        <f>TEXT(WEEKDAY(DATE(Febrero!CalendarioAño,1,9),1),"ddd")</f>
        <v>vie</v>
      </c>
      <c r="V196" s="69" t="str">
        <f>TEXT(WEEKDAY(DATE(Febrero!CalendarioAño,1,10),1),"ddd")</f>
        <v>sáb</v>
      </c>
      <c r="W196" s="69" t="str">
        <f>TEXT(WEEKDAY(DATE(Febrero!CalendarioAño,1,11),1),"ddd")</f>
        <v>dom</v>
      </c>
      <c r="X196" s="69" t="str">
        <f>TEXT(WEEKDAY(DATE(Febrero!CalendarioAño,1,5),1),"ddd")</f>
        <v>lun</v>
      </c>
      <c r="Y196" s="69" t="str">
        <f>TEXT(WEEKDAY(DATE(Febrero!CalendarioAño,1,6),1),"ddd")</f>
        <v>mar</v>
      </c>
      <c r="Z196" s="69" t="str">
        <f>TEXT(WEEKDAY(DATE(Febrero!CalendarioAño,1,7),1),"ddd")</f>
        <v>mié</v>
      </c>
      <c r="AA196" s="69" t="str">
        <f>TEXT(WEEKDAY(DATE(Febrero!CalendarioAño,1,8),1),"ddd")</f>
        <v>jue</v>
      </c>
      <c r="AB196" s="69" t="str">
        <f>TEXT(WEEKDAY(DATE(Febrero!CalendarioAño,1,9),1),"ddd")</f>
        <v>vie</v>
      </c>
      <c r="AC196" s="69" t="str">
        <f>TEXT(WEEKDAY(DATE(Febrero!CalendarioAño,1,10),1),"ddd")</f>
        <v>sáb</v>
      </c>
      <c r="AD196" s="57"/>
    </row>
    <row r="197" ht="30.0" customHeight="1">
      <c r="A197" s="18"/>
      <c r="B197" s="31" t="s">
        <v>14</v>
      </c>
      <c r="C197" s="70">
        <v>2.0</v>
      </c>
      <c r="D197" s="70">
        <v>3.0</v>
      </c>
      <c r="E197" s="70">
        <v>4.0</v>
      </c>
      <c r="F197" s="70">
        <v>5.0</v>
      </c>
      <c r="G197" s="70">
        <v>6.0</v>
      </c>
      <c r="H197" s="70">
        <v>7.0</v>
      </c>
      <c r="I197" s="70">
        <v>8.0</v>
      </c>
      <c r="J197" s="70">
        <v>9.0</v>
      </c>
      <c r="K197" s="70">
        <v>10.0</v>
      </c>
      <c r="L197" s="70">
        <v>11.0</v>
      </c>
      <c r="M197" s="70">
        <v>12.0</v>
      </c>
      <c r="N197" s="70">
        <v>13.0</v>
      </c>
      <c r="O197" s="70">
        <v>14.0</v>
      </c>
      <c r="P197" s="70">
        <v>15.0</v>
      </c>
      <c r="Q197" s="70">
        <v>16.0</v>
      </c>
      <c r="R197" s="70">
        <v>17.0</v>
      </c>
      <c r="S197" s="70">
        <v>18.0</v>
      </c>
      <c r="T197" s="70">
        <v>19.0</v>
      </c>
      <c r="U197" s="70">
        <v>20.0</v>
      </c>
      <c r="V197" s="70">
        <v>21.0</v>
      </c>
      <c r="W197" s="70">
        <v>22.0</v>
      </c>
      <c r="X197" s="70">
        <v>23.0</v>
      </c>
      <c r="Y197" s="70">
        <v>24.0</v>
      </c>
      <c r="Z197" s="70">
        <v>25.0</v>
      </c>
      <c r="AA197" s="70">
        <v>26.0</v>
      </c>
      <c r="AB197" s="70">
        <v>27.0</v>
      </c>
      <c r="AC197" s="70">
        <v>28.0</v>
      </c>
      <c r="AD197" s="19" t="s">
        <v>46</v>
      </c>
    </row>
    <row r="198" ht="30.0" customHeight="1">
      <c r="A198" s="50"/>
      <c r="B198" s="58" t="s">
        <v>172</v>
      </c>
      <c r="C198" s="10" t="s">
        <v>6</v>
      </c>
      <c r="D198" s="36"/>
      <c r="E198" s="10" t="s">
        <v>6</v>
      </c>
      <c r="F198" s="36"/>
      <c r="G198" s="36"/>
      <c r="H198" s="36"/>
      <c r="I198" s="36"/>
      <c r="J198" s="10" t="s">
        <v>6</v>
      </c>
      <c r="K198" s="36"/>
      <c r="L198" s="36"/>
      <c r="M198" s="36"/>
      <c r="N198" s="36"/>
      <c r="O198" s="36"/>
      <c r="P198" s="36"/>
      <c r="Q198" s="10" t="s">
        <v>6</v>
      </c>
      <c r="R198" s="36"/>
      <c r="S198" s="10" t="s">
        <v>6</v>
      </c>
      <c r="T198" s="36"/>
      <c r="U198" s="36"/>
      <c r="V198" s="36"/>
      <c r="W198" s="36"/>
      <c r="X198" s="10" t="s">
        <v>6</v>
      </c>
      <c r="Y198" s="36"/>
      <c r="Z198" s="10" t="s">
        <v>6</v>
      </c>
      <c r="AA198" s="36"/>
      <c r="AB198" s="36"/>
      <c r="AC198" s="36"/>
      <c r="AD198" s="59"/>
    </row>
    <row r="199" ht="30.0" customHeight="1">
      <c r="A199" s="50"/>
      <c r="B199" s="60" t="s">
        <v>173</v>
      </c>
      <c r="C199" s="10" t="s">
        <v>6</v>
      </c>
      <c r="D199" s="61"/>
      <c r="E199" s="61"/>
      <c r="F199" s="61"/>
      <c r="G199" s="10" t="s">
        <v>6</v>
      </c>
      <c r="H199" s="61"/>
      <c r="I199" s="61"/>
      <c r="J199" s="10" t="s">
        <v>6</v>
      </c>
      <c r="K199" s="61"/>
      <c r="L199" s="61"/>
      <c r="M199" s="61"/>
      <c r="N199" s="10" t="s">
        <v>6</v>
      </c>
      <c r="O199" s="61"/>
      <c r="P199" s="61"/>
      <c r="Q199" s="10" t="s">
        <v>6</v>
      </c>
      <c r="R199" s="61"/>
      <c r="S199" s="61"/>
      <c r="T199" s="61"/>
      <c r="U199" s="10" t="s">
        <v>6</v>
      </c>
      <c r="V199" s="61"/>
      <c r="W199" s="61"/>
      <c r="X199" s="10" t="s">
        <v>6</v>
      </c>
      <c r="Y199" s="61"/>
      <c r="Z199" s="61"/>
      <c r="AA199" s="61"/>
      <c r="AB199" s="61"/>
      <c r="AC199" s="61"/>
      <c r="AD199" s="59"/>
    </row>
    <row r="200" ht="30.0" customHeight="1">
      <c r="A200" s="50"/>
      <c r="B200" s="58" t="s">
        <v>174</v>
      </c>
      <c r="C200" s="36"/>
      <c r="D200" s="36"/>
      <c r="E200" s="10" t="s">
        <v>6</v>
      </c>
      <c r="F200" s="36"/>
      <c r="G200" s="10" t="s">
        <v>6</v>
      </c>
      <c r="H200" s="36"/>
      <c r="I200" s="36"/>
      <c r="J200" s="36"/>
      <c r="K200" s="36"/>
      <c r="L200" s="10" t="s">
        <v>6</v>
      </c>
      <c r="M200" s="36"/>
      <c r="N200" s="10" t="s">
        <v>6</v>
      </c>
      <c r="O200" s="36"/>
      <c r="P200" s="36"/>
      <c r="Q200" s="36"/>
      <c r="R200" s="36"/>
      <c r="S200" s="10" t="s">
        <v>6</v>
      </c>
      <c r="T200" s="36"/>
      <c r="U200" s="10" t="s">
        <v>6</v>
      </c>
      <c r="V200" s="36"/>
      <c r="W200" s="36"/>
      <c r="X200" s="36"/>
      <c r="Y200" s="36"/>
      <c r="Z200" s="10" t="s">
        <v>6</v>
      </c>
      <c r="AA200" s="36"/>
      <c r="AB200" s="36"/>
      <c r="AC200" s="36"/>
      <c r="AD200" s="59"/>
    </row>
    <row r="201" ht="30.0" customHeight="1">
      <c r="A201" s="50"/>
      <c r="B201" s="60" t="s">
        <v>175</v>
      </c>
      <c r="C201" s="10" t="s">
        <v>6</v>
      </c>
      <c r="D201" s="61"/>
      <c r="E201" s="10" t="s">
        <v>6</v>
      </c>
      <c r="F201" s="61"/>
      <c r="G201" s="61"/>
      <c r="H201" s="61"/>
      <c r="I201" s="61"/>
      <c r="J201" s="10" t="s">
        <v>6</v>
      </c>
      <c r="K201" s="61"/>
      <c r="L201" s="10" t="s">
        <v>6</v>
      </c>
      <c r="M201" s="61"/>
      <c r="N201" s="61"/>
      <c r="O201" s="61"/>
      <c r="P201" s="61"/>
      <c r="Q201" s="10" t="s">
        <v>6</v>
      </c>
      <c r="R201" s="61"/>
      <c r="S201" s="61"/>
      <c r="T201" s="61"/>
      <c r="U201" s="10" t="s">
        <v>6</v>
      </c>
      <c r="V201" s="61"/>
      <c r="W201" s="61"/>
      <c r="X201" s="10" t="s">
        <v>6</v>
      </c>
      <c r="Y201" s="61"/>
      <c r="Z201" s="10" t="s">
        <v>6</v>
      </c>
      <c r="AA201" s="61"/>
      <c r="AB201" s="61"/>
      <c r="AC201" s="61"/>
      <c r="AD201" s="59"/>
    </row>
    <row r="202" ht="30.0" customHeight="1">
      <c r="A202" s="50"/>
      <c r="B202" s="60" t="s">
        <v>176</v>
      </c>
      <c r="C202" s="36"/>
      <c r="D202" s="36"/>
      <c r="E202" s="36"/>
      <c r="F202" s="36"/>
      <c r="G202" s="10" t="s">
        <v>6</v>
      </c>
      <c r="H202" s="36"/>
      <c r="I202" s="36"/>
      <c r="J202" s="10" t="s">
        <v>6</v>
      </c>
      <c r="K202" s="36"/>
      <c r="L202" s="10" t="s">
        <v>6</v>
      </c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10" t="s">
        <v>6</v>
      </c>
      <c r="Y202" s="36"/>
      <c r="Z202" s="36"/>
      <c r="AA202" s="36"/>
      <c r="AB202" s="36"/>
      <c r="AC202" s="36"/>
      <c r="AD202" s="59"/>
    </row>
    <row r="203" ht="30.0" customHeight="1">
      <c r="A203" s="50"/>
      <c r="B203" s="58" t="s">
        <v>177</v>
      </c>
      <c r="C203" s="10" t="s">
        <v>6</v>
      </c>
      <c r="D203" s="61"/>
      <c r="E203" s="10" t="s">
        <v>6</v>
      </c>
      <c r="F203" s="61"/>
      <c r="G203" s="61"/>
      <c r="H203" s="10" t="s">
        <v>6</v>
      </c>
      <c r="I203" s="61"/>
      <c r="J203" s="10" t="s">
        <v>6</v>
      </c>
      <c r="K203" s="61"/>
      <c r="L203" s="10" t="s">
        <v>6</v>
      </c>
      <c r="M203" s="61"/>
      <c r="N203" s="10" t="s">
        <v>6</v>
      </c>
      <c r="O203" s="61"/>
      <c r="P203" s="61"/>
      <c r="Q203" s="10" t="s">
        <v>6</v>
      </c>
      <c r="R203" s="61"/>
      <c r="S203" s="10" t="s">
        <v>6</v>
      </c>
      <c r="T203" s="61"/>
      <c r="U203" s="10" t="s">
        <v>6</v>
      </c>
      <c r="V203" s="61"/>
      <c r="W203" s="61"/>
      <c r="X203" s="61"/>
      <c r="Y203" s="61"/>
      <c r="Z203" s="10" t="s">
        <v>6</v>
      </c>
      <c r="AA203" s="61"/>
      <c r="AB203" s="61"/>
      <c r="AC203" s="61"/>
      <c r="AD203" s="59"/>
    </row>
    <row r="204" ht="30.0" customHeight="1">
      <c r="A204" s="50"/>
      <c r="B204" s="58" t="s">
        <v>178</v>
      </c>
      <c r="C204" s="10" t="s">
        <v>6</v>
      </c>
      <c r="D204" s="36"/>
      <c r="E204" s="10" t="s">
        <v>6</v>
      </c>
      <c r="F204" s="36"/>
      <c r="G204" s="36"/>
      <c r="H204" s="10" t="s">
        <v>6</v>
      </c>
      <c r="I204" s="36"/>
      <c r="J204" s="10" t="s">
        <v>6</v>
      </c>
      <c r="K204" s="36"/>
      <c r="L204" s="10" t="s">
        <v>6</v>
      </c>
      <c r="M204" s="36"/>
      <c r="N204" s="10" t="s">
        <v>6</v>
      </c>
      <c r="O204" s="36"/>
      <c r="P204" s="36"/>
      <c r="Q204" s="10" t="s">
        <v>6</v>
      </c>
      <c r="R204" s="36"/>
      <c r="S204" s="10" t="s">
        <v>6</v>
      </c>
      <c r="T204" s="36"/>
      <c r="U204" s="10" t="s">
        <v>6</v>
      </c>
      <c r="V204" s="36"/>
      <c r="W204" s="36"/>
      <c r="X204" s="36"/>
      <c r="Y204" s="36"/>
      <c r="Z204" s="10" t="s">
        <v>6</v>
      </c>
      <c r="AA204" s="36"/>
      <c r="AB204" s="36"/>
      <c r="AC204" s="36"/>
      <c r="AD204" s="59"/>
    </row>
    <row r="205" ht="30.0" customHeight="1">
      <c r="A205" s="50"/>
      <c r="B205" s="58" t="s">
        <v>209</v>
      </c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10" t="s">
        <v>6</v>
      </c>
      <c r="O205" s="36"/>
      <c r="P205" s="36"/>
      <c r="Q205" s="10" t="s">
        <v>6</v>
      </c>
      <c r="R205" s="36"/>
      <c r="S205" s="36"/>
      <c r="T205" s="36"/>
      <c r="U205" s="10" t="s">
        <v>6</v>
      </c>
      <c r="V205" s="36"/>
      <c r="W205" s="36"/>
      <c r="X205" s="10" t="s">
        <v>6</v>
      </c>
      <c r="Y205" s="36"/>
      <c r="Z205" s="10" t="s">
        <v>6</v>
      </c>
      <c r="AA205" s="36"/>
      <c r="AB205" s="36"/>
      <c r="AC205" s="36"/>
      <c r="AD205" s="59"/>
    </row>
    <row r="206" ht="30.0" customHeight="1">
      <c r="A206" s="50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3"/>
      <c r="R206" s="36"/>
      <c r="S206" s="36"/>
      <c r="T206" s="36"/>
      <c r="U206" s="36"/>
      <c r="V206" s="36"/>
      <c r="W206" s="36"/>
      <c r="X206" s="33"/>
      <c r="Y206" s="36"/>
      <c r="Z206" s="33"/>
      <c r="AA206" s="36"/>
      <c r="AB206" s="36"/>
      <c r="AC206" s="36"/>
      <c r="AD206" s="59"/>
    </row>
    <row r="207" ht="30.0" customHeight="1">
      <c r="A207" s="50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3"/>
      <c r="R207" s="36"/>
      <c r="S207" s="36"/>
      <c r="T207" s="36"/>
      <c r="U207" s="36"/>
      <c r="V207" s="36"/>
      <c r="W207" s="36"/>
      <c r="X207" s="33"/>
      <c r="Y207" s="36"/>
      <c r="Z207" s="33"/>
      <c r="AA207" s="36"/>
      <c r="AB207" s="36"/>
      <c r="AC207" s="36"/>
      <c r="AD207" s="59"/>
    </row>
    <row r="208" ht="30.0" customHeight="1">
      <c r="A208" s="50"/>
      <c r="B208" s="62" t="str">
        <f>Febrero!MonthName&amp;" Total"</f>
        <v>Enero Total</v>
      </c>
      <c r="C208" s="63">
        <f>SUBTOTAL(103,Febrero!$C$7)</f>
        <v>0</v>
      </c>
      <c r="D208" s="63">
        <f>SUBTOTAL(103,Febrero!$D$7)</f>
        <v>0</v>
      </c>
      <c r="E208" s="63">
        <f>SUBTOTAL(103,Febrero!$E$7)</f>
        <v>0</v>
      </c>
      <c r="F208" s="63"/>
      <c r="G208" s="63"/>
      <c r="H208" s="63">
        <f>SUBTOTAL(103,Febrero!$H$7)</f>
        <v>0</v>
      </c>
      <c r="I208" s="63">
        <f>SUBTOTAL(103,Febrero!$I$7)</f>
        <v>0</v>
      </c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>
        <f>SUBTOTAL(103,Febrero!$AC$7)</f>
        <v>0</v>
      </c>
      <c r="AD208" s="65"/>
    </row>
    <row r="209" ht="30.0" customHeight="1">
      <c r="AD209" s="5"/>
    </row>
    <row r="210" ht="30.0" customHeight="1">
      <c r="A210" s="50"/>
      <c r="B210" s="30" t="s">
        <v>12</v>
      </c>
      <c r="C210" s="27" t="s">
        <v>179</v>
      </c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39">
        <v>2026.0</v>
      </c>
    </row>
    <row r="211" ht="30.0" customHeight="1">
      <c r="A211" s="50"/>
      <c r="B211" s="56"/>
      <c r="C211" s="16" t="str">
        <f>TEXT(WEEKDAY(DATE(Febrero!CalendarioAño,1,5),1),"ddd")</f>
        <v>lun</v>
      </c>
      <c r="D211" s="16" t="str">
        <f>TEXT(WEEKDAY(DATE(Febrero!CalendarioAño,1,6),1),"ddd")</f>
        <v>mar</v>
      </c>
      <c r="E211" s="16" t="str">
        <f>TEXT(WEEKDAY(DATE(Febrero!CalendarioAño,1,7),1),"ddd")</f>
        <v>mié</v>
      </c>
      <c r="F211" s="16" t="str">
        <f>TEXT(WEEKDAY(DATE(Febrero!CalendarioAño,1,8),1),"ddd")</f>
        <v>jue</v>
      </c>
      <c r="G211" s="16" t="str">
        <f>TEXT(WEEKDAY(DATE(Febrero!CalendarioAño,1,9),1),"ddd")</f>
        <v>vie</v>
      </c>
      <c r="H211" s="16" t="str">
        <f>TEXT(WEEKDAY(DATE(Febrero!CalendarioAño,1,10),1),"ddd")</f>
        <v>sáb</v>
      </c>
      <c r="I211" s="16" t="str">
        <f>TEXT(WEEKDAY(DATE(Febrero!CalendarioAño,1,11),1),"ddd")</f>
        <v>dom</v>
      </c>
      <c r="J211" s="69" t="str">
        <f>TEXT(WEEKDAY(DATE(Febrero!CalendarioAño,1,5),1),"ddd")</f>
        <v>lun</v>
      </c>
      <c r="K211" s="69" t="str">
        <f>TEXT(WEEKDAY(DATE(Febrero!CalendarioAño,1,6),1),"ddd")</f>
        <v>mar</v>
      </c>
      <c r="L211" s="69" t="str">
        <f>TEXT(WEEKDAY(DATE(Febrero!CalendarioAño,1,7),1),"ddd")</f>
        <v>mié</v>
      </c>
      <c r="M211" s="69" t="str">
        <f>TEXT(WEEKDAY(DATE(Febrero!CalendarioAño,1,8),1),"ddd")</f>
        <v>jue</v>
      </c>
      <c r="N211" s="69" t="str">
        <f>TEXT(WEEKDAY(DATE(Febrero!CalendarioAño,1,9),1),"ddd")</f>
        <v>vie</v>
      </c>
      <c r="O211" s="69" t="str">
        <f>TEXT(WEEKDAY(DATE(Febrero!CalendarioAño,1,10),1),"ddd")</f>
        <v>sáb</v>
      </c>
      <c r="P211" s="69" t="str">
        <f>TEXT(WEEKDAY(DATE(Febrero!CalendarioAño,1,11),1),"ddd")</f>
        <v>dom</v>
      </c>
      <c r="Q211" s="69" t="str">
        <f>TEXT(WEEKDAY(DATE(Febrero!CalendarioAño,1,5),1),"ddd")</f>
        <v>lun</v>
      </c>
      <c r="R211" s="69" t="str">
        <f>TEXT(WEEKDAY(DATE(Febrero!CalendarioAño,1,6),1),"ddd")</f>
        <v>mar</v>
      </c>
      <c r="S211" s="69" t="str">
        <f>TEXT(WEEKDAY(DATE(Febrero!CalendarioAño,1,7),1),"ddd")</f>
        <v>mié</v>
      </c>
      <c r="T211" s="69" t="str">
        <f>TEXT(WEEKDAY(DATE(Febrero!CalendarioAño,1,8),1),"ddd")</f>
        <v>jue</v>
      </c>
      <c r="U211" s="69" t="str">
        <f>TEXT(WEEKDAY(DATE(Febrero!CalendarioAño,1,9),1),"ddd")</f>
        <v>vie</v>
      </c>
      <c r="V211" s="69" t="str">
        <f>TEXT(WEEKDAY(DATE(Febrero!CalendarioAño,1,10),1),"ddd")</f>
        <v>sáb</v>
      </c>
      <c r="W211" s="69" t="str">
        <f>TEXT(WEEKDAY(DATE(Febrero!CalendarioAño,1,11),1),"ddd")</f>
        <v>dom</v>
      </c>
      <c r="X211" s="69" t="str">
        <f>TEXT(WEEKDAY(DATE(Febrero!CalendarioAño,1,5),1),"ddd")</f>
        <v>lun</v>
      </c>
      <c r="Y211" s="69" t="str">
        <f>TEXT(WEEKDAY(DATE(Febrero!CalendarioAño,1,6),1),"ddd")</f>
        <v>mar</v>
      </c>
      <c r="Z211" s="69" t="str">
        <f>TEXT(WEEKDAY(DATE(Febrero!CalendarioAño,1,7),1),"ddd")</f>
        <v>mié</v>
      </c>
      <c r="AA211" s="69" t="str">
        <f>TEXT(WEEKDAY(DATE(Febrero!CalendarioAño,1,8),1),"ddd")</f>
        <v>jue</v>
      </c>
      <c r="AB211" s="69" t="str">
        <f>TEXT(WEEKDAY(DATE(Febrero!CalendarioAño,1,9),1),"ddd")</f>
        <v>vie</v>
      </c>
      <c r="AC211" s="69" t="str">
        <f>TEXT(WEEKDAY(DATE(Febrero!CalendarioAño,1,10),1),"ddd")</f>
        <v>sáb</v>
      </c>
      <c r="AD211" s="57"/>
    </row>
    <row r="212" ht="30.0" customHeight="1">
      <c r="A212" s="18"/>
      <c r="B212" s="31" t="s">
        <v>14</v>
      </c>
      <c r="C212" s="70">
        <v>2.0</v>
      </c>
      <c r="D212" s="70">
        <v>3.0</v>
      </c>
      <c r="E212" s="70">
        <v>4.0</v>
      </c>
      <c r="F212" s="70">
        <v>5.0</v>
      </c>
      <c r="G212" s="70">
        <v>6.0</v>
      </c>
      <c r="H212" s="70">
        <v>7.0</v>
      </c>
      <c r="I212" s="70">
        <v>8.0</v>
      </c>
      <c r="J212" s="70">
        <v>9.0</v>
      </c>
      <c r="K212" s="70">
        <v>10.0</v>
      </c>
      <c r="L212" s="70">
        <v>11.0</v>
      </c>
      <c r="M212" s="70">
        <v>12.0</v>
      </c>
      <c r="N212" s="70">
        <v>13.0</v>
      </c>
      <c r="O212" s="70">
        <v>14.0</v>
      </c>
      <c r="P212" s="70">
        <v>15.0</v>
      </c>
      <c r="Q212" s="70">
        <v>16.0</v>
      </c>
      <c r="R212" s="70">
        <v>17.0</v>
      </c>
      <c r="S212" s="70">
        <v>18.0</v>
      </c>
      <c r="T212" s="70">
        <v>19.0</v>
      </c>
      <c r="U212" s="70">
        <v>20.0</v>
      </c>
      <c r="V212" s="70">
        <v>21.0</v>
      </c>
      <c r="W212" s="70">
        <v>22.0</v>
      </c>
      <c r="X212" s="70">
        <v>23.0</v>
      </c>
      <c r="Y212" s="70">
        <v>24.0</v>
      </c>
      <c r="Z212" s="70">
        <v>25.0</v>
      </c>
      <c r="AA212" s="70">
        <v>26.0</v>
      </c>
      <c r="AB212" s="70">
        <v>27.0</v>
      </c>
      <c r="AC212" s="70">
        <v>28.0</v>
      </c>
      <c r="AD212" s="19" t="s">
        <v>46</v>
      </c>
    </row>
    <row r="213" ht="30.0" customHeight="1">
      <c r="A213" s="50"/>
      <c r="B213" s="58" t="s">
        <v>180</v>
      </c>
      <c r="C213" s="36"/>
      <c r="D213" s="10" t="s">
        <v>6</v>
      </c>
      <c r="E213" s="36"/>
      <c r="F213" s="10" t="s">
        <v>6</v>
      </c>
      <c r="G213" s="36"/>
      <c r="H213" s="36"/>
      <c r="I213" s="36"/>
      <c r="J213" s="36"/>
      <c r="K213" s="10" t="s">
        <v>6</v>
      </c>
      <c r="L213" s="36"/>
      <c r="M213" s="10" t="s">
        <v>6</v>
      </c>
      <c r="N213" s="36"/>
      <c r="O213" s="36"/>
      <c r="P213" s="36"/>
      <c r="Q213" s="36"/>
      <c r="R213" s="10" t="s">
        <v>6</v>
      </c>
      <c r="S213" s="36"/>
      <c r="T213" s="10" t="s">
        <v>6</v>
      </c>
      <c r="U213" s="36"/>
      <c r="V213" s="36"/>
      <c r="W213" s="36"/>
      <c r="X213" s="36"/>
      <c r="Y213" s="36"/>
      <c r="Z213" s="36"/>
      <c r="AA213" s="36"/>
      <c r="AB213" s="36"/>
      <c r="AC213" s="36"/>
      <c r="AD213" s="59"/>
    </row>
    <row r="214" ht="30.0" customHeight="1">
      <c r="A214" s="50"/>
      <c r="B214" s="60" t="s">
        <v>181</v>
      </c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59"/>
    </row>
    <row r="215" ht="30.0" customHeight="1">
      <c r="A215" s="50"/>
      <c r="B215" s="58" t="s">
        <v>182</v>
      </c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59"/>
    </row>
    <row r="216" ht="30.0" customHeight="1">
      <c r="A216" s="50"/>
      <c r="B216" s="36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59"/>
    </row>
    <row r="217" ht="30.0" customHeight="1">
      <c r="A217" s="50"/>
      <c r="B217" s="61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59"/>
    </row>
    <row r="218" ht="30.0" customHeight="1">
      <c r="A218" s="50"/>
      <c r="B218" s="62" t="str">
        <f>Febrero!MonthName&amp;" Total"</f>
        <v>Enero Total</v>
      </c>
      <c r="C218" s="63">
        <f>SUBTOTAL(103,Febrero!$C$7)</f>
        <v>0</v>
      </c>
      <c r="D218" s="63">
        <f>SUBTOTAL(103,Febrero!$D$7)</f>
        <v>0</v>
      </c>
      <c r="E218" s="63">
        <f>SUBTOTAL(103,Febrero!$E$7)</f>
        <v>0</v>
      </c>
      <c r="F218" s="63"/>
      <c r="G218" s="63"/>
      <c r="H218" s="63">
        <f>SUBTOTAL(103,Febrero!$H$7)</f>
        <v>0</v>
      </c>
      <c r="I218" s="63">
        <f>SUBTOTAL(103,Febrero!$I$7)</f>
        <v>0</v>
      </c>
      <c r="J218" s="63">
        <f>SUBTOTAL(103,Febrero!$J$7)</f>
        <v>0</v>
      </c>
      <c r="K218" s="63">
        <f>SUBTOTAL(103,Febrero!$K$7)</f>
        <v>0</v>
      </c>
      <c r="L218" s="63">
        <f>SUBTOTAL(103,Febrero!$L$7)</f>
        <v>0</v>
      </c>
      <c r="M218" s="63"/>
      <c r="N218" s="63">
        <f>SUBTOTAL(103,Febrero!$N$7)</f>
        <v>0</v>
      </c>
      <c r="O218" s="63">
        <f>SUBTOTAL(103,Febrero!$O$7)</f>
        <v>0</v>
      </c>
      <c r="P218" s="63">
        <f>SUBTOTAL(103,Febrero!$P$7)</f>
        <v>0</v>
      </c>
      <c r="Q218" s="63">
        <f>SUBTOTAL(103,Febrero!$Q$7)</f>
        <v>0</v>
      </c>
      <c r="R218" s="63">
        <f>SUBTOTAL(103,Febrero!$R$7)</f>
        <v>0</v>
      </c>
      <c r="S218" s="63">
        <f>SUBTOTAL(103,Febrero!$S$7)</f>
        <v>0</v>
      </c>
      <c r="T218" s="63">
        <f>SUBTOTAL(103,Febrero!$T$7)</f>
        <v>0</v>
      </c>
      <c r="U218" s="63">
        <f>SUBTOTAL(103,Febrero!$U$7)</f>
        <v>0</v>
      </c>
      <c r="V218" s="63"/>
      <c r="W218" s="63">
        <f>SUBTOTAL(103,Febrero!$W$7)</f>
        <v>0</v>
      </c>
      <c r="X218" s="63">
        <f>SUBTOTAL(103,Febrero!$X$7)</f>
        <v>0</v>
      </c>
      <c r="Y218" s="63">
        <f>SUBTOTAL(103,Febrero!$Y$7)</f>
        <v>0</v>
      </c>
      <c r="Z218" s="63">
        <f>SUBTOTAL(103,Febrero!$Z$7)</f>
        <v>0</v>
      </c>
      <c r="AA218" s="63">
        <f>SUBTOTAL(103,Febrero!$AA$7)</f>
        <v>0</v>
      </c>
      <c r="AB218" s="63">
        <f>SUBTOTAL(103,Febrero!$AB$7)</f>
        <v>0</v>
      </c>
      <c r="AC218" s="63">
        <f>SUBTOTAL(103,Febrero!$AC$7)</f>
        <v>0</v>
      </c>
      <c r="AD218" s="65"/>
    </row>
    <row r="219" ht="30.0" customHeight="1">
      <c r="AD219" s="5"/>
    </row>
    <row r="220" ht="30.0" customHeight="1">
      <c r="A220" s="50"/>
      <c r="B220" s="30" t="s">
        <v>12</v>
      </c>
      <c r="C220" s="27" t="s">
        <v>183</v>
      </c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39">
        <v>2026.0</v>
      </c>
    </row>
    <row r="221" ht="30.0" customHeight="1">
      <c r="A221" s="50"/>
      <c r="B221" s="56"/>
      <c r="C221" s="16" t="str">
        <f>TEXT(WEEKDAY(DATE(Febrero!CalendarioAño,1,1),1),"ddd")</f>
        <v>jue</v>
      </c>
      <c r="D221" s="16" t="str">
        <f>TEXT(WEEKDAY(DATE(Febrero!CalendarioAño,1,2),1),"ddd")</f>
        <v>vie</v>
      </c>
      <c r="E221" s="16" t="str">
        <f>TEXT(WEEKDAY(DATE(Febrero!CalendarioAño,1,3),1),"ddd")</f>
        <v>sáb</v>
      </c>
      <c r="F221" s="16" t="str">
        <f>TEXT(WEEKDAY(DATE(Febrero!CalendarioAño,1,4),1),"ddd")</f>
        <v>dom</v>
      </c>
      <c r="G221" s="16" t="str">
        <f>TEXT(WEEKDAY(DATE(Febrero!CalendarioAño,1,5),1),"ddd")</f>
        <v>lun</v>
      </c>
      <c r="H221" s="16" t="str">
        <f>TEXT(WEEKDAY(DATE(Febrero!CalendarioAño,1,6),1),"ddd")</f>
        <v>mar</v>
      </c>
      <c r="I221" s="16" t="str">
        <f>TEXT(WEEKDAY(DATE(Febrero!CalendarioAño,1,7),1),"ddd")</f>
        <v>mié</v>
      </c>
      <c r="J221" s="16" t="str">
        <f>TEXT(WEEKDAY(DATE(Febrero!CalendarioAño,1,8),1),"ddd")</f>
        <v>jue</v>
      </c>
      <c r="K221" s="16" t="str">
        <f>TEXT(WEEKDAY(DATE(Febrero!CalendarioAño,1,9),1),"ddd")</f>
        <v>vie</v>
      </c>
      <c r="L221" s="16" t="str">
        <f>TEXT(WEEKDAY(DATE(Febrero!CalendarioAño,1,10),1),"ddd")</f>
        <v>sáb</v>
      </c>
      <c r="M221" s="16" t="str">
        <f>TEXT(WEEKDAY(DATE(Febrero!CalendarioAño,1,11),1),"ddd")</f>
        <v>dom</v>
      </c>
      <c r="N221" s="16" t="str">
        <f>TEXT(WEEKDAY(DATE(Febrero!CalendarioAño,1,12),1),"ddd")</f>
        <v>lun</v>
      </c>
      <c r="O221" s="16" t="str">
        <f>TEXT(WEEKDAY(DATE(Febrero!CalendarioAño,1,13),1),"ddd")</f>
        <v>mar</v>
      </c>
      <c r="P221" s="16" t="str">
        <f>TEXT(WEEKDAY(DATE(Febrero!CalendarioAño,1,14),1),"ddd")</f>
        <v>mié</v>
      </c>
      <c r="Q221" s="16" t="str">
        <f>TEXT(WEEKDAY(DATE(Febrero!CalendarioAño,1,15),1),"ddd")</f>
        <v>jue</v>
      </c>
      <c r="R221" s="16" t="str">
        <f>TEXT(WEEKDAY(DATE(Febrero!CalendarioAño,1,16),1),"ddd")</f>
        <v>vie</v>
      </c>
      <c r="S221" s="16" t="str">
        <f>TEXT(WEEKDAY(DATE(Febrero!CalendarioAño,1,17),1),"ddd")</f>
        <v>sáb</v>
      </c>
      <c r="T221" s="16" t="str">
        <f>TEXT(WEEKDAY(DATE(Febrero!CalendarioAño,1,18),1),"ddd")</f>
        <v>dom</v>
      </c>
      <c r="U221" s="16" t="str">
        <f>TEXT(WEEKDAY(DATE(Febrero!CalendarioAño,1,19),1),"ddd")</f>
        <v>lun</v>
      </c>
      <c r="V221" s="16" t="str">
        <f>TEXT(WEEKDAY(DATE(Febrero!CalendarioAño,1,20),1),"ddd")</f>
        <v>mar</v>
      </c>
      <c r="W221" s="16" t="str">
        <f>TEXT(WEEKDAY(DATE(Febrero!CalendarioAño,1,21),1),"ddd")</f>
        <v>mié</v>
      </c>
      <c r="X221" s="16" t="str">
        <f>TEXT(WEEKDAY(DATE(Febrero!CalendarioAño,1,22),1),"ddd")</f>
        <v>jue</v>
      </c>
      <c r="Y221" s="16" t="str">
        <f>TEXT(WEEKDAY(DATE(Febrero!CalendarioAño,1,23),1),"ddd")</f>
        <v>vie</v>
      </c>
      <c r="Z221" s="16" t="str">
        <f>TEXT(WEEKDAY(DATE(Febrero!CalendarioAño,1,24),1),"ddd")</f>
        <v>sáb</v>
      </c>
      <c r="AA221" s="16" t="str">
        <f>TEXT(WEEKDAY(DATE(Febrero!CalendarioAño,1,25),1),"ddd")</f>
        <v>dom</v>
      </c>
      <c r="AB221" s="16" t="str">
        <f>TEXT(WEEKDAY(DATE(Febrero!CalendarioAño,1,26),1),"ddd")</f>
        <v>lun</v>
      </c>
      <c r="AC221" s="16" t="str">
        <f>TEXT(WEEKDAY(DATE(Febrero!CalendarioAño,1,27),1),"ddd")</f>
        <v>mar</v>
      </c>
      <c r="AD221" s="57"/>
    </row>
    <row r="222" ht="30.0" customHeight="1">
      <c r="A222" s="18"/>
      <c r="B222" s="66" t="s">
        <v>14</v>
      </c>
      <c r="C222" s="19" t="s">
        <v>15</v>
      </c>
      <c r="D222" s="19" t="s">
        <v>16</v>
      </c>
      <c r="E222" s="19" t="s">
        <v>17</v>
      </c>
      <c r="F222" s="19" t="s">
        <v>18</v>
      </c>
      <c r="G222" s="19" t="s">
        <v>19</v>
      </c>
      <c r="H222" s="19" t="s">
        <v>20</v>
      </c>
      <c r="I222" s="19" t="s">
        <v>21</v>
      </c>
      <c r="J222" s="19" t="s">
        <v>22</v>
      </c>
      <c r="K222" s="19" t="s">
        <v>23</v>
      </c>
      <c r="L222" s="19" t="s">
        <v>24</v>
      </c>
      <c r="M222" s="19" t="s">
        <v>25</v>
      </c>
      <c r="N222" s="19" t="s">
        <v>26</v>
      </c>
      <c r="O222" s="19" t="s">
        <v>27</v>
      </c>
      <c r="P222" s="19" t="s">
        <v>28</v>
      </c>
      <c r="Q222" s="19" t="s">
        <v>29</v>
      </c>
      <c r="R222" s="19" t="s">
        <v>30</v>
      </c>
      <c r="S222" s="19" t="s">
        <v>31</v>
      </c>
      <c r="T222" s="19" t="s">
        <v>32</v>
      </c>
      <c r="U222" s="19" t="s">
        <v>33</v>
      </c>
      <c r="V222" s="19" t="s">
        <v>34</v>
      </c>
      <c r="W222" s="19" t="s">
        <v>35</v>
      </c>
      <c r="X222" s="19" t="s">
        <v>36</v>
      </c>
      <c r="Y222" s="19" t="s">
        <v>37</v>
      </c>
      <c r="Z222" s="19" t="s">
        <v>38</v>
      </c>
      <c r="AA222" s="19" t="s">
        <v>39</v>
      </c>
      <c r="AB222" s="19" t="s">
        <v>40</v>
      </c>
      <c r="AC222" s="19" t="s">
        <v>41</v>
      </c>
      <c r="AD222" s="19" t="s">
        <v>46</v>
      </c>
    </row>
    <row r="223" ht="30.0" customHeight="1">
      <c r="A223" s="50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59"/>
    </row>
    <row r="224" ht="30.0" customHeight="1">
      <c r="A224" s="50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7"/>
    </row>
    <row r="225" ht="30.0" customHeight="1">
      <c r="A225" s="50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59"/>
    </row>
    <row r="226" ht="30.0" customHeight="1">
      <c r="A226" s="50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7"/>
    </row>
    <row r="227" ht="30.0" customHeight="1">
      <c r="A227" s="50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59"/>
    </row>
    <row r="228" ht="30.0" customHeight="1">
      <c r="A228" s="50"/>
      <c r="B228" s="62" t="str">
        <f>Febrero!MonthName&amp;" Total"</f>
        <v>Enero Total</v>
      </c>
      <c r="C228" s="63">
        <f>SUBTOTAL(103,Febrero!$C$7)</f>
        <v>0</v>
      </c>
      <c r="D228" s="63">
        <f>SUBTOTAL(103,Febrero!$D$7)</f>
        <v>0</v>
      </c>
      <c r="E228" s="63">
        <f>SUBTOTAL(103,Febrero!$E$7)</f>
        <v>0</v>
      </c>
      <c r="F228" s="63"/>
      <c r="G228" s="63"/>
      <c r="H228" s="63">
        <f>SUBTOTAL(103,Febrero!$H$7)</f>
        <v>0</v>
      </c>
      <c r="I228" s="63">
        <f>SUBTOTAL(103,Febrero!$I$7)</f>
        <v>0</v>
      </c>
      <c r="J228" s="63">
        <f>SUBTOTAL(103,Febrero!$J$7)</f>
        <v>0</v>
      </c>
      <c r="K228" s="63">
        <f>SUBTOTAL(103,Febrero!$K$7)</f>
        <v>0</v>
      </c>
      <c r="L228" s="63">
        <f>SUBTOTAL(103,Febrero!$L$7)</f>
        <v>0</v>
      </c>
      <c r="M228" s="63"/>
      <c r="N228" s="63">
        <f>SUBTOTAL(103,Febrero!$N$7)</f>
        <v>0</v>
      </c>
      <c r="O228" s="63">
        <f>SUBTOTAL(103,Febrero!$O$7)</f>
        <v>0</v>
      </c>
      <c r="P228" s="63">
        <f>SUBTOTAL(103,Febrero!$P$7)</f>
        <v>0</v>
      </c>
      <c r="Q228" s="63">
        <f>SUBTOTAL(103,Febrero!$Q$7)</f>
        <v>0</v>
      </c>
      <c r="R228" s="63">
        <f>SUBTOTAL(103,Febrero!$R$7)</f>
        <v>0</v>
      </c>
      <c r="S228" s="63">
        <f>SUBTOTAL(103,Febrero!$S$7)</f>
        <v>0</v>
      </c>
      <c r="T228" s="63">
        <f>SUBTOTAL(103,Febrero!$T$7)</f>
        <v>0</v>
      </c>
      <c r="U228" s="63">
        <f>SUBTOTAL(103,Febrero!$U$7)</f>
        <v>0</v>
      </c>
      <c r="V228" s="63"/>
      <c r="W228" s="63">
        <f>SUBTOTAL(103,Febrero!$W$7)</f>
        <v>0</v>
      </c>
      <c r="X228" s="63">
        <f>SUBTOTAL(103,Febrero!$X$7)</f>
        <v>0</v>
      </c>
      <c r="Y228" s="63">
        <f>SUBTOTAL(103,Febrero!$Y$7)</f>
        <v>0</v>
      </c>
      <c r="Z228" s="63">
        <f>SUBTOTAL(103,Febrero!$Z$7)</f>
        <v>0</v>
      </c>
      <c r="AA228" s="63">
        <f>SUBTOTAL(103,Febrero!$AA$7)</f>
        <v>0</v>
      </c>
      <c r="AB228" s="63">
        <f>SUBTOTAL(103,Febrero!$AB$7)</f>
        <v>0</v>
      </c>
      <c r="AC228" s="63">
        <f>SUBTOTAL(103,Febrero!$AC$7)</f>
        <v>0</v>
      </c>
      <c r="AD228" s="65">
        <f>SUM(C228:AC228)</f>
        <v>0</v>
      </c>
    </row>
    <row r="229" ht="30.0" customHeight="1">
      <c r="AD229" s="5"/>
    </row>
    <row r="230" ht="30.0" customHeight="1">
      <c r="AD230" s="5"/>
    </row>
    <row r="231" ht="30.0" customHeight="1">
      <c r="AD231" s="5"/>
    </row>
    <row r="232" ht="30.0" customHeight="1">
      <c r="AD232" s="5"/>
    </row>
    <row r="233" ht="30.0" customHeight="1">
      <c r="AD233" s="5"/>
    </row>
    <row r="234" ht="30.0" customHeight="1">
      <c r="AD234" s="5"/>
    </row>
    <row r="235" ht="30.0" customHeight="1">
      <c r="AD235" s="5"/>
    </row>
    <row r="236" ht="30.0" customHeight="1">
      <c r="AD236" s="5"/>
    </row>
    <row r="237" ht="30.0" customHeight="1">
      <c r="AD237" s="5"/>
    </row>
    <row r="238" ht="30.0" customHeight="1">
      <c r="AD238" s="5"/>
    </row>
    <row r="239" ht="30.0" customHeight="1">
      <c r="AD239" s="5"/>
    </row>
    <row r="240" ht="30.0" customHeight="1">
      <c r="AD240" s="5"/>
    </row>
    <row r="241" ht="30.0" customHeight="1">
      <c r="AD241" s="5"/>
    </row>
    <row r="242" ht="30.0" customHeight="1">
      <c r="AD242" s="5"/>
    </row>
    <row r="243" ht="30.0" customHeight="1">
      <c r="AD243" s="5"/>
    </row>
    <row r="244" ht="30.0" customHeight="1">
      <c r="AD244" s="5"/>
    </row>
    <row r="245" ht="30.0" customHeight="1">
      <c r="AD245" s="5"/>
    </row>
    <row r="246" ht="30.0" customHeight="1">
      <c r="AD246" s="5"/>
    </row>
    <row r="247" ht="30.0" customHeight="1">
      <c r="AD247" s="5"/>
    </row>
    <row r="248" ht="30.0" customHeight="1">
      <c r="AD248" s="5"/>
    </row>
    <row r="249" ht="30.0" customHeight="1">
      <c r="AD249" s="5"/>
    </row>
    <row r="250" ht="30.0" customHeight="1">
      <c r="AD250" s="5"/>
    </row>
    <row r="251" ht="30.0" customHeight="1">
      <c r="AD251" s="5"/>
    </row>
    <row r="252" ht="30.0" customHeight="1">
      <c r="AD252" s="5"/>
    </row>
    <row r="253" ht="30.0" customHeight="1">
      <c r="AD253" s="5"/>
    </row>
    <row r="254" ht="30.0" customHeight="1">
      <c r="AD254" s="5"/>
    </row>
    <row r="255" ht="30.0" customHeight="1">
      <c r="AD255" s="5"/>
    </row>
    <row r="256" ht="30.0" customHeight="1">
      <c r="AD256" s="5"/>
    </row>
    <row r="257" ht="30.0" customHeight="1">
      <c r="AD257" s="5"/>
    </row>
    <row r="258" ht="30.0" customHeight="1">
      <c r="AD258" s="5"/>
    </row>
    <row r="259" ht="30.0" customHeight="1">
      <c r="AD259" s="5"/>
    </row>
    <row r="260" ht="30.0" customHeight="1">
      <c r="AD260" s="5"/>
    </row>
    <row r="261" ht="30.0" customHeight="1">
      <c r="AD261" s="5"/>
    </row>
    <row r="262" ht="30.0" customHeight="1">
      <c r="AD262" s="5"/>
    </row>
    <row r="263" ht="30.0" customHeight="1">
      <c r="AD263" s="5"/>
    </row>
    <row r="264" ht="30.0" customHeight="1">
      <c r="AD264" s="5"/>
    </row>
    <row r="265" ht="30.0" customHeight="1">
      <c r="AD265" s="5"/>
    </row>
    <row r="266" ht="30.0" customHeight="1">
      <c r="AD266" s="5"/>
    </row>
    <row r="267" ht="30.0" customHeight="1">
      <c r="AD267" s="5"/>
    </row>
    <row r="268" ht="30.0" customHeight="1">
      <c r="AD268" s="5"/>
    </row>
    <row r="269" ht="30.0" customHeight="1">
      <c r="AD269" s="5"/>
    </row>
    <row r="270" ht="30.0" customHeight="1">
      <c r="AD270" s="5"/>
    </row>
    <row r="271" ht="30.0" customHeight="1">
      <c r="AD271" s="5"/>
    </row>
    <row r="272" ht="30.0" customHeight="1">
      <c r="AD272" s="5"/>
    </row>
    <row r="273" ht="30.0" customHeight="1">
      <c r="AD273" s="5"/>
    </row>
    <row r="274" ht="30.0" customHeight="1">
      <c r="AD274" s="5"/>
    </row>
    <row r="275" ht="30.0" customHeight="1">
      <c r="AD275" s="5"/>
    </row>
    <row r="276" ht="30.0" customHeight="1">
      <c r="AD276" s="5"/>
    </row>
    <row r="277" ht="30.0" customHeight="1">
      <c r="AD277" s="5"/>
    </row>
    <row r="278" ht="30.0" customHeight="1">
      <c r="AD278" s="5"/>
    </row>
    <row r="279" ht="30.0" customHeight="1">
      <c r="AD279" s="5"/>
    </row>
    <row r="280" ht="30.0" customHeight="1">
      <c r="AD280" s="5"/>
    </row>
    <row r="281" ht="30.0" customHeight="1">
      <c r="AD281" s="5"/>
    </row>
    <row r="282" ht="30.0" customHeight="1">
      <c r="AD282" s="5"/>
    </row>
    <row r="283" ht="30.0" customHeight="1">
      <c r="AD283" s="5"/>
    </row>
    <row r="284" ht="30.0" customHeight="1">
      <c r="AD284" s="5"/>
    </row>
    <row r="285" ht="30.0" customHeight="1">
      <c r="AD285" s="5"/>
    </row>
    <row r="286" ht="30.0" customHeight="1">
      <c r="AD286" s="5"/>
    </row>
    <row r="287" ht="30.0" customHeight="1">
      <c r="AD287" s="5"/>
    </row>
    <row r="288" ht="30.0" customHeight="1">
      <c r="AD288" s="5"/>
    </row>
    <row r="289" ht="30.0" customHeight="1">
      <c r="AD289" s="5"/>
    </row>
    <row r="290" ht="30.0" customHeight="1">
      <c r="AD290" s="5"/>
    </row>
    <row r="291" ht="30.0" customHeight="1">
      <c r="AD291" s="5"/>
    </row>
    <row r="292" ht="30.0" customHeight="1">
      <c r="AD292" s="5"/>
    </row>
    <row r="293" ht="30.0" customHeight="1">
      <c r="AD293" s="5"/>
    </row>
    <row r="294" ht="30.0" customHeight="1">
      <c r="AD294" s="5"/>
    </row>
    <row r="295" ht="30.0" customHeight="1">
      <c r="AD295" s="5"/>
    </row>
    <row r="296" ht="30.0" customHeight="1">
      <c r="AD296" s="5"/>
    </row>
    <row r="297" ht="30.0" customHeight="1">
      <c r="AD297" s="5"/>
    </row>
    <row r="298" ht="30.0" customHeight="1">
      <c r="AD298" s="5"/>
    </row>
    <row r="299" ht="30.0" customHeight="1">
      <c r="AD299" s="5"/>
    </row>
    <row r="300" ht="30.0" customHeight="1">
      <c r="AD300" s="5"/>
    </row>
    <row r="301" ht="30.0" customHeight="1">
      <c r="AD301" s="5"/>
    </row>
    <row r="302" ht="30.0" customHeight="1">
      <c r="AD302" s="5"/>
    </row>
    <row r="303" ht="30.0" customHeight="1">
      <c r="AD303" s="5"/>
    </row>
    <row r="304" ht="30.0" customHeight="1">
      <c r="AD304" s="5"/>
    </row>
    <row r="305" ht="30.0" customHeight="1">
      <c r="AD305" s="5"/>
    </row>
    <row r="306" ht="30.0" customHeight="1">
      <c r="AD306" s="5"/>
    </row>
    <row r="307" ht="30.0" customHeight="1">
      <c r="AD307" s="5"/>
    </row>
    <row r="308" ht="30.0" customHeight="1">
      <c r="AD308" s="5"/>
    </row>
    <row r="309" ht="30.0" customHeight="1">
      <c r="AD309" s="5"/>
    </row>
    <row r="310" ht="30.0" customHeight="1">
      <c r="AD310" s="5"/>
    </row>
    <row r="311" ht="30.0" customHeight="1">
      <c r="AD311" s="5"/>
    </row>
    <row r="312" ht="30.0" customHeight="1">
      <c r="AD312" s="5"/>
    </row>
    <row r="313" ht="30.0" customHeight="1">
      <c r="AD313" s="5"/>
    </row>
    <row r="314" ht="30.0" customHeight="1">
      <c r="AD314" s="5"/>
    </row>
    <row r="315" ht="30.0" customHeight="1">
      <c r="AD315" s="5"/>
    </row>
    <row r="316" ht="30.0" customHeight="1">
      <c r="AD316" s="5"/>
    </row>
    <row r="317" ht="30.0" customHeight="1">
      <c r="AD317" s="5"/>
    </row>
    <row r="318" ht="30.0" customHeight="1">
      <c r="AD318" s="5"/>
    </row>
    <row r="319" ht="30.0" customHeight="1">
      <c r="AD319" s="5"/>
    </row>
    <row r="320" ht="30.0" customHeight="1">
      <c r="AD320" s="5"/>
    </row>
    <row r="321" ht="30.0" customHeight="1">
      <c r="AD321" s="5"/>
    </row>
    <row r="322" ht="30.0" customHeight="1">
      <c r="AD322" s="5"/>
    </row>
    <row r="323" ht="30.0" customHeight="1">
      <c r="AD323" s="5"/>
    </row>
    <row r="324" ht="30.0" customHeight="1">
      <c r="AD324" s="5"/>
    </row>
    <row r="325" ht="30.0" customHeight="1">
      <c r="AD325" s="5"/>
    </row>
    <row r="326" ht="30.0" customHeight="1">
      <c r="AD326" s="5"/>
    </row>
    <row r="327" ht="30.0" customHeight="1">
      <c r="AD327" s="5"/>
    </row>
    <row r="328" ht="30.0" customHeight="1">
      <c r="AD328" s="5"/>
    </row>
    <row r="329" ht="30.0" customHeight="1">
      <c r="AD329" s="5"/>
    </row>
    <row r="330" ht="30.0" customHeight="1">
      <c r="AD330" s="5"/>
    </row>
    <row r="331" ht="30.0" customHeight="1">
      <c r="AD331" s="5"/>
    </row>
    <row r="332" ht="30.0" customHeight="1">
      <c r="AD332" s="5"/>
    </row>
    <row r="333" ht="30.0" customHeight="1">
      <c r="AD333" s="5"/>
    </row>
    <row r="334" ht="30.0" customHeight="1">
      <c r="AD334" s="5"/>
    </row>
    <row r="335" ht="30.0" customHeight="1">
      <c r="AD335" s="5"/>
    </row>
    <row r="336" ht="30.0" customHeight="1">
      <c r="AD336" s="5"/>
    </row>
    <row r="337" ht="30.0" customHeight="1">
      <c r="AD337" s="5"/>
    </row>
    <row r="338" ht="30.0" customHeight="1">
      <c r="AD338" s="5"/>
    </row>
    <row r="339" ht="30.0" customHeight="1">
      <c r="AD339" s="5"/>
    </row>
    <row r="340" ht="30.0" customHeight="1">
      <c r="AD340" s="5"/>
    </row>
    <row r="341" ht="30.0" customHeight="1">
      <c r="AD341" s="5"/>
    </row>
    <row r="342" ht="30.0" customHeight="1">
      <c r="AD342" s="5"/>
    </row>
    <row r="343" ht="30.0" customHeight="1">
      <c r="AD343" s="5"/>
    </row>
    <row r="344" ht="30.0" customHeight="1">
      <c r="AD344" s="5"/>
    </row>
    <row r="345" ht="30.0" customHeight="1">
      <c r="AD345" s="5"/>
    </row>
    <row r="346" ht="30.0" customHeight="1">
      <c r="AD346" s="5"/>
    </row>
    <row r="347" ht="30.0" customHeight="1">
      <c r="AD347" s="5"/>
    </row>
    <row r="348" ht="30.0" customHeight="1">
      <c r="AD348" s="5"/>
    </row>
    <row r="349" ht="30.0" customHeight="1">
      <c r="AD349" s="5"/>
    </row>
    <row r="350" ht="30.0" customHeight="1">
      <c r="AD350" s="5"/>
    </row>
    <row r="351" ht="30.0" customHeight="1">
      <c r="AD351" s="5"/>
    </row>
    <row r="352" ht="30.0" customHeight="1">
      <c r="AD352" s="5"/>
    </row>
    <row r="353" ht="30.0" customHeight="1">
      <c r="AD353" s="5"/>
    </row>
    <row r="354" ht="30.0" customHeight="1">
      <c r="AD354" s="5"/>
    </row>
    <row r="355" ht="30.0" customHeight="1">
      <c r="AD355" s="5"/>
    </row>
    <row r="356" ht="30.0" customHeight="1">
      <c r="AD356" s="5"/>
    </row>
    <row r="357" ht="30.0" customHeight="1">
      <c r="AD357" s="5"/>
    </row>
    <row r="358" ht="30.0" customHeight="1">
      <c r="AD358" s="5"/>
    </row>
    <row r="359" ht="30.0" customHeight="1">
      <c r="AD359" s="5"/>
    </row>
    <row r="360" ht="30.0" customHeight="1">
      <c r="AD360" s="5"/>
    </row>
    <row r="361" ht="30.0" customHeight="1">
      <c r="AD361" s="5"/>
    </row>
    <row r="362" ht="30.0" customHeight="1">
      <c r="AD362" s="5"/>
    </row>
    <row r="363" ht="30.0" customHeight="1">
      <c r="AD363" s="5"/>
    </row>
    <row r="364" ht="30.0" customHeight="1">
      <c r="AD364" s="5"/>
    </row>
    <row r="365" ht="30.0" customHeight="1">
      <c r="AD365" s="5"/>
    </row>
    <row r="366" ht="30.0" customHeight="1">
      <c r="AD366" s="5"/>
    </row>
    <row r="367" ht="30.0" customHeight="1">
      <c r="AD367" s="5"/>
    </row>
    <row r="368" ht="30.0" customHeight="1">
      <c r="AD368" s="5"/>
    </row>
    <row r="369" ht="30.0" customHeight="1">
      <c r="AD369" s="5"/>
    </row>
    <row r="370" ht="30.0" customHeight="1">
      <c r="AD370" s="5"/>
    </row>
    <row r="371" ht="30.0" customHeight="1">
      <c r="AD371" s="5"/>
    </row>
    <row r="372" ht="30.0" customHeight="1">
      <c r="AD372" s="5"/>
    </row>
    <row r="373" ht="30.0" customHeight="1">
      <c r="AD373" s="5"/>
    </row>
    <row r="374" ht="30.0" customHeight="1">
      <c r="AD374" s="5"/>
    </row>
    <row r="375" ht="30.0" customHeight="1">
      <c r="AD375" s="5"/>
    </row>
    <row r="376" ht="30.0" customHeight="1">
      <c r="AD376" s="5"/>
    </row>
    <row r="377" ht="30.0" customHeight="1">
      <c r="AD377" s="5"/>
    </row>
    <row r="378" ht="30.0" customHeight="1">
      <c r="AD378" s="5"/>
    </row>
    <row r="379" ht="30.0" customHeight="1">
      <c r="AD379" s="5"/>
    </row>
    <row r="380" ht="30.0" customHeight="1">
      <c r="AD380" s="5"/>
    </row>
    <row r="381" ht="30.0" customHeight="1">
      <c r="AD381" s="5"/>
    </row>
    <row r="382" ht="30.0" customHeight="1">
      <c r="AD382" s="5"/>
    </row>
    <row r="383" ht="30.0" customHeight="1">
      <c r="AD383" s="5"/>
    </row>
    <row r="384" ht="30.0" customHeight="1">
      <c r="AD384" s="5"/>
    </row>
    <row r="385" ht="30.0" customHeight="1">
      <c r="AD385" s="5"/>
    </row>
    <row r="386" ht="30.0" customHeight="1">
      <c r="AD386" s="5"/>
    </row>
    <row r="387" ht="30.0" customHeight="1">
      <c r="AD387" s="5"/>
    </row>
    <row r="388" ht="30.0" customHeight="1">
      <c r="AD388" s="5"/>
    </row>
    <row r="389" ht="30.0" customHeight="1">
      <c r="AD389" s="5"/>
    </row>
    <row r="390" ht="30.0" customHeight="1">
      <c r="AD390" s="5"/>
    </row>
    <row r="391" ht="30.0" customHeight="1">
      <c r="AD391" s="5"/>
    </row>
    <row r="392" ht="30.0" customHeight="1">
      <c r="AD392" s="5"/>
    </row>
    <row r="393" ht="30.0" customHeight="1">
      <c r="AD393" s="5"/>
    </row>
    <row r="394" ht="30.0" customHeight="1">
      <c r="AD394" s="5"/>
    </row>
    <row r="395" ht="30.0" customHeight="1">
      <c r="AD395" s="5"/>
    </row>
    <row r="396" ht="30.0" customHeight="1">
      <c r="AD396" s="5"/>
    </row>
    <row r="397" ht="30.0" customHeight="1">
      <c r="AD397" s="5"/>
    </row>
    <row r="398" ht="30.0" customHeight="1">
      <c r="AD398" s="5"/>
    </row>
    <row r="399" ht="30.0" customHeight="1">
      <c r="AD399" s="5"/>
    </row>
    <row r="400" ht="30.0" customHeight="1">
      <c r="AD400" s="5"/>
    </row>
    <row r="401" ht="30.0" customHeight="1">
      <c r="AD401" s="5"/>
    </row>
    <row r="402" ht="30.0" customHeight="1">
      <c r="AD402" s="5"/>
    </row>
    <row r="403" ht="30.0" customHeight="1">
      <c r="AD403" s="5"/>
    </row>
    <row r="404" ht="30.0" customHeight="1">
      <c r="AD404" s="5"/>
    </row>
    <row r="405" ht="30.0" customHeight="1">
      <c r="AD405" s="5"/>
    </row>
    <row r="406" ht="30.0" customHeight="1">
      <c r="AD406" s="5"/>
    </row>
    <row r="407" ht="30.0" customHeight="1">
      <c r="AD407" s="5"/>
    </row>
    <row r="408" ht="30.0" customHeight="1">
      <c r="AD408" s="5"/>
    </row>
    <row r="409" ht="30.0" customHeight="1">
      <c r="AD409" s="5"/>
    </row>
    <row r="410" ht="30.0" customHeight="1">
      <c r="AD410" s="5"/>
    </row>
    <row r="411" ht="30.0" customHeight="1">
      <c r="AD411" s="5"/>
    </row>
    <row r="412" ht="30.0" customHeight="1">
      <c r="AD412" s="5"/>
    </row>
    <row r="413" ht="30.0" customHeight="1">
      <c r="AD413" s="5"/>
    </row>
    <row r="414" ht="30.0" customHeight="1">
      <c r="AD414" s="5"/>
    </row>
    <row r="415" ht="30.0" customHeight="1">
      <c r="AD415" s="5"/>
    </row>
    <row r="416" ht="30.0" customHeight="1">
      <c r="AD416" s="5"/>
    </row>
    <row r="417" ht="30.0" customHeight="1">
      <c r="AD417" s="5"/>
    </row>
    <row r="418" ht="30.0" customHeight="1">
      <c r="AD418" s="5"/>
    </row>
    <row r="419" ht="30.0" customHeight="1">
      <c r="AD419" s="5"/>
    </row>
    <row r="420" ht="30.0" customHeight="1">
      <c r="AD420" s="5"/>
    </row>
    <row r="421" ht="30.0" customHeight="1">
      <c r="AD421" s="5"/>
    </row>
    <row r="422" ht="30.0" customHeight="1">
      <c r="AD422" s="5"/>
    </row>
    <row r="423" ht="30.0" customHeight="1">
      <c r="AD423" s="5"/>
    </row>
    <row r="424" ht="30.0" customHeight="1">
      <c r="AD424" s="5"/>
    </row>
    <row r="425" ht="30.0" customHeight="1">
      <c r="AD425" s="5"/>
    </row>
    <row r="426" ht="30.0" customHeight="1">
      <c r="AD426" s="5"/>
    </row>
    <row r="427" ht="30.0" customHeight="1">
      <c r="AD427" s="5"/>
    </row>
    <row r="428" ht="30.0" customHeight="1">
      <c r="AD428" s="5"/>
    </row>
    <row r="429" ht="30.0" customHeight="1">
      <c r="AD429" s="5"/>
    </row>
    <row r="430" ht="30.0" customHeight="1">
      <c r="AD430" s="5"/>
    </row>
    <row r="431" ht="30.0" customHeight="1">
      <c r="AD431" s="5"/>
    </row>
    <row r="432" ht="30.0" customHeight="1">
      <c r="AD432" s="5"/>
    </row>
    <row r="433" ht="30.0" customHeight="1">
      <c r="AD433" s="5"/>
    </row>
    <row r="434" ht="30.0" customHeight="1">
      <c r="AD434" s="5"/>
    </row>
    <row r="435" ht="30.0" customHeight="1">
      <c r="AD435" s="5"/>
    </row>
    <row r="436" ht="30.0" customHeight="1">
      <c r="AD436" s="5"/>
    </row>
    <row r="437" ht="30.0" customHeight="1">
      <c r="AD437" s="5"/>
    </row>
    <row r="438" ht="30.0" customHeight="1">
      <c r="AD438" s="5"/>
    </row>
    <row r="439" ht="30.0" customHeight="1">
      <c r="AD439" s="5"/>
    </row>
    <row r="440" ht="30.0" customHeight="1">
      <c r="AD440" s="5"/>
    </row>
    <row r="441" ht="30.0" customHeight="1">
      <c r="AD441" s="5"/>
    </row>
    <row r="442" ht="30.0" customHeight="1">
      <c r="AD442" s="5"/>
    </row>
    <row r="443" ht="30.0" customHeight="1">
      <c r="AD443" s="5"/>
    </row>
    <row r="444" ht="30.0" customHeight="1">
      <c r="AD444" s="5"/>
    </row>
    <row r="445" ht="30.0" customHeight="1">
      <c r="AD445" s="5"/>
    </row>
    <row r="446" ht="30.0" customHeight="1">
      <c r="AD446" s="5"/>
    </row>
    <row r="447" ht="30.0" customHeight="1">
      <c r="AD447" s="5"/>
    </row>
    <row r="448" ht="30.0" customHeight="1">
      <c r="AD448" s="5"/>
    </row>
    <row r="449" ht="30.0" customHeight="1">
      <c r="AD449" s="5"/>
    </row>
    <row r="450" ht="30.0" customHeight="1">
      <c r="AD450" s="5"/>
    </row>
    <row r="451" ht="30.0" customHeight="1">
      <c r="AD451" s="5"/>
    </row>
    <row r="452" ht="30.0" customHeight="1">
      <c r="AD452" s="5"/>
    </row>
    <row r="453" ht="30.0" customHeight="1">
      <c r="AD453" s="5"/>
    </row>
    <row r="454" ht="30.0" customHeight="1">
      <c r="AD454" s="5"/>
    </row>
    <row r="455" ht="30.0" customHeight="1">
      <c r="AD455" s="5"/>
    </row>
    <row r="456" ht="30.0" customHeight="1">
      <c r="AD456" s="5"/>
    </row>
    <row r="457" ht="30.0" customHeight="1">
      <c r="AD457" s="5"/>
    </row>
    <row r="458" ht="30.0" customHeight="1">
      <c r="AD458" s="5"/>
    </row>
    <row r="459" ht="30.0" customHeight="1">
      <c r="AD459" s="5"/>
    </row>
    <row r="460" ht="30.0" customHeight="1">
      <c r="AD460" s="5"/>
    </row>
    <row r="461" ht="30.0" customHeight="1">
      <c r="AD461" s="5"/>
    </row>
    <row r="462" ht="30.0" customHeight="1">
      <c r="AD462" s="5"/>
    </row>
    <row r="463" ht="30.0" customHeight="1">
      <c r="AD463" s="5"/>
    </row>
    <row r="464" ht="30.0" customHeight="1">
      <c r="AD464" s="5"/>
    </row>
    <row r="465" ht="30.0" customHeight="1">
      <c r="AD465" s="5"/>
    </row>
    <row r="466" ht="30.0" customHeight="1">
      <c r="AD466" s="5"/>
    </row>
    <row r="467" ht="30.0" customHeight="1">
      <c r="AD467" s="5"/>
    </row>
    <row r="468" ht="30.0" customHeight="1">
      <c r="AD468" s="5"/>
    </row>
    <row r="469" ht="30.0" customHeight="1">
      <c r="AD469" s="5"/>
    </row>
    <row r="470" ht="30.0" customHeight="1">
      <c r="AD470" s="5"/>
    </row>
    <row r="471" ht="30.0" customHeight="1">
      <c r="AD471" s="5"/>
    </row>
    <row r="472" ht="30.0" customHeight="1">
      <c r="AD472" s="5"/>
    </row>
    <row r="473" ht="30.0" customHeight="1">
      <c r="AD473" s="5"/>
    </row>
    <row r="474" ht="30.0" customHeight="1">
      <c r="AD474" s="5"/>
    </row>
    <row r="475" ht="30.0" customHeight="1">
      <c r="AD475" s="5"/>
    </row>
    <row r="476" ht="30.0" customHeight="1">
      <c r="AD476" s="5"/>
    </row>
    <row r="477" ht="30.0" customHeight="1">
      <c r="AD477" s="5"/>
    </row>
    <row r="478" ht="30.0" customHeight="1">
      <c r="AD478" s="5"/>
    </row>
    <row r="479" ht="30.0" customHeight="1">
      <c r="AD479" s="5"/>
    </row>
    <row r="480" ht="30.0" customHeight="1">
      <c r="AD480" s="5"/>
    </row>
    <row r="481" ht="30.0" customHeight="1">
      <c r="AD481" s="5"/>
    </row>
    <row r="482" ht="30.0" customHeight="1">
      <c r="AD482" s="5"/>
    </row>
    <row r="483" ht="30.0" customHeight="1">
      <c r="AD483" s="5"/>
    </row>
    <row r="484" ht="30.0" customHeight="1">
      <c r="AD484" s="5"/>
    </row>
    <row r="485" ht="30.0" customHeight="1">
      <c r="AD485" s="5"/>
    </row>
    <row r="486" ht="30.0" customHeight="1">
      <c r="AD486" s="5"/>
    </row>
    <row r="487" ht="30.0" customHeight="1">
      <c r="AD487" s="5"/>
    </row>
    <row r="488" ht="30.0" customHeight="1">
      <c r="AD488" s="5"/>
    </row>
    <row r="489" ht="30.0" customHeight="1">
      <c r="AD489" s="5"/>
    </row>
    <row r="490" ht="30.0" customHeight="1">
      <c r="AD490" s="5"/>
    </row>
    <row r="491" ht="30.0" customHeight="1">
      <c r="AD491" s="5"/>
    </row>
    <row r="492" ht="30.0" customHeight="1">
      <c r="AD492" s="5"/>
    </row>
    <row r="493" ht="30.0" customHeight="1">
      <c r="AD493" s="5"/>
    </row>
    <row r="494" ht="30.0" customHeight="1">
      <c r="AD494" s="5"/>
    </row>
    <row r="495" ht="30.0" customHeight="1">
      <c r="AD495" s="5"/>
    </row>
    <row r="496" ht="30.0" customHeight="1">
      <c r="AD496" s="5"/>
    </row>
    <row r="497" ht="30.0" customHeight="1">
      <c r="AD497" s="5"/>
    </row>
    <row r="498" ht="30.0" customHeight="1">
      <c r="AD498" s="5"/>
    </row>
    <row r="499" ht="30.0" customHeight="1">
      <c r="AD499" s="5"/>
    </row>
    <row r="500" ht="30.0" customHeight="1">
      <c r="AD500" s="5"/>
    </row>
    <row r="501" ht="30.0" customHeight="1">
      <c r="AD501" s="5"/>
    </row>
    <row r="502" ht="30.0" customHeight="1">
      <c r="AD502" s="5"/>
    </row>
    <row r="503" ht="30.0" customHeight="1">
      <c r="AD503" s="5"/>
    </row>
    <row r="504" ht="30.0" customHeight="1">
      <c r="AD504" s="5"/>
    </row>
    <row r="505" ht="30.0" customHeight="1">
      <c r="AD505" s="5"/>
    </row>
    <row r="506" ht="30.0" customHeight="1">
      <c r="AD506" s="5"/>
    </row>
    <row r="507" ht="30.0" customHeight="1">
      <c r="AD507" s="5"/>
    </row>
    <row r="508" ht="30.0" customHeight="1">
      <c r="AD508" s="5"/>
    </row>
    <row r="509" ht="30.0" customHeight="1">
      <c r="AD509" s="5"/>
    </row>
    <row r="510" ht="30.0" customHeight="1">
      <c r="AD510" s="5"/>
    </row>
    <row r="511" ht="30.0" customHeight="1">
      <c r="AD511" s="5"/>
    </row>
    <row r="512" ht="30.0" customHeight="1">
      <c r="AD512" s="5"/>
    </row>
    <row r="513" ht="30.0" customHeight="1">
      <c r="AD513" s="5"/>
    </row>
    <row r="514" ht="30.0" customHeight="1">
      <c r="AD514" s="5"/>
    </row>
    <row r="515" ht="30.0" customHeight="1">
      <c r="AD515" s="5"/>
    </row>
    <row r="516" ht="30.0" customHeight="1">
      <c r="AD516" s="5"/>
    </row>
    <row r="517" ht="30.0" customHeight="1">
      <c r="AD517" s="5"/>
    </row>
    <row r="518" ht="30.0" customHeight="1">
      <c r="AD518" s="5"/>
    </row>
    <row r="519" ht="30.0" customHeight="1">
      <c r="AD519" s="5"/>
    </row>
    <row r="520" ht="30.0" customHeight="1">
      <c r="AD520" s="5"/>
    </row>
    <row r="521" ht="30.0" customHeight="1">
      <c r="AD521" s="5"/>
    </row>
    <row r="522" ht="30.0" customHeight="1">
      <c r="AD522" s="5"/>
    </row>
    <row r="523" ht="30.0" customHeight="1">
      <c r="AD523" s="5"/>
    </row>
    <row r="524" ht="30.0" customHeight="1">
      <c r="AD524" s="5"/>
    </row>
    <row r="525" ht="30.0" customHeight="1">
      <c r="AD525" s="5"/>
    </row>
    <row r="526" ht="30.0" customHeight="1">
      <c r="AD526" s="5"/>
    </row>
    <row r="527" ht="30.0" customHeight="1">
      <c r="AD527" s="5"/>
    </row>
    <row r="528" ht="30.0" customHeight="1">
      <c r="AD528" s="5"/>
    </row>
    <row r="529" ht="30.0" customHeight="1">
      <c r="AD529" s="5"/>
    </row>
    <row r="530" ht="30.0" customHeight="1">
      <c r="AD530" s="5"/>
    </row>
    <row r="531" ht="30.0" customHeight="1">
      <c r="AD531" s="5"/>
    </row>
    <row r="532" ht="30.0" customHeight="1">
      <c r="AD532" s="5"/>
    </row>
    <row r="533" ht="30.0" customHeight="1">
      <c r="AD533" s="5"/>
    </row>
    <row r="534" ht="30.0" customHeight="1">
      <c r="AD534" s="5"/>
    </row>
    <row r="535" ht="30.0" customHeight="1">
      <c r="AD535" s="5"/>
    </row>
    <row r="536" ht="30.0" customHeight="1">
      <c r="AD536" s="5"/>
    </row>
    <row r="537" ht="30.0" customHeight="1">
      <c r="AD537" s="5"/>
    </row>
    <row r="538" ht="30.0" customHeight="1">
      <c r="AD538" s="5"/>
    </row>
    <row r="539" ht="30.0" customHeight="1">
      <c r="AD539" s="5"/>
    </row>
    <row r="540" ht="30.0" customHeight="1">
      <c r="AD540" s="5"/>
    </row>
    <row r="541" ht="30.0" customHeight="1">
      <c r="AD541" s="5"/>
    </row>
    <row r="542" ht="30.0" customHeight="1">
      <c r="AD542" s="5"/>
    </row>
    <row r="543" ht="30.0" customHeight="1">
      <c r="AD543" s="5"/>
    </row>
    <row r="544" ht="30.0" customHeight="1">
      <c r="AD544" s="5"/>
    </row>
    <row r="545" ht="30.0" customHeight="1">
      <c r="AD545" s="5"/>
    </row>
    <row r="546" ht="30.0" customHeight="1">
      <c r="AD546" s="5"/>
    </row>
    <row r="547" ht="30.0" customHeight="1">
      <c r="AD547" s="5"/>
    </row>
    <row r="548" ht="30.0" customHeight="1">
      <c r="AD548" s="5"/>
    </row>
    <row r="549" ht="30.0" customHeight="1">
      <c r="AD549" s="5"/>
    </row>
    <row r="550" ht="30.0" customHeight="1">
      <c r="AD550" s="5"/>
    </row>
    <row r="551" ht="30.0" customHeight="1">
      <c r="AD551" s="5"/>
    </row>
    <row r="552" ht="30.0" customHeight="1">
      <c r="AD552" s="5"/>
    </row>
    <row r="553" ht="30.0" customHeight="1">
      <c r="AD553" s="5"/>
    </row>
    <row r="554" ht="30.0" customHeight="1">
      <c r="AD554" s="5"/>
    </row>
    <row r="555" ht="30.0" customHeight="1">
      <c r="AD555" s="5"/>
    </row>
    <row r="556" ht="30.0" customHeight="1">
      <c r="AD556" s="5"/>
    </row>
    <row r="557" ht="30.0" customHeight="1">
      <c r="AD557" s="5"/>
    </row>
    <row r="558" ht="30.0" customHeight="1">
      <c r="AD558" s="5"/>
    </row>
    <row r="559" ht="30.0" customHeight="1">
      <c r="AD559" s="5"/>
    </row>
    <row r="560" ht="30.0" customHeight="1">
      <c r="AD560" s="5"/>
    </row>
    <row r="561" ht="30.0" customHeight="1">
      <c r="AD561" s="5"/>
    </row>
    <row r="562" ht="30.0" customHeight="1">
      <c r="AD562" s="5"/>
    </row>
    <row r="563" ht="30.0" customHeight="1">
      <c r="AD563" s="5"/>
    </row>
    <row r="564" ht="30.0" customHeight="1">
      <c r="AD564" s="5"/>
    </row>
    <row r="565" ht="30.0" customHeight="1">
      <c r="AD565" s="5"/>
    </row>
    <row r="566" ht="30.0" customHeight="1">
      <c r="AD566" s="5"/>
    </row>
    <row r="567" ht="30.0" customHeight="1">
      <c r="AD567" s="5"/>
    </row>
    <row r="568" ht="30.0" customHeight="1">
      <c r="AD568" s="5"/>
    </row>
    <row r="569" ht="30.0" customHeight="1">
      <c r="AD569" s="5"/>
    </row>
    <row r="570" ht="30.0" customHeight="1">
      <c r="AD570" s="5"/>
    </row>
    <row r="571" ht="30.0" customHeight="1">
      <c r="AD571" s="5"/>
    </row>
    <row r="572" ht="30.0" customHeight="1">
      <c r="AD572" s="5"/>
    </row>
    <row r="573" ht="30.0" customHeight="1">
      <c r="AD573" s="5"/>
    </row>
    <row r="574" ht="30.0" customHeight="1">
      <c r="AD574" s="5"/>
    </row>
    <row r="575" ht="30.0" customHeight="1">
      <c r="AD575" s="5"/>
    </row>
    <row r="576" ht="30.0" customHeight="1">
      <c r="AD576" s="5"/>
    </row>
    <row r="577" ht="30.0" customHeight="1">
      <c r="AD577" s="5"/>
    </row>
    <row r="578" ht="30.0" customHeight="1">
      <c r="AD578" s="5"/>
    </row>
    <row r="579" ht="30.0" customHeight="1">
      <c r="AD579" s="5"/>
    </row>
    <row r="580" ht="30.0" customHeight="1">
      <c r="AD580" s="5"/>
    </row>
    <row r="581" ht="30.0" customHeight="1">
      <c r="AD581" s="5"/>
    </row>
    <row r="582" ht="30.0" customHeight="1">
      <c r="AD582" s="5"/>
    </row>
    <row r="583" ht="30.0" customHeight="1">
      <c r="AD583" s="5"/>
    </row>
    <row r="584" ht="30.0" customHeight="1">
      <c r="AD584" s="5"/>
    </row>
    <row r="585" ht="30.0" customHeight="1">
      <c r="AD585" s="5"/>
    </row>
    <row r="586" ht="30.0" customHeight="1">
      <c r="AD586" s="5"/>
    </row>
    <row r="587" ht="30.0" customHeight="1">
      <c r="AD587" s="5"/>
    </row>
    <row r="588" ht="30.0" customHeight="1">
      <c r="AD588" s="5"/>
    </row>
    <row r="589" ht="30.0" customHeight="1">
      <c r="AD589" s="5"/>
    </row>
    <row r="590" ht="30.0" customHeight="1">
      <c r="AD590" s="5"/>
    </row>
    <row r="591" ht="30.0" customHeight="1">
      <c r="AD591" s="5"/>
    </row>
    <row r="592" ht="30.0" customHeight="1">
      <c r="AD592" s="5"/>
    </row>
    <row r="593" ht="30.0" customHeight="1">
      <c r="AD593" s="5"/>
    </row>
    <row r="594" ht="30.0" customHeight="1">
      <c r="AD594" s="5"/>
    </row>
    <row r="595" ht="30.0" customHeight="1">
      <c r="AD595" s="5"/>
    </row>
    <row r="596" ht="30.0" customHeight="1">
      <c r="AD596" s="5"/>
    </row>
    <row r="597" ht="30.0" customHeight="1">
      <c r="AD597" s="5"/>
    </row>
    <row r="598" ht="30.0" customHeight="1">
      <c r="AD598" s="5"/>
    </row>
    <row r="599" ht="30.0" customHeight="1">
      <c r="AD599" s="5"/>
    </row>
    <row r="600" ht="30.0" customHeight="1">
      <c r="AD600" s="5"/>
    </row>
    <row r="601" ht="30.0" customHeight="1">
      <c r="AD601" s="5"/>
    </row>
    <row r="602" ht="30.0" customHeight="1">
      <c r="AD602" s="5"/>
    </row>
    <row r="603" ht="30.0" customHeight="1">
      <c r="AD603" s="5"/>
    </row>
    <row r="604" ht="30.0" customHeight="1">
      <c r="AD604" s="5"/>
    </row>
    <row r="605" ht="30.0" customHeight="1">
      <c r="AD605" s="5"/>
    </row>
    <row r="606" ht="30.0" customHeight="1">
      <c r="AD606" s="5"/>
    </row>
    <row r="607" ht="30.0" customHeight="1">
      <c r="AD607" s="5"/>
    </row>
    <row r="608" ht="30.0" customHeight="1">
      <c r="AD608" s="5"/>
    </row>
    <row r="609" ht="30.0" customHeight="1">
      <c r="AD609" s="5"/>
    </row>
    <row r="610" ht="30.0" customHeight="1">
      <c r="AD610" s="5"/>
    </row>
    <row r="611" ht="30.0" customHeight="1">
      <c r="AD611" s="5"/>
    </row>
    <row r="612" ht="30.0" customHeight="1">
      <c r="AD612" s="5"/>
    </row>
    <row r="613" ht="30.0" customHeight="1">
      <c r="AD613" s="5"/>
    </row>
    <row r="614" ht="30.0" customHeight="1">
      <c r="AD614" s="5"/>
    </row>
    <row r="615" ht="30.0" customHeight="1">
      <c r="AD615" s="5"/>
    </row>
    <row r="616" ht="30.0" customHeight="1">
      <c r="AD616" s="5"/>
    </row>
    <row r="617" ht="30.0" customHeight="1">
      <c r="AD617" s="5"/>
    </row>
    <row r="618" ht="30.0" customHeight="1">
      <c r="AD618" s="5"/>
    </row>
    <row r="619" ht="30.0" customHeight="1">
      <c r="AD619" s="5"/>
    </row>
    <row r="620" ht="30.0" customHeight="1">
      <c r="AD620" s="5"/>
    </row>
    <row r="621" ht="30.0" customHeight="1">
      <c r="AD621" s="5"/>
    </row>
    <row r="622" ht="30.0" customHeight="1">
      <c r="AD622" s="5"/>
    </row>
    <row r="623" ht="30.0" customHeight="1">
      <c r="AD623" s="5"/>
    </row>
    <row r="624" ht="30.0" customHeight="1">
      <c r="AD624" s="5"/>
    </row>
    <row r="625" ht="30.0" customHeight="1">
      <c r="AD625" s="5"/>
    </row>
    <row r="626" ht="30.0" customHeight="1">
      <c r="AD626" s="5"/>
    </row>
    <row r="627" ht="30.0" customHeight="1">
      <c r="AD627" s="5"/>
    </row>
    <row r="628" ht="30.0" customHeight="1">
      <c r="AD628" s="5"/>
    </row>
    <row r="629" ht="30.0" customHeight="1">
      <c r="AD629" s="5"/>
    </row>
    <row r="630" ht="30.0" customHeight="1">
      <c r="AD630" s="5"/>
    </row>
    <row r="631" ht="30.0" customHeight="1">
      <c r="AD631" s="5"/>
    </row>
    <row r="632" ht="30.0" customHeight="1">
      <c r="AD632" s="5"/>
    </row>
    <row r="633" ht="30.0" customHeight="1">
      <c r="AD633" s="5"/>
    </row>
    <row r="634" ht="30.0" customHeight="1">
      <c r="AD634" s="5"/>
    </row>
    <row r="635" ht="30.0" customHeight="1">
      <c r="AD635" s="5"/>
    </row>
    <row r="636" ht="30.0" customHeight="1">
      <c r="AD636" s="5"/>
    </row>
    <row r="637" ht="30.0" customHeight="1">
      <c r="AD637" s="5"/>
    </row>
    <row r="638" ht="30.0" customHeight="1">
      <c r="AD638" s="5"/>
    </row>
    <row r="639" ht="30.0" customHeight="1">
      <c r="AD639" s="5"/>
    </row>
    <row r="640" ht="30.0" customHeight="1">
      <c r="AD640" s="5"/>
    </row>
    <row r="641" ht="30.0" customHeight="1">
      <c r="AD641" s="5"/>
    </row>
    <row r="642" ht="30.0" customHeight="1">
      <c r="AD642" s="5"/>
    </row>
    <row r="643" ht="30.0" customHeight="1">
      <c r="AD643" s="5"/>
    </row>
    <row r="644" ht="30.0" customHeight="1">
      <c r="AD644" s="5"/>
    </row>
    <row r="645" ht="30.0" customHeight="1">
      <c r="AD645" s="5"/>
    </row>
    <row r="646" ht="30.0" customHeight="1">
      <c r="AD646" s="5"/>
    </row>
    <row r="647" ht="30.0" customHeight="1">
      <c r="AD647" s="5"/>
    </row>
    <row r="648" ht="30.0" customHeight="1">
      <c r="AD648" s="5"/>
    </row>
    <row r="649" ht="30.0" customHeight="1">
      <c r="AD649" s="5"/>
    </row>
    <row r="650" ht="30.0" customHeight="1">
      <c r="AD650" s="5"/>
    </row>
    <row r="651" ht="30.0" customHeight="1">
      <c r="AD651" s="5"/>
    </row>
    <row r="652" ht="30.0" customHeight="1">
      <c r="AD652" s="5"/>
    </row>
    <row r="653" ht="30.0" customHeight="1">
      <c r="AD653" s="5"/>
    </row>
    <row r="654" ht="30.0" customHeight="1">
      <c r="AD654" s="5"/>
    </row>
    <row r="655" ht="30.0" customHeight="1">
      <c r="AD655" s="5"/>
    </row>
    <row r="656" ht="30.0" customHeight="1">
      <c r="AD656" s="5"/>
    </row>
    <row r="657" ht="30.0" customHeight="1">
      <c r="AD657" s="5"/>
    </row>
    <row r="658" ht="30.0" customHeight="1">
      <c r="AD658" s="5"/>
    </row>
    <row r="659" ht="30.0" customHeight="1">
      <c r="AD659" s="5"/>
    </row>
    <row r="660" ht="30.0" customHeight="1">
      <c r="AD660" s="5"/>
    </row>
    <row r="661" ht="30.0" customHeight="1">
      <c r="AD661" s="5"/>
    </row>
    <row r="662" ht="30.0" customHeight="1">
      <c r="AD662" s="5"/>
    </row>
    <row r="663" ht="30.0" customHeight="1">
      <c r="AD663" s="5"/>
    </row>
    <row r="664" ht="30.0" customHeight="1">
      <c r="AD664" s="5"/>
    </row>
    <row r="665" ht="30.0" customHeight="1">
      <c r="AD665" s="5"/>
    </row>
    <row r="666" ht="30.0" customHeight="1">
      <c r="AD666" s="5"/>
    </row>
    <row r="667" ht="30.0" customHeight="1">
      <c r="AD667" s="5"/>
    </row>
    <row r="668" ht="30.0" customHeight="1">
      <c r="AD668" s="5"/>
    </row>
    <row r="669" ht="30.0" customHeight="1">
      <c r="AD669" s="5"/>
    </row>
    <row r="670" ht="30.0" customHeight="1">
      <c r="AD670" s="5"/>
    </row>
    <row r="671" ht="30.0" customHeight="1">
      <c r="AD671" s="5"/>
    </row>
    <row r="672" ht="30.0" customHeight="1">
      <c r="AD672" s="5"/>
    </row>
    <row r="673" ht="30.0" customHeight="1">
      <c r="AD673" s="5"/>
    </row>
    <row r="674" ht="30.0" customHeight="1">
      <c r="AD674" s="5"/>
    </row>
    <row r="675" ht="30.0" customHeight="1">
      <c r="AD675" s="5"/>
    </row>
    <row r="676" ht="30.0" customHeight="1">
      <c r="AD676" s="5"/>
    </row>
    <row r="677" ht="30.0" customHeight="1">
      <c r="AD677" s="5"/>
    </row>
    <row r="678" ht="30.0" customHeight="1">
      <c r="AD678" s="5"/>
    </row>
    <row r="679" ht="30.0" customHeight="1">
      <c r="AD679" s="5"/>
    </row>
    <row r="680" ht="30.0" customHeight="1">
      <c r="AD680" s="5"/>
    </row>
    <row r="681" ht="30.0" customHeight="1">
      <c r="AD681" s="5"/>
    </row>
    <row r="682" ht="30.0" customHeight="1">
      <c r="AD682" s="5"/>
    </row>
    <row r="683" ht="30.0" customHeight="1">
      <c r="AD683" s="5"/>
    </row>
    <row r="684" ht="30.0" customHeight="1">
      <c r="AD684" s="5"/>
    </row>
    <row r="685" ht="30.0" customHeight="1">
      <c r="AD685" s="5"/>
    </row>
    <row r="686" ht="30.0" customHeight="1">
      <c r="AD686" s="5"/>
    </row>
    <row r="687" ht="30.0" customHeight="1">
      <c r="AD687" s="5"/>
    </row>
    <row r="688" ht="30.0" customHeight="1">
      <c r="AD688" s="5"/>
    </row>
    <row r="689" ht="30.0" customHeight="1">
      <c r="AD689" s="5"/>
    </row>
    <row r="690" ht="30.0" customHeight="1">
      <c r="AD690" s="5"/>
    </row>
    <row r="691" ht="30.0" customHeight="1">
      <c r="AD691" s="5"/>
    </row>
    <row r="692" ht="30.0" customHeight="1">
      <c r="AD692" s="5"/>
    </row>
    <row r="693" ht="30.0" customHeight="1">
      <c r="AD693" s="5"/>
    </row>
    <row r="694" ht="30.0" customHeight="1">
      <c r="AD694" s="5"/>
    </row>
    <row r="695" ht="30.0" customHeight="1">
      <c r="AD695" s="5"/>
    </row>
    <row r="696" ht="30.0" customHeight="1">
      <c r="AD696" s="5"/>
    </row>
    <row r="697" ht="30.0" customHeight="1">
      <c r="AD697" s="5"/>
    </row>
    <row r="698" ht="30.0" customHeight="1">
      <c r="AD698" s="5"/>
    </row>
    <row r="699" ht="30.0" customHeight="1">
      <c r="AD699" s="5"/>
    </row>
    <row r="700" ht="30.0" customHeight="1">
      <c r="AD700" s="5"/>
    </row>
    <row r="701" ht="30.0" customHeight="1">
      <c r="AD701" s="5"/>
    </row>
    <row r="702" ht="30.0" customHeight="1">
      <c r="AD702" s="5"/>
    </row>
    <row r="703" ht="30.0" customHeight="1">
      <c r="AD703" s="5"/>
    </row>
    <row r="704" ht="30.0" customHeight="1">
      <c r="AD704" s="5"/>
    </row>
    <row r="705" ht="30.0" customHeight="1">
      <c r="AD705" s="5"/>
    </row>
    <row r="706" ht="30.0" customHeight="1">
      <c r="AD706" s="5"/>
    </row>
    <row r="707" ht="30.0" customHeight="1">
      <c r="AD707" s="5"/>
    </row>
    <row r="708" ht="30.0" customHeight="1">
      <c r="AD708" s="5"/>
    </row>
    <row r="709" ht="30.0" customHeight="1">
      <c r="AD709" s="5"/>
    </row>
    <row r="710" ht="30.0" customHeight="1">
      <c r="AD710" s="5"/>
    </row>
    <row r="711" ht="30.0" customHeight="1">
      <c r="AD711" s="5"/>
    </row>
    <row r="712" ht="30.0" customHeight="1">
      <c r="AD712" s="5"/>
    </row>
    <row r="713" ht="30.0" customHeight="1">
      <c r="AD713" s="5"/>
    </row>
    <row r="714" ht="30.0" customHeight="1">
      <c r="AD714" s="5"/>
    </row>
    <row r="715" ht="30.0" customHeight="1">
      <c r="AD715" s="5"/>
    </row>
    <row r="716" ht="30.0" customHeight="1">
      <c r="AD716" s="5"/>
    </row>
    <row r="717" ht="30.0" customHeight="1">
      <c r="AD717" s="5"/>
    </row>
    <row r="718" ht="30.0" customHeight="1">
      <c r="AD718" s="5"/>
    </row>
    <row r="719" ht="30.0" customHeight="1">
      <c r="AD719" s="5"/>
    </row>
    <row r="720" ht="30.0" customHeight="1">
      <c r="AD720" s="5"/>
    </row>
    <row r="721" ht="30.0" customHeight="1">
      <c r="AD721" s="5"/>
    </row>
    <row r="722" ht="30.0" customHeight="1">
      <c r="AD722" s="5"/>
    </row>
    <row r="723" ht="30.0" customHeight="1">
      <c r="AD723" s="5"/>
    </row>
    <row r="724" ht="30.0" customHeight="1">
      <c r="AD724" s="5"/>
    </row>
    <row r="725" ht="30.0" customHeight="1">
      <c r="AD725" s="5"/>
    </row>
    <row r="726" ht="30.0" customHeight="1">
      <c r="AD726" s="5"/>
    </row>
    <row r="727" ht="30.0" customHeight="1">
      <c r="AD727" s="5"/>
    </row>
    <row r="728" ht="30.0" customHeight="1">
      <c r="AD728" s="5"/>
    </row>
    <row r="729" ht="30.0" customHeight="1">
      <c r="AD729" s="5"/>
    </row>
    <row r="730" ht="30.0" customHeight="1">
      <c r="AD730" s="5"/>
    </row>
    <row r="731" ht="30.0" customHeight="1">
      <c r="AD731" s="5"/>
    </row>
    <row r="732" ht="30.0" customHeight="1">
      <c r="AD732" s="5"/>
    </row>
    <row r="733" ht="30.0" customHeight="1">
      <c r="AD733" s="5"/>
    </row>
    <row r="734" ht="30.0" customHeight="1">
      <c r="AD734" s="5"/>
    </row>
    <row r="735" ht="30.0" customHeight="1">
      <c r="AD735" s="5"/>
    </row>
    <row r="736" ht="30.0" customHeight="1">
      <c r="AD736" s="5"/>
    </row>
    <row r="737" ht="30.0" customHeight="1">
      <c r="AD737" s="5"/>
    </row>
    <row r="738" ht="30.0" customHeight="1">
      <c r="AD738" s="5"/>
    </row>
    <row r="739" ht="30.0" customHeight="1">
      <c r="AD739" s="5"/>
    </row>
    <row r="740" ht="30.0" customHeight="1">
      <c r="AD740" s="5"/>
    </row>
    <row r="741" ht="30.0" customHeight="1">
      <c r="AD741" s="5"/>
    </row>
    <row r="742" ht="30.0" customHeight="1">
      <c r="AD742" s="5"/>
    </row>
    <row r="743" ht="30.0" customHeight="1">
      <c r="AD743" s="5"/>
    </row>
    <row r="744" ht="30.0" customHeight="1">
      <c r="AD744" s="5"/>
    </row>
    <row r="745" ht="30.0" customHeight="1">
      <c r="AD745" s="5"/>
    </row>
    <row r="746" ht="30.0" customHeight="1">
      <c r="AD746" s="5"/>
    </row>
    <row r="747" ht="30.0" customHeight="1">
      <c r="AD747" s="5"/>
    </row>
    <row r="748" ht="30.0" customHeight="1">
      <c r="AD748" s="5"/>
    </row>
    <row r="749" ht="30.0" customHeight="1">
      <c r="AD749" s="5"/>
    </row>
    <row r="750" ht="30.0" customHeight="1">
      <c r="AD750" s="5"/>
    </row>
    <row r="751" ht="30.0" customHeight="1">
      <c r="AD751" s="5"/>
    </row>
    <row r="752" ht="30.0" customHeight="1">
      <c r="AD752" s="5"/>
    </row>
    <row r="753" ht="30.0" customHeight="1">
      <c r="AD753" s="5"/>
    </row>
    <row r="754" ht="30.0" customHeight="1">
      <c r="AD754" s="5"/>
    </row>
    <row r="755" ht="30.0" customHeight="1">
      <c r="AD755" s="5"/>
    </row>
    <row r="756" ht="30.0" customHeight="1">
      <c r="AD756" s="5"/>
    </row>
    <row r="757" ht="30.0" customHeight="1">
      <c r="AD757" s="5"/>
    </row>
    <row r="758" ht="30.0" customHeight="1">
      <c r="AD758" s="5"/>
    </row>
    <row r="759" ht="30.0" customHeight="1">
      <c r="AD759" s="5"/>
    </row>
    <row r="760" ht="30.0" customHeight="1">
      <c r="AD760" s="5"/>
    </row>
    <row r="761" ht="30.0" customHeight="1">
      <c r="AD761" s="5"/>
    </row>
    <row r="762" ht="30.0" customHeight="1">
      <c r="AD762" s="5"/>
    </row>
    <row r="763" ht="30.0" customHeight="1">
      <c r="AD763" s="5"/>
    </row>
    <row r="764" ht="30.0" customHeight="1">
      <c r="AD764" s="5"/>
    </row>
    <row r="765" ht="30.0" customHeight="1">
      <c r="AD765" s="5"/>
    </row>
    <row r="766" ht="30.0" customHeight="1">
      <c r="AD766" s="5"/>
    </row>
    <row r="767" ht="30.0" customHeight="1">
      <c r="AD767" s="5"/>
    </row>
    <row r="768" ht="30.0" customHeight="1">
      <c r="AD768" s="5"/>
    </row>
    <row r="769" ht="30.0" customHeight="1">
      <c r="AD769" s="5"/>
    </row>
    <row r="770" ht="30.0" customHeight="1">
      <c r="AD770" s="5"/>
    </row>
    <row r="771" ht="30.0" customHeight="1">
      <c r="AD771" s="5"/>
    </row>
    <row r="772" ht="30.0" customHeight="1">
      <c r="AD772" s="5"/>
    </row>
    <row r="773" ht="30.0" customHeight="1">
      <c r="AD773" s="5"/>
    </row>
    <row r="774" ht="30.0" customHeight="1">
      <c r="AD774" s="5"/>
    </row>
    <row r="775" ht="30.0" customHeight="1">
      <c r="AD775" s="5"/>
    </row>
    <row r="776" ht="30.0" customHeight="1">
      <c r="AD776" s="5"/>
    </row>
    <row r="777" ht="30.0" customHeight="1">
      <c r="AD777" s="5"/>
    </row>
    <row r="778" ht="30.0" customHeight="1">
      <c r="AD778" s="5"/>
    </row>
    <row r="779" ht="30.0" customHeight="1">
      <c r="AD779" s="5"/>
    </row>
    <row r="780" ht="30.0" customHeight="1">
      <c r="AD780" s="5"/>
    </row>
    <row r="781" ht="30.0" customHeight="1">
      <c r="AD781" s="5"/>
    </row>
    <row r="782" ht="30.0" customHeight="1">
      <c r="AD782" s="5"/>
    </row>
    <row r="783" ht="30.0" customHeight="1">
      <c r="AD783" s="5"/>
    </row>
    <row r="784" ht="30.0" customHeight="1">
      <c r="AD784" s="5"/>
    </row>
    <row r="785" ht="30.0" customHeight="1">
      <c r="AD785" s="5"/>
    </row>
    <row r="786" ht="30.0" customHeight="1">
      <c r="AD786" s="5"/>
    </row>
    <row r="787" ht="30.0" customHeight="1">
      <c r="AD787" s="5"/>
    </row>
    <row r="788" ht="30.0" customHeight="1">
      <c r="AD788" s="5"/>
    </row>
    <row r="789" ht="30.0" customHeight="1">
      <c r="AD789" s="5"/>
    </row>
    <row r="790" ht="30.0" customHeight="1">
      <c r="AD790" s="5"/>
    </row>
    <row r="791" ht="30.0" customHeight="1">
      <c r="AD791" s="5"/>
    </row>
    <row r="792" ht="30.0" customHeight="1">
      <c r="AD792" s="5"/>
    </row>
    <row r="793" ht="30.0" customHeight="1">
      <c r="AD793" s="5"/>
    </row>
    <row r="794" ht="30.0" customHeight="1">
      <c r="AD794" s="5"/>
    </row>
    <row r="795" ht="30.0" customHeight="1">
      <c r="AD795" s="5"/>
    </row>
    <row r="796" ht="30.0" customHeight="1">
      <c r="AD796" s="5"/>
    </row>
    <row r="797" ht="30.0" customHeight="1">
      <c r="AD797" s="5"/>
    </row>
    <row r="798" ht="30.0" customHeight="1">
      <c r="AD798" s="5"/>
    </row>
    <row r="799" ht="30.0" customHeight="1">
      <c r="AD799" s="5"/>
    </row>
    <row r="800" ht="30.0" customHeight="1">
      <c r="AD800" s="5"/>
    </row>
    <row r="801" ht="30.0" customHeight="1">
      <c r="AD801" s="5"/>
    </row>
    <row r="802" ht="30.0" customHeight="1">
      <c r="AD802" s="5"/>
    </row>
    <row r="803" ht="30.0" customHeight="1">
      <c r="AD803" s="5"/>
    </row>
    <row r="804" ht="30.0" customHeight="1">
      <c r="AD804" s="5"/>
    </row>
    <row r="805" ht="30.0" customHeight="1">
      <c r="AD805" s="5"/>
    </row>
    <row r="806" ht="30.0" customHeight="1">
      <c r="AD806" s="5"/>
    </row>
    <row r="807" ht="30.0" customHeight="1">
      <c r="AD807" s="5"/>
    </row>
    <row r="808" ht="30.0" customHeight="1">
      <c r="AD808" s="5"/>
    </row>
    <row r="809" ht="30.0" customHeight="1">
      <c r="AD809" s="5"/>
    </row>
    <row r="810" ht="30.0" customHeight="1">
      <c r="AD810" s="5"/>
    </row>
    <row r="811" ht="30.0" customHeight="1">
      <c r="AD811" s="5"/>
    </row>
    <row r="812" ht="30.0" customHeight="1">
      <c r="AD812" s="5"/>
    </row>
    <row r="813" ht="30.0" customHeight="1">
      <c r="AD813" s="5"/>
    </row>
    <row r="814" ht="30.0" customHeight="1">
      <c r="AD814" s="5"/>
    </row>
    <row r="815" ht="30.0" customHeight="1">
      <c r="AD815" s="5"/>
    </row>
    <row r="816" ht="30.0" customHeight="1">
      <c r="AD816" s="5"/>
    </row>
    <row r="817" ht="30.0" customHeight="1">
      <c r="AD817" s="5"/>
    </row>
    <row r="818" ht="30.0" customHeight="1">
      <c r="AD818" s="5"/>
    </row>
    <row r="819" ht="30.0" customHeight="1">
      <c r="AD819" s="5"/>
    </row>
    <row r="820" ht="30.0" customHeight="1">
      <c r="AD820" s="5"/>
    </row>
    <row r="821" ht="30.0" customHeight="1">
      <c r="AD821" s="5"/>
    </row>
    <row r="822" ht="30.0" customHeight="1">
      <c r="AD822" s="5"/>
    </row>
    <row r="823" ht="30.0" customHeight="1">
      <c r="AD823" s="5"/>
    </row>
    <row r="824" ht="30.0" customHeight="1">
      <c r="AD824" s="5"/>
    </row>
    <row r="825" ht="30.0" customHeight="1">
      <c r="AD825" s="5"/>
    </row>
    <row r="826" ht="30.0" customHeight="1">
      <c r="AD826" s="5"/>
    </row>
    <row r="827" ht="30.0" customHeight="1">
      <c r="AD827" s="5"/>
    </row>
    <row r="828" ht="30.0" customHeight="1">
      <c r="AD828" s="5"/>
    </row>
    <row r="829" ht="30.0" customHeight="1">
      <c r="AD829" s="5"/>
    </row>
    <row r="830" ht="30.0" customHeight="1">
      <c r="AD830" s="5"/>
    </row>
    <row r="831" ht="30.0" customHeight="1">
      <c r="AD831" s="5"/>
    </row>
    <row r="832" ht="30.0" customHeight="1">
      <c r="AD832" s="5"/>
    </row>
    <row r="833" ht="30.0" customHeight="1">
      <c r="AD833" s="5"/>
    </row>
    <row r="834" ht="30.0" customHeight="1">
      <c r="AD834" s="5"/>
    </row>
    <row r="835" ht="30.0" customHeight="1">
      <c r="AD835" s="5"/>
    </row>
    <row r="836" ht="30.0" customHeight="1">
      <c r="AD836" s="5"/>
    </row>
    <row r="837" ht="30.0" customHeight="1">
      <c r="AD837" s="5"/>
    </row>
    <row r="838" ht="30.0" customHeight="1">
      <c r="AD838" s="5"/>
    </row>
    <row r="839" ht="30.0" customHeight="1">
      <c r="AD839" s="5"/>
    </row>
    <row r="840" ht="30.0" customHeight="1">
      <c r="AD840" s="5"/>
    </row>
    <row r="841" ht="30.0" customHeight="1">
      <c r="AD841" s="5"/>
    </row>
    <row r="842" ht="30.0" customHeight="1">
      <c r="AD842" s="5"/>
    </row>
    <row r="843" ht="30.0" customHeight="1">
      <c r="AD843" s="5"/>
    </row>
    <row r="844" ht="30.0" customHeight="1">
      <c r="AD844" s="5"/>
    </row>
    <row r="845" ht="30.0" customHeight="1">
      <c r="AD845" s="5"/>
    </row>
    <row r="846" ht="30.0" customHeight="1">
      <c r="AD846" s="5"/>
    </row>
    <row r="847" ht="30.0" customHeight="1">
      <c r="AD847" s="5"/>
    </row>
    <row r="848" ht="30.0" customHeight="1">
      <c r="AD848" s="5"/>
    </row>
    <row r="849" ht="30.0" customHeight="1">
      <c r="AD849" s="5"/>
    </row>
    <row r="850" ht="30.0" customHeight="1">
      <c r="AD850" s="5"/>
    </row>
    <row r="851" ht="30.0" customHeight="1">
      <c r="AD851" s="5"/>
    </row>
    <row r="852" ht="30.0" customHeight="1">
      <c r="AD852" s="5"/>
    </row>
    <row r="853" ht="30.0" customHeight="1">
      <c r="AD853" s="5"/>
    </row>
    <row r="854" ht="30.0" customHeight="1">
      <c r="AD854" s="5"/>
    </row>
    <row r="855" ht="30.0" customHeight="1">
      <c r="AD855" s="5"/>
    </row>
    <row r="856" ht="30.0" customHeight="1">
      <c r="AD856" s="5"/>
    </row>
    <row r="857" ht="30.0" customHeight="1">
      <c r="AD857" s="5"/>
    </row>
    <row r="858" ht="30.0" customHeight="1">
      <c r="AD858" s="5"/>
    </row>
    <row r="859" ht="30.0" customHeight="1">
      <c r="AD859" s="5"/>
    </row>
    <row r="860" ht="30.0" customHeight="1">
      <c r="AD860" s="5"/>
    </row>
    <row r="861" ht="30.0" customHeight="1">
      <c r="AD861" s="5"/>
    </row>
    <row r="862" ht="30.0" customHeight="1">
      <c r="AD862" s="5"/>
    </row>
    <row r="863" ht="30.0" customHeight="1">
      <c r="AD863" s="5"/>
    </row>
    <row r="864" ht="30.0" customHeight="1">
      <c r="AD864" s="5"/>
    </row>
    <row r="865" ht="30.0" customHeight="1">
      <c r="AD865" s="5"/>
    </row>
    <row r="866" ht="30.0" customHeight="1">
      <c r="AD866" s="5"/>
    </row>
    <row r="867" ht="30.0" customHeight="1">
      <c r="AD867" s="5"/>
    </row>
    <row r="868" ht="30.0" customHeight="1">
      <c r="AD868" s="5"/>
    </row>
    <row r="869" ht="30.0" customHeight="1">
      <c r="AD869" s="5"/>
    </row>
    <row r="870" ht="30.0" customHeight="1">
      <c r="AD870" s="5"/>
    </row>
    <row r="871" ht="30.0" customHeight="1">
      <c r="AD871" s="5"/>
    </row>
    <row r="872" ht="30.0" customHeight="1">
      <c r="AD872" s="5"/>
    </row>
    <row r="873" ht="30.0" customHeight="1">
      <c r="AD873" s="5"/>
    </row>
    <row r="874" ht="30.0" customHeight="1">
      <c r="AD874" s="5"/>
    </row>
    <row r="875" ht="30.0" customHeight="1">
      <c r="AD875" s="5"/>
    </row>
    <row r="876" ht="30.0" customHeight="1">
      <c r="AD876" s="5"/>
    </row>
    <row r="877" ht="30.0" customHeight="1">
      <c r="AD877" s="5"/>
    </row>
    <row r="878" ht="30.0" customHeight="1">
      <c r="AD878" s="5"/>
    </row>
    <row r="879" ht="30.0" customHeight="1">
      <c r="AD879" s="5"/>
    </row>
    <row r="880" ht="30.0" customHeight="1">
      <c r="AD880" s="5"/>
    </row>
    <row r="881" ht="30.0" customHeight="1">
      <c r="AD881" s="5"/>
    </row>
    <row r="882" ht="30.0" customHeight="1">
      <c r="AD882" s="5"/>
    </row>
    <row r="883" ht="30.0" customHeight="1">
      <c r="AD883" s="5"/>
    </row>
    <row r="884" ht="30.0" customHeight="1">
      <c r="AD884" s="5"/>
    </row>
    <row r="885" ht="30.0" customHeight="1">
      <c r="AD885" s="5"/>
    </row>
    <row r="886" ht="30.0" customHeight="1">
      <c r="AD886" s="5"/>
    </row>
    <row r="887" ht="30.0" customHeight="1">
      <c r="AD887" s="5"/>
    </row>
    <row r="888" ht="30.0" customHeight="1">
      <c r="AD888" s="5"/>
    </row>
    <row r="889" ht="30.0" customHeight="1">
      <c r="AD889" s="5"/>
    </row>
    <row r="890" ht="30.0" customHeight="1">
      <c r="AD890" s="5"/>
    </row>
    <row r="891" ht="30.0" customHeight="1">
      <c r="AD891" s="5"/>
    </row>
    <row r="892" ht="30.0" customHeight="1">
      <c r="AD892" s="5"/>
    </row>
    <row r="893" ht="30.0" customHeight="1">
      <c r="AD893" s="5"/>
    </row>
    <row r="894" ht="30.0" customHeight="1">
      <c r="AD894" s="5"/>
    </row>
    <row r="895" ht="30.0" customHeight="1">
      <c r="AD895" s="5"/>
    </row>
    <row r="896" ht="30.0" customHeight="1">
      <c r="AD896" s="5"/>
    </row>
    <row r="897" ht="30.0" customHeight="1">
      <c r="AD897" s="5"/>
    </row>
    <row r="898" ht="30.0" customHeight="1">
      <c r="AD898" s="5"/>
    </row>
    <row r="899" ht="30.0" customHeight="1">
      <c r="AD899" s="5"/>
    </row>
    <row r="900" ht="30.0" customHeight="1">
      <c r="AD900" s="5"/>
    </row>
    <row r="901" ht="30.0" customHeight="1">
      <c r="AD901" s="5"/>
    </row>
    <row r="902" ht="30.0" customHeight="1">
      <c r="AD902" s="5"/>
    </row>
    <row r="903" ht="30.0" customHeight="1">
      <c r="AD903" s="5"/>
    </row>
    <row r="904" ht="30.0" customHeight="1">
      <c r="AD904" s="5"/>
    </row>
    <row r="905" ht="30.0" customHeight="1">
      <c r="AD905" s="5"/>
    </row>
    <row r="906" ht="30.0" customHeight="1">
      <c r="AD906" s="5"/>
    </row>
    <row r="907" ht="30.0" customHeight="1">
      <c r="AD907" s="5"/>
    </row>
    <row r="908" ht="30.0" customHeight="1">
      <c r="AD908" s="5"/>
    </row>
    <row r="909" ht="30.0" customHeight="1">
      <c r="AD909" s="5"/>
    </row>
    <row r="910" ht="30.0" customHeight="1">
      <c r="AD910" s="5"/>
    </row>
    <row r="911" ht="30.0" customHeight="1">
      <c r="AD911" s="5"/>
    </row>
    <row r="912" ht="30.0" customHeight="1">
      <c r="AD912" s="5"/>
    </row>
    <row r="913" ht="30.0" customHeight="1">
      <c r="AD913" s="5"/>
    </row>
    <row r="914" ht="30.0" customHeight="1">
      <c r="AD914" s="5"/>
    </row>
    <row r="915" ht="30.0" customHeight="1">
      <c r="AD915" s="5"/>
    </row>
    <row r="916" ht="30.0" customHeight="1">
      <c r="AD916" s="5"/>
    </row>
    <row r="917" ht="30.0" customHeight="1">
      <c r="AD917" s="5"/>
    </row>
    <row r="918" ht="30.0" customHeight="1">
      <c r="AD918" s="5"/>
    </row>
    <row r="919" ht="30.0" customHeight="1">
      <c r="AD919" s="5"/>
    </row>
    <row r="920" ht="30.0" customHeight="1">
      <c r="AD920" s="5"/>
    </row>
    <row r="921" ht="30.0" customHeight="1">
      <c r="AD921" s="5"/>
    </row>
    <row r="922" ht="30.0" customHeight="1">
      <c r="AD922" s="5"/>
    </row>
    <row r="923" ht="30.0" customHeight="1">
      <c r="AD923" s="5"/>
    </row>
    <row r="924" ht="30.0" customHeight="1">
      <c r="AD924" s="5"/>
    </row>
    <row r="925" ht="30.0" customHeight="1">
      <c r="AD925" s="5"/>
    </row>
    <row r="926" ht="30.0" customHeight="1">
      <c r="AD926" s="5"/>
    </row>
    <row r="927" ht="30.0" customHeight="1">
      <c r="AD927" s="5"/>
    </row>
    <row r="928" ht="30.0" customHeight="1">
      <c r="AD928" s="5"/>
    </row>
    <row r="929" ht="30.0" customHeight="1">
      <c r="AD929" s="5"/>
    </row>
    <row r="930" ht="30.0" customHeight="1">
      <c r="AD930" s="5"/>
    </row>
    <row r="931" ht="30.0" customHeight="1">
      <c r="AD931" s="5"/>
    </row>
    <row r="932" ht="30.0" customHeight="1">
      <c r="AD932" s="5"/>
    </row>
    <row r="933" ht="30.0" customHeight="1">
      <c r="AD933" s="5"/>
    </row>
    <row r="934" ht="30.0" customHeight="1">
      <c r="AD934" s="5"/>
    </row>
    <row r="935" ht="30.0" customHeight="1">
      <c r="AD935" s="5"/>
    </row>
    <row r="936" ht="30.0" customHeight="1">
      <c r="AD936" s="5"/>
    </row>
    <row r="937" ht="30.0" customHeight="1">
      <c r="AD937" s="5"/>
    </row>
    <row r="938" ht="30.0" customHeight="1">
      <c r="AD938" s="5"/>
    </row>
    <row r="939" ht="30.0" customHeight="1">
      <c r="AD939" s="5"/>
    </row>
    <row r="940" ht="30.0" customHeight="1">
      <c r="AD940" s="5"/>
    </row>
    <row r="941" ht="30.0" customHeight="1">
      <c r="AD941" s="5"/>
    </row>
    <row r="942" ht="30.0" customHeight="1">
      <c r="AD942" s="5"/>
    </row>
    <row r="943" ht="30.0" customHeight="1">
      <c r="AD943" s="5"/>
    </row>
    <row r="944" ht="30.0" customHeight="1">
      <c r="AD944" s="5"/>
    </row>
    <row r="945" ht="30.0" customHeight="1">
      <c r="AD945" s="5"/>
    </row>
    <row r="946" ht="30.0" customHeight="1">
      <c r="AD946" s="5"/>
    </row>
    <row r="947" ht="30.0" customHeight="1">
      <c r="AD947" s="5"/>
    </row>
    <row r="948" ht="30.0" customHeight="1">
      <c r="AD948" s="5"/>
    </row>
    <row r="949" ht="30.0" customHeight="1">
      <c r="AD949" s="5"/>
    </row>
    <row r="950" ht="30.0" customHeight="1">
      <c r="AD950" s="5"/>
    </row>
    <row r="951" ht="30.0" customHeight="1">
      <c r="AD951" s="5"/>
    </row>
    <row r="952" ht="30.0" customHeight="1">
      <c r="AD952" s="5"/>
    </row>
    <row r="953" ht="30.0" customHeight="1">
      <c r="AD953" s="5"/>
    </row>
    <row r="954" ht="30.0" customHeight="1">
      <c r="AD954" s="5"/>
    </row>
    <row r="955" ht="30.0" customHeight="1">
      <c r="AD955" s="5"/>
    </row>
    <row r="956" ht="30.0" customHeight="1">
      <c r="AD956" s="5"/>
    </row>
    <row r="957" ht="30.0" customHeight="1">
      <c r="AD957" s="5"/>
    </row>
    <row r="958" ht="30.0" customHeight="1">
      <c r="AD958" s="5"/>
    </row>
    <row r="959" ht="30.0" customHeight="1">
      <c r="AD959" s="5"/>
    </row>
    <row r="960" ht="30.0" customHeight="1">
      <c r="AD960" s="5"/>
    </row>
    <row r="961" ht="30.0" customHeight="1">
      <c r="AD961" s="5"/>
    </row>
    <row r="962" ht="30.0" customHeight="1">
      <c r="AD962" s="5"/>
    </row>
    <row r="963" ht="30.0" customHeight="1">
      <c r="AD963" s="5"/>
    </row>
    <row r="964" ht="30.0" customHeight="1">
      <c r="AD964" s="5"/>
    </row>
    <row r="965" ht="30.0" customHeight="1">
      <c r="AD965" s="5"/>
    </row>
    <row r="966" ht="30.0" customHeight="1">
      <c r="AD966" s="5"/>
    </row>
    <row r="967" ht="30.0" customHeight="1">
      <c r="AD967" s="5"/>
    </row>
    <row r="968" ht="30.0" customHeight="1">
      <c r="AD968" s="5"/>
    </row>
    <row r="969" ht="30.0" customHeight="1">
      <c r="AD969" s="5"/>
    </row>
    <row r="970" ht="30.0" customHeight="1">
      <c r="AD970" s="5"/>
    </row>
    <row r="971" ht="30.0" customHeight="1">
      <c r="AD971" s="5"/>
    </row>
    <row r="972" ht="30.0" customHeight="1">
      <c r="AD972" s="5"/>
    </row>
    <row r="973" ht="30.0" customHeight="1">
      <c r="AD973" s="5"/>
    </row>
    <row r="974" ht="30.0" customHeight="1">
      <c r="AD974" s="5"/>
    </row>
    <row r="975" ht="30.0" customHeight="1">
      <c r="AD975" s="5"/>
    </row>
    <row r="976" ht="30.0" customHeight="1">
      <c r="AD976" s="5"/>
    </row>
    <row r="977" ht="30.0" customHeight="1">
      <c r="AD977" s="5"/>
    </row>
    <row r="978" ht="30.0" customHeight="1">
      <c r="AD978" s="5"/>
    </row>
    <row r="979" ht="30.0" customHeight="1">
      <c r="AD979" s="5"/>
    </row>
    <row r="980" ht="30.0" customHeight="1">
      <c r="AD980" s="5"/>
    </row>
    <row r="981" ht="30.0" customHeight="1">
      <c r="AD981" s="5"/>
    </row>
    <row r="982" ht="30.0" customHeight="1">
      <c r="AD982" s="5"/>
    </row>
    <row r="983" ht="30.0" customHeight="1">
      <c r="AD983" s="5"/>
    </row>
    <row r="984" ht="30.0" customHeight="1">
      <c r="AD984" s="5"/>
    </row>
    <row r="985" ht="30.0" customHeight="1">
      <c r="AD985" s="5"/>
    </row>
    <row r="986" ht="30.0" customHeight="1">
      <c r="AD986" s="5"/>
    </row>
    <row r="987" ht="30.0" customHeight="1">
      <c r="AD987" s="5"/>
    </row>
    <row r="988" ht="30.0" customHeight="1">
      <c r="AD988" s="5"/>
    </row>
    <row r="989" ht="30.0" customHeight="1">
      <c r="AD989" s="5"/>
    </row>
    <row r="990" ht="30.0" customHeight="1">
      <c r="AD990" s="5"/>
    </row>
    <row r="991" ht="30.0" customHeight="1">
      <c r="AD991" s="5"/>
    </row>
    <row r="992" ht="30.0" customHeight="1">
      <c r="AD992" s="5"/>
    </row>
    <row r="993" ht="30.0" customHeight="1">
      <c r="AD993" s="5"/>
    </row>
    <row r="994" ht="30.0" customHeight="1">
      <c r="AD994" s="5"/>
    </row>
    <row r="995" ht="30.0" customHeight="1">
      <c r="AD995" s="5"/>
    </row>
    <row r="996" ht="30.0" customHeight="1">
      <c r="AD996" s="5"/>
    </row>
    <row r="997" ht="30.0" customHeight="1">
      <c r="AD997" s="5"/>
    </row>
    <row r="998" ht="30.0" customHeight="1">
      <c r="AD998" s="5"/>
    </row>
    <row r="999" ht="30.0" customHeight="1">
      <c r="AD999" s="5"/>
    </row>
    <row r="1000" ht="30.0" customHeight="1">
      <c r="AD1000" s="5"/>
    </row>
    <row r="1001" ht="30.0" customHeight="1">
      <c r="AD1001" s="5"/>
    </row>
    <row r="1002" ht="30.0" customHeight="1">
      <c r="AD1002" s="5"/>
    </row>
    <row r="1003" ht="30.0" customHeight="1">
      <c r="AD1003" s="5"/>
    </row>
    <row r="1004" ht="30.0" customHeight="1">
      <c r="AD1004" s="5"/>
    </row>
    <row r="1005" ht="30.0" customHeight="1">
      <c r="AD1005" s="5"/>
    </row>
    <row r="1006" ht="30.0" customHeight="1">
      <c r="AD1006" s="5"/>
    </row>
    <row r="1007" ht="30.0" customHeight="1">
      <c r="AD1007" s="5"/>
    </row>
    <row r="1008" ht="30.0" customHeight="1">
      <c r="AD1008" s="5"/>
    </row>
    <row r="1009" ht="30.0" customHeight="1">
      <c r="AD1009" s="5"/>
    </row>
    <row r="1010" ht="30.0" customHeight="1">
      <c r="AD1010" s="5"/>
    </row>
    <row r="1011" ht="30.0" customHeight="1">
      <c r="AD1011" s="5"/>
    </row>
    <row r="1012" ht="30.0" customHeight="1">
      <c r="AD1012" s="5"/>
    </row>
    <row r="1013" ht="30.0" customHeight="1">
      <c r="AD1013" s="5"/>
    </row>
    <row r="1014" ht="30.0" customHeight="1">
      <c r="AD1014" s="5"/>
    </row>
    <row r="1015" ht="30.0" customHeight="1">
      <c r="AD1015" s="5"/>
    </row>
    <row r="1016" ht="30.0" customHeight="1">
      <c r="AD1016" s="5"/>
    </row>
    <row r="1017" ht="30.0" customHeight="1">
      <c r="AD1017" s="5"/>
    </row>
    <row r="1018" ht="30.0" customHeight="1">
      <c r="AD1018" s="5"/>
    </row>
    <row r="1019" ht="30.0" customHeight="1">
      <c r="AD1019" s="5"/>
    </row>
    <row r="1020" ht="30.0" customHeight="1">
      <c r="AD1020" s="5"/>
    </row>
    <row r="1021" ht="30.0" customHeight="1">
      <c r="AD1021" s="5"/>
    </row>
    <row r="1022" ht="30.0" customHeight="1">
      <c r="AD1022" s="5"/>
    </row>
    <row r="1023" ht="30.0" customHeight="1">
      <c r="AD1023" s="5"/>
    </row>
    <row r="1024" ht="30.0" customHeight="1">
      <c r="AD1024" s="5"/>
    </row>
    <row r="1025" ht="30.0" customHeight="1">
      <c r="AD1025" s="5"/>
    </row>
    <row r="1026" ht="30.0" customHeight="1">
      <c r="AD1026" s="5"/>
    </row>
    <row r="1027" ht="30.0" customHeight="1">
      <c r="AD1027" s="5"/>
    </row>
    <row r="1028" ht="30.0" customHeight="1">
      <c r="AD1028" s="5"/>
    </row>
    <row r="1029" ht="30.0" customHeight="1">
      <c r="AD1029" s="5"/>
    </row>
    <row r="1030" ht="30.0" customHeight="1">
      <c r="AD1030" s="5"/>
    </row>
    <row r="1031" ht="30.0" customHeight="1">
      <c r="AD1031" s="5"/>
    </row>
    <row r="1032" ht="30.0" customHeight="1">
      <c r="AD1032" s="5"/>
    </row>
    <row r="1033" ht="30.0" customHeight="1">
      <c r="AD1033" s="5"/>
    </row>
    <row r="1034" ht="30.0" customHeight="1">
      <c r="AD1034" s="5"/>
    </row>
    <row r="1035" ht="30.0" customHeight="1">
      <c r="AD1035" s="5"/>
    </row>
    <row r="1036" ht="30.0" customHeight="1">
      <c r="AD1036" s="5"/>
    </row>
    <row r="1037" ht="30.0" customHeight="1">
      <c r="AD1037" s="5"/>
    </row>
    <row r="1038" ht="30.0" customHeight="1">
      <c r="AD1038" s="5"/>
    </row>
    <row r="1039" ht="30.0" customHeight="1">
      <c r="AD1039" s="5"/>
    </row>
    <row r="1040" ht="30.0" customHeight="1">
      <c r="AD1040" s="5"/>
    </row>
    <row r="1041" ht="30.0" customHeight="1">
      <c r="AD1041" s="5"/>
    </row>
    <row r="1042" ht="30.0" customHeight="1">
      <c r="AD1042" s="5"/>
    </row>
    <row r="1043" ht="30.0" customHeight="1">
      <c r="AD1043" s="5"/>
    </row>
    <row r="1044" ht="30.0" customHeight="1">
      <c r="AD1044" s="5"/>
    </row>
    <row r="1045" ht="30.0" customHeight="1">
      <c r="AD1045" s="5"/>
    </row>
    <row r="1046" ht="30.0" customHeight="1">
      <c r="AD1046" s="5"/>
    </row>
    <row r="1047" ht="30.0" customHeight="1">
      <c r="AD1047" s="5"/>
    </row>
    <row r="1048" ht="30.0" customHeight="1">
      <c r="AD1048" s="5"/>
    </row>
    <row r="1049" ht="30.0" customHeight="1">
      <c r="AD1049" s="5"/>
    </row>
    <row r="1050" ht="30.0" customHeight="1">
      <c r="AD1050" s="5"/>
    </row>
    <row r="1051" ht="30.0" customHeight="1">
      <c r="AD1051" s="5"/>
    </row>
    <row r="1052" ht="30.0" customHeight="1">
      <c r="AD1052" s="5"/>
    </row>
    <row r="1053" ht="30.0" customHeight="1">
      <c r="AD1053" s="5"/>
    </row>
    <row r="1054" ht="30.0" customHeight="1">
      <c r="AD1054" s="5"/>
    </row>
    <row r="1055" ht="30.0" customHeight="1">
      <c r="AD1055" s="5"/>
    </row>
    <row r="1056" ht="30.0" customHeight="1">
      <c r="AD1056" s="5"/>
    </row>
    <row r="1057" ht="30.0" customHeight="1">
      <c r="AD1057" s="5"/>
    </row>
    <row r="1058" ht="30.0" customHeight="1">
      <c r="AD1058" s="5"/>
    </row>
    <row r="1059" ht="30.0" customHeight="1">
      <c r="AD1059" s="5"/>
    </row>
    <row r="1060" ht="30.0" customHeight="1">
      <c r="AD1060" s="5"/>
    </row>
    <row r="1061" ht="30.0" customHeight="1">
      <c r="AD1061" s="5"/>
    </row>
    <row r="1062" ht="30.0" customHeight="1">
      <c r="AD1062" s="5"/>
    </row>
    <row r="1063" ht="30.0" customHeight="1">
      <c r="AD1063" s="5"/>
    </row>
    <row r="1064" ht="30.0" customHeight="1">
      <c r="AD1064" s="5"/>
    </row>
    <row r="1065" ht="30.0" customHeight="1">
      <c r="AD1065" s="5"/>
    </row>
    <row r="1066" ht="30.0" customHeight="1">
      <c r="AD1066" s="5"/>
    </row>
    <row r="1067" ht="30.0" customHeight="1">
      <c r="AD1067" s="5"/>
    </row>
    <row r="1068" ht="30.0" customHeight="1">
      <c r="AD1068" s="5"/>
    </row>
  </sheetData>
  <mergeCells count="16">
    <mergeCell ref="B1:X1"/>
    <mergeCell ref="D2:F2"/>
    <mergeCell ref="H2:J2"/>
    <mergeCell ref="L2:N2"/>
    <mergeCell ref="P2:S2"/>
    <mergeCell ref="U2:X2"/>
    <mergeCell ref="C4:AC4"/>
    <mergeCell ref="C210:AC210"/>
    <mergeCell ref="C220:AC220"/>
    <mergeCell ref="C10:AC10"/>
    <mergeCell ref="C44:AC44"/>
    <mergeCell ref="C78:AC78"/>
    <mergeCell ref="C115:AC115"/>
    <mergeCell ref="C144:AC144"/>
    <mergeCell ref="C174:AC174"/>
    <mergeCell ref="C195:AC195"/>
  </mergeCells>
  <conditionalFormatting sqref="C7:AC7 C13:C15 D13:F13 L13:L14 M13:N13 M15 D16 F16 K16 E17:E18 L17 N17 D18 M18:M20 F19 L21 D22 E23:F23 M23 L24 D25:D27 F25:F26 K25 R25 N26 C28 F28 F31:F34 K31 R31 C32 E32 D33 N33:N38 Q33:Q38 X33:X36 Y33 K34 Y35:Y38 M36 X38 L47 C48 E48 F49 K49 M49 D50 L51 N51 D52 E52:E53 L53 N53 F54 C55 E55 N55 C59 L59 D60:D61 F61:F62 N61:N63 F64 C65 N65 D66:D69 F67 N69 F81:F83 C82 D83 D85 F85 D87 L91:L92 L95 D99 C100 D101 J101 R101 L103 D104 C105:C106 J107 C118 L118:L121 D119 C121 F121 C123 L123 R123:R124 D124 J124:J125 D127 F127 R127 D133 R133:R134 C135 J136 R137:R138 C147 F147 L147:L149 C149 D151 F151 R151 L153 L155:L157 R155 D156:D157 F157 R157 C163 J163 L163 C165 F165 J165 D166:D167 R167 C177 R177 D178:D180 R179:R180 C182 R182 C184:C185 L184:L185 J185 C187 L188 C198:C199 L200:L204 C201 C203:C204 D213 R213">
    <cfRule type="expression" dxfId="5" priority="1" stopIfTrue="1">
      <formula>C7=""</formula>
    </cfRule>
  </conditionalFormatting>
  <conditionalFormatting sqref="K7 N7 R7 T7 C13:C15 D13:F13 L13:L14 M13:N13 M15 D16 F16 K16 E17:E18 L17 N17 D18 M18:M20 F19 L21 D22 E23:F23 M23 L24 D25:D27 F25:F26 K25 R25 N26 C28 F28 F31:F38 K31 R31 C32:C38 E32:E38 D33:D38 G33:G34 H33:J38 L33:L38 M33 N33:Q38 S33:S38 T33 U33:W38 X33:X36 Y33 Z33:Z38 AA33 AB33:AC38 K34:K38 M35:M38 R35:R38 T35:T36 Y35:Y38 AA35 G36:G38 AA37 T38 X38 L47 C48 E48 F49 K49 M49 D50 L51 N51 D52 E52:E53 L53 N53 F54 C55 E55 N55 C59 L59 D60:D61 F61:F62 N61:N63 F64 C65 N65 D66:D69 F67 N69 F81:F83 C82 D83 D85 F85 D87 L91:L92 L95 D99 C100 D101 J101 R101 L103 D104 C105:C106 J107 C118 L118:L121 D119 C121 F121 C123 L123 R123:R124 D124 J124:J125 D127 F127 R127 D133 R133:R134 C135 J136 R137:R138 C147 F147 L147:L149 C149 D151 F151 R151 L153 L155:L157 R155 D156:D157 F157 R157 C163 J163 L163 C165 F165 J165 D166:D167 R167 C177 R177 D178:D180 R179:R180 C182 R182 C184:C185 L184:L185 J185 C187 L188 C198:C199 L200:L204 C201 C203:C204 D213 R213">
    <cfRule type="expression" dxfId="5" priority="2" stopIfTrue="1">
      <formula>#REF!=""</formula>
    </cfRule>
  </conditionalFormatting>
  <conditionalFormatting sqref="C108:G112 J108:K112 M108:N112 P108:P112 Q108 R108:T112 U108 W108:W112 Y108:AC112 H109:H112 O109:O112 V109:V112 Q110:Q112 U110:U112 X206:X207">
    <cfRule type="expression" dxfId="5" priority="3" stopIfTrue="1">
      <formula>#REF!=""</formula>
    </cfRule>
  </conditionalFormatting>
  <conditionalFormatting sqref="C138:K141 N138:S141 U138:X141 Z138:Z141 AA138 AB138:AC141 T139:T141 Y139:Y141 AA140:AA141 V177 D187:D192 F187:F192 G187 H187:L192 N187 O187:W192 X187:X189 Y187:Y192 Z187 AA187:AC192 C188:C192 E189:E192 G189:G192 N189:N192 Z190:Z192 X191:X192 Z206:Z207">
    <cfRule type="expression" dxfId="5" priority="4" stopIfTrue="1">
      <formula>#REF!=""</formula>
    </cfRule>
  </conditionalFormatting>
  <dataValidations>
    <dataValidation type="list" allowBlank="1" showErrorMessage="1" sqref="B7 B13:B38 B47:B75 B81:B112 B120:B141 B149:B169 B178:B192 B200:B207 B215:B217 B225:B227">
      <formula1>'Nombres de los alumnos '!$B$4:$B$1016</formula1>
    </dataValidation>
    <dataValidation type="list" allowBlank="1" showErrorMessage="1" sqref="B118:B119 B147:B148 B177 B198:B199 B213:B214 B223:B224">
      <formula1>'Nombres de los alumnos '!$B$4:$B$999999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53.57"/>
    <col customWidth="1" min="3" max="3" width="28.43"/>
    <col customWidth="1" min="4" max="4" width="14.29"/>
    <col customWidth="1" min="5" max="6" width="9.14"/>
    <col customWidth="1" min="7" max="7" width="16.43"/>
    <col customWidth="1" min="8" max="8" width="21.14"/>
    <col customWidth="1" min="9" max="9" width="17.86"/>
    <col customWidth="1" min="10" max="10" width="9.14"/>
    <col customWidth="1" min="11" max="11" width="11.57"/>
    <col customWidth="1" min="12" max="26" width="9.14"/>
  </cols>
  <sheetData>
    <row r="1" ht="49.5" customHeight="1">
      <c r="B1" s="73" t="s">
        <v>210</v>
      </c>
      <c r="C1" s="74"/>
      <c r="D1" s="74"/>
      <c r="E1" s="74"/>
      <c r="F1" s="75"/>
    </row>
    <row r="2" ht="15.0" customHeight="1">
      <c r="B2" s="76"/>
      <c r="C2" s="76"/>
    </row>
    <row r="3" ht="30.0" customHeight="1">
      <c r="B3" s="77" t="s">
        <v>211</v>
      </c>
      <c r="C3" s="77" t="s">
        <v>212</v>
      </c>
      <c r="D3" s="78"/>
      <c r="E3" s="78"/>
      <c r="G3" s="79"/>
    </row>
    <row r="4" ht="30.0" customHeight="1">
      <c r="B4" s="80" t="s">
        <v>100</v>
      </c>
      <c r="C4" s="81"/>
      <c r="D4" s="82"/>
      <c r="E4" s="78"/>
    </row>
    <row r="5" ht="30.0" customHeight="1">
      <c r="B5" s="83" t="s">
        <v>213</v>
      </c>
      <c r="C5" s="84"/>
      <c r="E5" s="78"/>
    </row>
    <row r="6" ht="30.0" customHeight="1">
      <c r="B6" s="85" t="s">
        <v>214</v>
      </c>
      <c r="C6" s="81"/>
      <c r="E6" s="78"/>
    </row>
    <row r="7" ht="30.0" customHeight="1">
      <c r="B7" s="86" t="s">
        <v>215</v>
      </c>
      <c r="C7" s="84"/>
      <c r="E7" s="78"/>
    </row>
    <row r="8" ht="30.0" customHeight="1">
      <c r="B8" s="86" t="s">
        <v>216</v>
      </c>
      <c r="C8" s="81"/>
      <c r="E8" s="78"/>
    </row>
    <row r="9" ht="30.0" customHeight="1">
      <c r="B9" s="87" t="s">
        <v>217</v>
      </c>
      <c r="C9" s="84"/>
      <c r="E9" s="78"/>
    </row>
    <row r="10" ht="30.0" customHeight="1">
      <c r="B10" s="83" t="s">
        <v>218</v>
      </c>
      <c r="C10" s="81"/>
      <c r="E10" s="78"/>
    </row>
    <row r="11" ht="30.0" customHeight="1">
      <c r="B11" s="83" t="s">
        <v>219</v>
      </c>
      <c r="C11" s="84"/>
      <c r="E11" s="78"/>
      <c r="G11" s="78"/>
      <c r="H11" s="78"/>
      <c r="I11" s="78"/>
      <c r="J11" s="78"/>
      <c r="K11" s="78"/>
    </row>
    <row r="12" ht="30.0" customHeight="1">
      <c r="B12" s="88" t="s">
        <v>220</v>
      </c>
      <c r="C12" s="81"/>
      <c r="E12" s="78"/>
      <c r="G12" s="78"/>
      <c r="H12" s="78"/>
      <c r="I12" s="89"/>
      <c r="J12" s="89"/>
      <c r="K12" s="78"/>
    </row>
    <row r="13" ht="30.0" customHeight="1">
      <c r="B13" s="88" t="s">
        <v>200</v>
      </c>
      <c r="C13" s="84"/>
      <c r="E13" s="78"/>
      <c r="G13" s="78"/>
      <c r="H13" s="78"/>
      <c r="I13" s="89"/>
      <c r="J13" s="89"/>
      <c r="K13" s="78"/>
    </row>
    <row r="14" ht="30.0" customHeight="1">
      <c r="B14" s="88" t="s">
        <v>221</v>
      </c>
      <c r="C14" s="81"/>
      <c r="E14" s="78"/>
      <c r="G14" s="78"/>
      <c r="H14" s="78"/>
      <c r="I14" s="89"/>
      <c r="J14" s="89"/>
      <c r="K14" s="78"/>
    </row>
    <row r="15" ht="30.0" customHeight="1">
      <c r="B15" s="88" t="s">
        <v>222</v>
      </c>
      <c r="C15" s="90"/>
      <c r="E15" s="91"/>
      <c r="G15" s="78"/>
      <c r="H15" s="78"/>
      <c r="I15" s="92"/>
      <c r="J15" s="89"/>
      <c r="K15" s="78"/>
    </row>
    <row r="16" ht="30.0" customHeight="1">
      <c r="B16" s="93" t="s">
        <v>95</v>
      </c>
      <c r="C16" s="94"/>
      <c r="E16" s="91"/>
      <c r="G16" s="78"/>
      <c r="H16" s="78"/>
      <c r="I16" s="92"/>
      <c r="J16" s="89"/>
      <c r="K16" s="78"/>
    </row>
    <row r="17" ht="30.0" customHeight="1">
      <c r="B17" s="88" t="s">
        <v>223</v>
      </c>
      <c r="C17" s="84"/>
      <c r="E17" s="78"/>
      <c r="G17" s="78"/>
      <c r="H17" s="78"/>
      <c r="I17" s="92"/>
      <c r="J17" s="89"/>
      <c r="K17" s="78"/>
    </row>
    <row r="18" ht="30.0" customHeight="1">
      <c r="B18" s="95" t="s">
        <v>94</v>
      </c>
      <c r="C18" s="81"/>
      <c r="E18" s="78"/>
      <c r="G18" s="78"/>
      <c r="H18" s="78"/>
      <c r="I18" s="92"/>
      <c r="J18" s="89"/>
      <c r="K18" s="78"/>
    </row>
    <row r="19" ht="30.0" customHeight="1">
      <c r="B19" s="96" t="s">
        <v>224</v>
      </c>
      <c r="C19" s="84"/>
      <c r="E19" s="78"/>
      <c r="G19" s="78"/>
      <c r="H19" s="78"/>
      <c r="I19" s="92"/>
      <c r="J19" s="89"/>
      <c r="K19" s="78"/>
    </row>
    <row r="20" ht="30.0" customHeight="1">
      <c r="B20" s="96" t="s">
        <v>225</v>
      </c>
      <c r="C20" s="84"/>
      <c r="E20" s="78"/>
      <c r="G20" s="78"/>
      <c r="H20" s="78"/>
      <c r="I20" s="92"/>
      <c r="J20" s="89"/>
      <c r="K20" s="78"/>
    </row>
    <row r="21" ht="30.0" customHeight="1">
      <c r="B21" s="95" t="s">
        <v>182</v>
      </c>
      <c r="C21" s="94"/>
      <c r="E21" s="91"/>
    </row>
    <row r="22" ht="30.0" customHeight="1">
      <c r="B22" s="96" t="s">
        <v>162</v>
      </c>
      <c r="C22" s="90"/>
      <c r="E22" s="91"/>
    </row>
    <row r="23" ht="30.0" customHeight="1">
      <c r="B23" s="95" t="s">
        <v>226</v>
      </c>
      <c r="C23" s="94"/>
      <c r="E23" s="91"/>
    </row>
    <row r="24" ht="30.0" customHeight="1">
      <c r="B24" s="96" t="s">
        <v>84</v>
      </c>
      <c r="C24" s="90"/>
      <c r="E24" s="91"/>
      <c r="H24" s="89"/>
      <c r="I24" s="89"/>
    </row>
    <row r="25" ht="30.0" customHeight="1">
      <c r="B25" s="95" t="s">
        <v>156</v>
      </c>
      <c r="C25" s="94"/>
      <c r="E25" s="91"/>
      <c r="H25" s="89"/>
      <c r="I25" s="89"/>
    </row>
    <row r="26" ht="30.0" customHeight="1">
      <c r="B26" s="97" t="s">
        <v>227</v>
      </c>
      <c r="C26" s="90"/>
      <c r="E26" s="91"/>
      <c r="H26" s="89"/>
      <c r="I26" s="89"/>
    </row>
    <row r="27" ht="30.0" customHeight="1">
      <c r="B27" s="98" t="s">
        <v>228</v>
      </c>
      <c r="C27" s="94"/>
      <c r="E27" s="91"/>
      <c r="H27" s="92"/>
      <c r="I27" s="89"/>
    </row>
    <row r="28" ht="30.0" customHeight="1">
      <c r="B28" s="96" t="s">
        <v>176</v>
      </c>
      <c r="C28" s="90"/>
      <c r="E28" s="91"/>
      <c r="H28" s="92"/>
      <c r="I28" s="89"/>
    </row>
    <row r="29" ht="30.0" customHeight="1">
      <c r="B29" s="95" t="s">
        <v>229</v>
      </c>
      <c r="C29" s="94"/>
      <c r="E29" s="91"/>
      <c r="H29" s="92"/>
      <c r="I29" s="89"/>
    </row>
    <row r="30" ht="30.0" customHeight="1">
      <c r="B30" s="96" t="s">
        <v>58</v>
      </c>
      <c r="C30" s="90"/>
      <c r="E30" s="91"/>
      <c r="H30" s="92"/>
      <c r="I30" s="89"/>
    </row>
    <row r="31" ht="30.0" customHeight="1">
      <c r="B31" s="99" t="s">
        <v>136</v>
      </c>
      <c r="C31" s="94"/>
      <c r="D31" s="100"/>
      <c r="E31" s="91"/>
      <c r="H31" s="92"/>
      <c r="I31" s="89"/>
    </row>
    <row r="32" ht="30.0" customHeight="1">
      <c r="B32" s="101" t="s">
        <v>230</v>
      </c>
      <c r="C32" s="90"/>
      <c r="E32" s="91"/>
      <c r="H32" s="92"/>
      <c r="I32" s="89"/>
    </row>
    <row r="33" ht="30.0" customHeight="1">
      <c r="B33" s="95" t="s">
        <v>76</v>
      </c>
      <c r="C33" s="94"/>
      <c r="E33" s="91"/>
      <c r="H33" s="92"/>
      <c r="I33" s="89"/>
    </row>
    <row r="34" ht="30.0" customHeight="1">
      <c r="B34" s="96" t="s">
        <v>231</v>
      </c>
      <c r="C34" s="102"/>
      <c r="E34" s="1"/>
    </row>
    <row r="35" ht="30.0" customHeight="1">
      <c r="B35" s="95" t="s">
        <v>78</v>
      </c>
      <c r="C35" s="94"/>
      <c r="E35" s="91"/>
    </row>
    <row r="36" ht="30.0" customHeight="1">
      <c r="B36" s="96" t="s">
        <v>232</v>
      </c>
      <c r="C36" s="90"/>
      <c r="E36" s="91"/>
    </row>
    <row r="37" ht="30.0" customHeight="1">
      <c r="B37" s="95" t="s">
        <v>233</v>
      </c>
      <c r="C37" s="94"/>
      <c r="E37" s="91"/>
    </row>
    <row r="38" ht="30.0" customHeight="1">
      <c r="B38" s="96" t="s">
        <v>61</v>
      </c>
      <c r="C38" s="90"/>
      <c r="E38" s="91"/>
    </row>
    <row r="39" ht="30.0" customHeight="1">
      <c r="B39" s="95" t="s">
        <v>50</v>
      </c>
      <c r="C39" s="94"/>
      <c r="D39" s="100"/>
      <c r="E39" s="91"/>
      <c r="I39" s="89"/>
      <c r="J39" s="89"/>
    </row>
    <row r="40" ht="30.0" customHeight="1">
      <c r="B40" s="96" t="s">
        <v>135</v>
      </c>
      <c r="C40" s="90"/>
      <c r="D40" s="100"/>
      <c r="E40" s="91"/>
      <c r="I40" s="89"/>
      <c r="J40" s="89"/>
    </row>
    <row r="41" ht="30.0" customHeight="1">
      <c r="B41" s="95" t="s">
        <v>114</v>
      </c>
      <c r="C41" s="94"/>
      <c r="D41" s="100"/>
      <c r="E41" s="91"/>
      <c r="I41" s="89"/>
      <c r="J41" s="89"/>
    </row>
    <row r="42" ht="30.0" customHeight="1">
      <c r="B42" s="96" t="s">
        <v>234</v>
      </c>
      <c r="C42" s="90"/>
      <c r="D42" s="100"/>
      <c r="E42" s="91"/>
      <c r="I42" s="92"/>
      <c r="J42" s="89"/>
    </row>
    <row r="43" ht="30.0" customHeight="1">
      <c r="B43" s="95" t="s">
        <v>158</v>
      </c>
      <c r="C43" s="94"/>
      <c r="D43" s="100"/>
      <c r="E43" s="91"/>
      <c r="I43" s="92"/>
      <c r="J43" s="89"/>
    </row>
    <row r="44" ht="30.0" customHeight="1">
      <c r="B44" s="96" t="s">
        <v>107</v>
      </c>
      <c r="C44" s="90"/>
      <c r="D44" s="100"/>
      <c r="E44" s="91"/>
      <c r="I44" s="92"/>
      <c r="J44" s="89"/>
    </row>
    <row r="45" ht="30.0" customHeight="1">
      <c r="B45" s="95" t="s">
        <v>99</v>
      </c>
      <c r="C45" s="94"/>
      <c r="D45" s="100"/>
      <c r="E45" s="91"/>
      <c r="I45" s="92"/>
      <c r="J45" s="89"/>
    </row>
    <row r="46" ht="30.0" customHeight="1">
      <c r="B46" s="96" t="s">
        <v>90</v>
      </c>
      <c r="C46" s="90"/>
      <c r="D46" s="100"/>
      <c r="E46" s="91"/>
      <c r="I46" s="92"/>
      <c r="J46" s="89"/>
    </row>
    <row r="47" ht="30.0" customHeight="1">
      <c r="B47" s="95" t="s">
        <v>235</v>
      </c>
      <c r="C47" s="94"/>
      <c r="D47" s="100"/>
      <c r="E47" s="91"/>
      <c r="I47" s="92"/>
      <c r="J47" s="89"/>
    </row>
    <row r="48" ht="30.0" customHeight="1">
      <c r="B48" s="96" t="s">
        <v>143</v>
      </c>
      <c r="C48" s="90"/>
      <c r="D48" s="100"/>
      <c r="E48" s="91"/>
      <c r="I48" s="92"/>
      <c r="J48" s="89"/>
    </row>
    <row r="49" ht="30.0" customHeight="1">
      <c r="B49" s="99" t="s">
        <v>155</v>
      </c>
      <c r="C49" s="94"/>
      <c r="D49" s="100"/>
      <c r="E49" s="91"/>
    </row>
    <row r="50" ht="30.0" customHeight="1">
      <c r="B50" s="101" t="s">
        <v>236</v>
      </c>
      <c r="C50" s="90"/>
      <c r="D50" s="100"/>
      <c r="E50" s="91"/>
    </row>
    <row r="51" ht="30.0" customHeight="1">
      <c r="B51" s="95" t="s">
        <v>80</v>
      </c>
      <c r="C51" s="94"/>
      <c r="D51" s="100"/>
      <c r="E51" s="91"/>
    </row>
    <row r="52" ht="30.0" customHeight="1">
      <c r="B52" s="96" t="s">
        <v>237</v>
      </c>
      <c r="C52" s="90"/>
      <c r="D52" s="100"/>
      <c r="E52" s="91"/>
    </row>
    <row r="53" ht="30.0" customHeight="1">
      <c r="B53" s="95" t="s">
        <v>205</v>
      </c>
      <c r="C53" s="94"/>
      <c r="E53" s="91"/>
    </row>
    <row r="54" ht="30.0" customHeight="1">
      <c r="B54" s="96" t="s">
        <v>77</v>
      </c>
      <c r="C54" s="90"/>
      <c r="E54" s="91"/>
    </row>
    <row r="55" ht="30.0" customHeight="1">
      <c r="B55" s="95" t="s">
        <v>238</v>
      </c>
      <c r="C55" s="94"/>
      <c r="E55" s="91"/>
    </row>
    <row r="56" ht="30.0" customHeight="1">
      <c r="B56" s="96" t="s">
        <v>163</v>
      </c>
      <c r="C56" s="90"/>
      <c r="E56" s="91"/>
    </row>
    <row r="57" ht="30.0" customHeight="1">
      <c r="B57" s="95" t="s">
        <v>199</v>
      </c>
      <c r="C57" s="94"/>
      <c r="E57" s="91"/>
    </row>
    <row r="58" ht="30.0" customHeight="1">
      <c r="B58" s="96" t="s">
        <v>131</v>
      </c>
      <c r="C58" s="90"/>
      <c r="E58" s="91"/>
    </row>
    <row r="59" ht="30.0" customHeight="1">
      <c r="B59" s="96" t="s">
        <v>187</v>
      </c>
      <c r="C59" s="90"/>
      <c r="D59" s="100"/>
      <c r="E59" s="91"/>
    </row>
    <row r="60" ht="30.0" customHeight="1">
      <c r="B60" s="103" t="s">
        <v>137</v>
      </c>
      <c r="C60" s="94"/>
      <c r="E60" s="91"/>
    </row>
    <row r="61" ht="30.0" customHeight="1">
      <c r="B61" s="96" t="s">
        <v>52</v>
      </c>
      <c r="C61" s="90"/>
      <c r="E61" s="91"/>
    </row>
    <row r="62" ht="30.0" customHeight="1">
      <c r="B62" s="95" t="s">
        <v>239</v>
      </c>
      <c r="C62" s="94"/>
      <c r="E62" s="91"/>
    </row>
    <row r="63" ht="30.0" customHeight="1">
      <c r="B63" s="96" t="s">
        <v>109</v>
      </c>
      <c r="C63" s="90"/>
      <c r="E63" s="91"/>
    </row>
    <row r="64" ht="30.0" customHeight="1">
      <c r="B64" s="95" t="s">
        <v>184</v>
      </c>
      <c r="C64" s="94"/>
      <c r="E64" s="91"/>
    </row>
    <row r="65" ht="30.0" customHeight="1">
      <c r="B65" s="96" t="s">
        <v>145</v>
      </c>
      <c r="C65" s="90"/>
      <c r="E65" s="91"/>
    </row>
    <row r="66" ht="30.0" customHeight="1">
      <c r="B66" s="95" t="s">
        <v>240</v>
      </c>
      <c r="C66" s="94"/>
      <c r="E66" s="91"/>
    </row>
    <row r="67" ht="30.0" customHeight="1">
      <c r="B67" s="96" t="s">
        <v>72</v>
      </c>
      <c r="C67" s="90"/>
      <c r="E67" s="91"/>
    </row>
    <row r="68" ht="30.0" customHeight="1">
      <c r="B68" s="95" t="s">
        <v>172</v>
      </c>
      <c r="C68" s="94"/>
      <c r="E68" s="91"/>
    </row>
    <row r="69" ht="30.0" customHeight="1">
      <c r="B69" s="96" t="s">
        <v>241</v>
      </c>
      <c r="C69" s="90"/>
      <c r="D69" s="91"/>
      <c r="E69" s="91"/>
    </row>
    <row r="70" ht="30.0" customHeight="1">
      <c r="B70" s="95" t="s">
        <v>128</v>
      </c>
      <c r="C70" s="94"/>
      <c r="E70" s="91"/>
    </row>
    <row r="71" ht="30.0" customHeight="1">
      <c r="B71" s="96" t="s">
        <v>86</v>
      </c>
      <c r="C71" s="90"/>
      <c r="D71" s="91"/>
      <c r="E71" s="91"/>
    </row>
    <row r="72" ht="30.0" customHeight="1">
      <c r="B72" s="95" t="s">
        <v>102</v>
      </c>
      <c r="C72" s="94"/>
      <c r="D72" s="91"/>
      <c r="E72" s="91"/>
    </row>
    <row r="73" ht="30.0" customHeight="1">
      <c r="B73" s="96" t="s">
        <v>165</v>
      </c>
      <c r="C73" s="90"/>
      <c r="D73" s="91"/>
      <c r="E73" s="91"/>
    </row>
    <row r="74" ht="30.0" customHeight="1">
      <c r="B74" s="95" t="s">
        <v>105</v>
      </c>
      <c r="C74" s="94"/>
      <c r="D74" s="91"/>
      <c r="E74" s="91"/>
    </row>
    <row r="75" ht="30.0" customHeight="1">
      <c r="B75" s="96" t="s">
        <v>161</v>
      </c>
      <c r="C75" s="90"/>
      <c r="D75" s="91"/>
      <c r="E75" s="91"/>
    </row>
    <row r="76" ht="30.0" customHeight="1">
      <c r="B76" s="95" t="s">
        <v>48</v>
      </c>
      <c r="C76" s="94"/>
      <c r="D76" s="91"/>
      <c r="E76" s="91"/>
    </row>
    <row r="77" ht="30.0" customHeight="1">
      <c r="B77" s="96" t="s">
        <v>154</v>
      </c>
      <c r="C77" s="90"/>
      <c r="D77" s="91"/>
      <c r="E77" s="91"/>
    </row>
    <row r="78" ht="30.0" customHeight="1">
      <c r="B78" s="95" t="s">
        <v>117</v>
      </c>
      <c r="C78" s="94"/>
      <c r="D78" s="91"/>
      <c r="E78" s="91"/>
    </row>
    <row r="79" ht="30.0" customHeight="1">
      <c r="B79" s="96" t="s">
        <v>209</v>
      </c>
      <c r="C79" s="90"/>
      <c r="D79" s="91"/>
      <c r="E79" s="91"/>
    </row>
    <row r="80" ht="30.0" customHeight="1">
      <c r="B80" s="95" t="s">
        <v>103</v>
      </c>
      <c r="C80" s="94"/>
      <c r="D80" s="91"/>
      <c r="E80" s="91"/>
    </row>
    <row r="81" ht="30.0" customHeight="1">
      <c r="B81" s="96" t="s">
        <v>242</v>
      </c>
      <c r="C81" s="90"/>
      <c r="D81" s="91"/>
      <c r="E81" s="91"/>
    </row>
    <row r="82" ht="30.0" customHeight="1">
      <c r="B82" s="95" t="s">
        <v>141</v>
      </c>
      <c r="C82" s="94"/>
      <c r="D82" s="91"/>
      <c r="E82" s="91"/>
    </row>
    <row r="83" ht="30.0" customHeight="1">
      <c r="B83" s="96" t="s">
        <v>129</v>
      </c>
      <c r="C83" s="90"/>
      <c r="D83" s="91"/>
      <c r="E83" s="91"/>
    </row>
    <row r="84" ht="30.0" customHeight="1">
      <c r="B84" s="95" t="s">
        <v>147</v>
      </c>
      <c r="C84" s="94"/>
      <c r="D84" s="91"/>
      <c r="E84" s="91"/>
    </row>
    <row r="85" ht="30.0" customHeight="1">
      <c r="B85" s="96" t="s">
        <v>149</v>
      </c>
      <c r="C85" s="90"/>
      <c r="D85" s="91"/>
      <c r="E85" s="91"/>
    </row>
    <row r="86" ht="30.0" customHeight="1">
      <c r="B86" s="95" t="s">
        <v>142</v>
      </c>
      <c r="C86" s="94"/>
      <c r="D86" s="91"/>
      <c r="E86" s="91"/>
    </row>
    <row r="87" ht="30.0" customHeight="1">
      <c r="B87" s="96" t="s">
        <v>127</v>
      </c>
      <c r="C87" s="90"/>
      <c r="D87" s="91"/>
      <c r="E87" s="91"/>
    </row>
    <row r="88" ht="30.0" customHeight="1">
      <c r="B88" s="95" t="s">
        <v>243</v>
      </c>
      <c r="C88" s="94"/>
      <c r="D88" s="91"/>
      <c r="E88" s="91"/>
    </row>
    <row r="89" ht="30.0" customHeight="1">
      <c r="B89" s="96" t="s">
        <v>164</v>
      </c>
      <c r="C89" s="90"/>
      <c r="D89" s="91"/>
      <c r="E89" s="91"/>
    </row>
    <row r="90" ht="30.0" customHeight="1">
      <c r="B90" s="95" t="s">
        <v>75</v>
      </c>
      <c r="C90" s="94"/>
      <c r="D90" s="91"/>
      <c r="E90" s="91"/>
    </row>
    <row r="91" ht="30.0" customHeight="1">
      <c r="B91" s="96" t="s">
        <v>101</v>
      </c>
      <c r="C91" s="90"/>
      <c r="D91" s="91"/>
      <c r="E91" s="91"/>
    </row>
    <row r="92" ht="30.0" customHeight="1">
      <c r="B92" s="95" t="s">
        <v>124</v>
      </c>
      <c r="C92" s="94"/>
      <c r="D92" s="91"/>
      <c r="E92" s="91"/>
    </row>
    <row r="93" ht="30.0" customHeight="1">
      <c r="B93" s="96" t="s">
        <v>244</v>
      </c>
      <c r="C93" s="90"/>
      <c r="D93" s="91"/>
      <c r="E93" s="91"/>
    </row>
    <row r="94" ht="30.0" customHeight="1">
      <c r="B94" s="95" t="s">
        <v>245</v>
      </c>
      <c r="C94" s="94"/>
      <c r="D94" s="91"/>
      <c r="E94" s="91"/>
    </row>
    <row r="95" ht="30.0" customHeight="1">
      <c r="B95" s="96" t="s">
        <v>81</v>
      </c>
      <c r="C95" s="90"/>
      <c r="D95" s="91"/>
      <c r="E95" s="91"/>
    </row>
    <row r="96" ht="30.0" customHeight="1">
      <c r="B96" s="95" t="s">
        <v>70</v>
      </c>
      <c r="C96" s="94"/>
      <c r="D96" s="91"/>
      <c r="E96" s="91"/>
    </row>
    <row r="97" ht="30.0" customHeight="1">
      <c r="B97" s="96" t="s">
        <v>119</v>
      </c>
      <c r="C97" s="90"/>
      <c r="D97" s="91"/>
      <c r="E97" s="91"/>
      <c r="G97" s="91"/>
      <c r="H97" s="91"/>
    </row>
    <row r="98" ht="30.0" customHeight="1">
      <c r="B98" s="95" t="s">
        <v>246</v>
      </c>
      <c r="C98" s="94"/>
      <c r="D98" s="91"/>
      <c r="E98" s="91"/>
      <c r="G98" s="91"/>
      <c r="H98" s="91"/>
    </row>
    <row r="99" ht="30.0" customHeight="1">
      <c r="B99" s="96" t="s">
        <v>98</v>
      </c>
      <c r="C99" s="90"/>
      <c r="D99" s="91"/>
      <c r="E99" s="91"/>
      <c r="F99" s="91"/>
      <c r="G99" s="91"/>
      <c r="H99" s="91"/>
    </row>
    <row r="100" ht="30.0" customHeight="1">
      <c r="B100" s="95" t="s">
        <v>59</v>
      </c>
      <c r="C100" s="94"/>
      <c r="D100" s="91"/>
      <c r="E100" s="91"/>
      <c r="F100" s="104"/>
      <c r="G100" s="104"/>
      <c r="H100" s="91"/>
    </row>
    <row r="101" ht="29.25" customHeight="1">
      <c r="B101" s="96" t="s">
        <v>180</v>
      </c>
      <c r="C101" s="90"/>
      <c r="D101" s="91"/>
      <c r="E101" s="91"/>
      <c r="F101" s="91"/>
      <c r="G101" s="91"/>
      <c r="H101" s="91"/>
    </row>
    <row r="102" ht="30.0" customHeight="1">
      <c r="B102" s="95" t="s">
        <v>54</v>
      </c>
      <c r="C102" s="94"/>
      <c r="D102" s="91"/>
      <c r="E102" s="91"/>
      <c r="F102" s="91"/>
      <c r="G102" s="91"/>
      <c r="H102" s="91"/>
    </row>
    <row r="103" ht="29.25" customHeight="1">
      <c r="B103" s="96" t="s">
        <v>247</v>
      </c>
      <c r="C103" s="90"/>
      <c r="D103" s="91"/>
      <c r="E103" s="91"/>
      <c r="F103" s="91"/>
      <c r="G103" s="91"/>
    </row>
    <row r="104" ht="29.25" customHeight="1">
      <c r="B104" s="95" t="s">
        <v>79</v>
      </c>
      <c r="C104" s="94"/>
      <c r="D104" s="91"/>
      <c r="E104" s="91"/>
      <c r="F104" s="91"/>
      <c r="G104" s="91"/>
    </row>
    <row r="105" ht="30.0" customHeight="1">
      <c r="B105" s="96" t="s">
        <v>248</v>
      </c>
      <c r="C105" s="90"/>
      <c r="D105" s="91"/>
      <c r="E105" s="91"/>
      <c r="F105" s="91"/>
      <c r="G105" s="91"/>
    </row>
    <row r="106" ht="30.0" customHeight="1">
      <c r="B106" s="95" t="s">
        <v>91</v>
      </c>
      <c r="C106" s="94"/>
      <c r="D106" s="91"/>
      <c r="E106" s="91"/>
      <c r="F106" s="91"/>
      <c r="G106" s="91"/>
    </row>
    <row r="107" ht="30.0" customHeight="1">
      <c r="B107" s="96" t="s">
        <v>249</v>
      </c>
      <c r="C107" s="90"/>
      <c r="D107" s="91"/>
      <c r="E107" s="91"/>
      <c r="F107" s="91"/>
      <c r="G107" s="91"/>
    </row>
    <row r="108" ht="30.0" customHeight="1">
      <c r="B108" s="95" t="s">
        <v>250</v>
      </c>
      <c r="C108" s="94"/>
      <c r="D108" s="91"/>
      <c r="E108" s="91"/>
      <c r="F108" s="91"/>
      <c r="G108" s="91"/>
    </row>
    <row r="109" ht="30.0" customHeight="1">
      <c r="B109" s="96" t="s">
        <v>69</v>
      </c>
      <c r="C109" s="90"/>
      <c r="D109" s="91"/>
      <c r="E109" s="91"/>
      <c r="F109" s="91"/>
      <c r="G109" s="104"/>
    </row>
    <row r="110" ht="30.0" customHeight="1">
      <c r="B110" s="95" t="s">
        <v>104</v>
      </c>
      <c r="C110" s="94"/>
      <c r="D110" s="91"/>
      <c r="E110" s="91"/>
      <c r="F110" s="91"/>
      <c r="G110" s="104"/>
    </row>
    <row r="111" ht="30.0" customHeight="1">
      <c r="B111" s="96" t="s">
        <v>251</v>
      </c>
      <c r="C111" s="90"/>
      <c r="D111" s="91"/>
      <c r="E111" s="91"/>
      <c r="F111" s="104"/>
      <c r="G111" s="104"/>
    </row>
    <row r="112" ht="30.0" customHeight="1">
      <c r="B112" s="95" t="s">
        <v>73</v>
      </c>
      <c r="C112" s="105"/>
      <c r="D112" s="1"/>
      <c r="E112" s="1"/>
      <c r="F112" s="91"/>
      <c r="G112" s="91"/>
    </row>
    <row r="113" ht="30.0" customHeight="1">
      <c r="B113" s="96" t="s">
        <v>148</v>
      </c>
      <c r="C113" s="102"/>
      <c r="D113" s="1"/>
      <c r="E113" s="1"/>
      <c r="F113" s="91"/>
      <c r="G113" s="91"/>
    </row>
    <row r="114" ht="30.0" customHeight="1">
      <c r="B114" s="103" t="s">
        <v>133</v>
      </c>
      <c r="C114" s="94"/>
      <c r="D114" s="91"/>
      <c r="E114" s="91"/>
      <c r="F114" s="91"/>
      <c r="G114" s="91"/>
    </row>
    <row r="115" ht="30.0" customHeight="1">
      <c r="B115" s="106" t="s">
        <v>116</v>
      </c>
      <c r="C115" s="107"/>
      <c r="D115" s="91"/>
      <c r="E115" s="91"/>
    </row>
    <row r="116" ht="30.0" customHeight="1">
      <c r="B116" s="103" t="s">
        <v>52</v>
      </c>
      <c r="C116" s="94"/>
      <c r="D116" s="91"/>
      <c r="E116" s="91"/>
    </row>
    <row r="117" ht="30.0" customHeight="1">
      <c r="B117" s="106" t="s">
        <v>49</v>
      </c>
      <c r="C117" s="90"/>
      <c r="D117" s="91"/>
      <c r="E117" s="91"/>
    </row>
    <row r="118" ht="30.0" customHeight="1">
      <c r="B118" s="103" t="s">
        <v>184</v>
      </c>
      <c r="C118" s="94"/>
      <c r="D118" s="91"/>
      <c r="E118" s="91"/>
    </row>
    <row r="119" ht="30.0" customHeight="1">
      <c r="B119" s="106" t="s">
        <v>252</v>
      </c>
      <c r="C119" s="107"/>
      <c r="D119" s="50"/>
      <c r="E119" s="50"/>
    </row>
    <row r="120" ht="30.0" customHeight="1">
      <c r="B120" s="103" t="s">
        <v>92</v>
      </c>
      <c r="C120" s="105"/>
      <c r="D120" s="1"/>
      <c r="E120" s="1"/>
    </row>
    <row r="121" ht="30.0" customHeight="1">
      <c r="B121" s="106" t="s">
        <v>253</v>
      </c>
      <c r="C121" s="102"/>
      <c r="D121" s="1"/>
      <c r="E121" s="1"/>
    </row>
    <row r="122" ht="30.0" customHeight="1">
      <c r="B122" s="103" t="s">
        <v>254</v>
      </c>
      <c r="C122" s="105"/>
      <c r="D122" s="1"/>
      <c r="E122" s="1"/>
    </row>
    <row r="123" ht="30.0" customHeight="1">
      <c r="B123" s="106" t="s">
        <v>128</v>
      </c>
      <c r="C123" s="102"/>
      <c r="D123" s="1"/>
      <c r="E123" s="1"/>
    </row>
    <row r="124" ht="30.0" customHeight="1">
      <c r="B124" s="103" t="s">
        <v>255</v>
      </c>
      <c r="C124" s="94"/>
      <c r="D124" s="91"/>
      <c r="E124" s="91"/>
    </row>
    <row r="125" ht="30.0" customHeight="1">
      <c r="B125" s="106" t="s">
        <v>256</v>
      </c>
      <c r="C125" s="90"/>
      <c r="D125" s="91"/>
      <c r="E125" s="91"/>
    </row>
    <row r="126" ht="30.0" customHeight="1">
      <c r="B126" s="103" t="s">
        <v>83</v>
      </c>
      <c r="C126" s="105"/>
      <c r="D126" s="1"/>
      <c r="E126" s="1"/>
    </row>
    <row r="127" ht="30.0" customHeight="1">
      <c r="B127" s="96" t="s">
        <v>72</v>
      </c>
      <c r="C127" s="102"/>
      <c r="D127" s="1"/>
      <c r="E127" s="1"/>
    </row>
    <row r="128" ht="30.0" customHeight="1">
      <c r="B128" s="103" t="s">
        <v>257</v>
      </c>
      <c r="C128" s="105"/>
      <c r="D128" s="1"/>
      <c r="E128" s="1"/>
    </row>
    <row r="129" ht="30.0" customHeight="1">
      <c r="B129" s="106" t="s">
        <v>56</v>
      </c>
      <c r="C129" s="90"/>
      <c r="D129" s="91"/>
      <c r="E129" s="91"/>
    </row>
    <row r="130" ht="30.0" customHeight="1">
      <c r="B130" s="103" t="s">
        <v>258</v>
      </c>
      <c r="C130" s="94"/>
      <c r="D130" s="91"/>
      <c r="E130" s="91"/>
    </row>
    <row r="131" ht="30.0" customHeight="1">
      <c r="B131" s="106" t="s">
        <v>259</v>
      </c>
      <c r="C131" s="90"/>
      <c r="D131" s="91"/>
      <c r="E131" s="91"/>
    </row>
    <row r="132" ht="30.0" customHeight="1">
      <c r="B132" s="103" t="s">
        <v>260</v>
      </c>
      <c r="C132" s="94"/>
      <c r="D132" s="91"/>
      <c r="E132" s="91"/>
    </row>
    <row r="133" ht="30.0" customHeight="1">
      <c r="B133" s="106" t="s">
        <v>261</v>
      </c>
      <c r="C133" s="90"/>
      <c r="D133" s="91"/>
      <c r="E133" s="91"/>
    </row>
    <row r="134" ht="30.0" customHeight="1">
      <c r="B134" s="106" t="s">
        <v>262</v>
      </c>
      <c r="C134" s="90"/>
      <c r="D134" s="91"/>
      <c r="E134" s="91"/>
    </row>
    <row r="135" ht="30.0" customHeight="1">
      <c r="B135" s="103" t="s">
        <v>106</v>
      </c>
      <c r="C135" s="105"/>
      <c r="D135" s="1"/>
      <c r="E135" s="1"/>
    </row>
    <row r="136" ht="30.0" customHeight="1">
      <c r="B136" s="106" t="s">
        <v>263</v>
      </c>
      <c r="C136" s="102"/>
      <c r="D136" s="1"/>
      <c r="E136" s="1"/>
    </row>
    <row r="137" ht="30.0" customHeight="1">
      <c r="B137" s="103" t="s">
        <v>264</v>
      </c>
      <c r="C137" s="105"/>
      <c r="D137" s="1"/>
      <c r="E137" s="1"/>
    </row>
    <row r="138" ht="30.0" customHeight="1">
      <c r="B138" s="106" t="s">
        <v>119</v>
      </c>
      <c r="C138" s="102"/>
      <c r="D138" s="1"/>
      <c r="E138" s="1"/>
    </row>
    <row r="139" ht="30.0" customHeight="1">
      <c r="B139" s="103" t="s">
        <v>91</v>
      </c>
      <c r="C139" s="105"/>
      <c r="D139" s="1"/>
      <c r="E139" s="1"/>
    </row>
    <row r="140" ht="30.0" customHeight="1">
      <c r="B140" s="106" t="s">
        <v>71</v>
      </c>
      <c r="C140" s="102"/>
      <c r="D140" s="1"/>
      <c r="E140" s="1"/>
    </row>
    <row r="141" ht="30.0" customHeight="1">
      <c r="B141" s="103" t="s">
        <v>121</v>
      </c>
      <c r="C141" s="105"/>
      <c r="D141" s="1"/>
      <c r="E141" s="1"/>
    </row>
    <row r="142" ht="30.0" customHeight="1">
      <c r="B142" s="96" t="s">
        <v>265</v>
      </c>
      <c r="C142" s="102"/>
      <c r="D142" s="1"/>
      <c r="E142" s="1"/>
    </row>
    <row r="143" ht="30.0" customHeight="1">
      <c r="B143" s="103" t="s">
        <v>266</v>
      </c>
      <c r="C143" s="105"/>
      <c r="D143" s="1"/>
      <c r="E143" s="1"/>
    </row>
    <row r="144" ht="30.0" customHeight="1">
      <c r="B144" s="106" t="s">
        <v>96</v>
      </c>
      <c r="C144" s="102"/>
      <c r="D144" s="1"/>
      <c r="E144" s="1"/>
    </row>
    <row r="145" ht="30.0" customHeight="1">
      <c r="B145" s="103" t="s">
        <v>267</v>
      </c>
      <c r="C145" s="105"/>
      <c r="D145" s="1"/>
      <c r="E145" s="1"/>
    </row>
    <row r="146" ht="30.0" customHeight="1">
      <c r="B146" s="106" t="s">
        <v>268</v>
      </c>
      <c r="C146" s="102"/>
      <c r="D146" s="1"/>
      <c r="E146" s="1"/>
    </row>
    <row r="147" ht="30.0" customHeight="1">
      <c r="B147" s="103" t="s">
        <v>68</v>
      </c>
      <c r="C147" s="105"/>
      <c r="D147" s="1"/>
      <c r="E147" s="1"/>
    </row>
    <row r="148" ht="30.0" customHeight="1">
      <c r="B148" s="106" t="s">
        <v>62</v>
      </c>
      <c r="C148" s="102"/>
      <c r="D148" s="1"/>
      <c r="E148" s="1"/>
    </row>
    <row r="149" ht="30.0" customHeight="1">
      <c r="B149" s="103" t="s">
        <v>93</v>
      </c>
      <c r="C149" s="105"/>
      <c r="D149" s="1"/>
      <c r="E149" s="1"/>
    </row>
    <row r="150" ht="30.0" customHeight="1">
      <c r="B150" s="106" t="s">
        <v>144</v>
      </c>
      <c r="C150" s="102"/>
      <c r="D150" s="1"/>
      <c r="E150" s="1"/>
    </row>
    <row r="151" ht="30.0" customHeight="1">
      <c r="B151" s="103" t="s">
        <v>60</v>
      </c>
      <c r="C151" s="105"/>
      <c r="D151" s="1"/>
      <c r="E151" s="1"/>
    </row>
    <row r="152" ht="30.0" customHeight="1">
      <c r="B152" s="106" t="s">
        <v>152</v>
      </c>
      <c r="C152" s="102"/>
      <c r="D152" s="1"/>
      <c r="E152" s="1"/>
    </row>
    <row r="153" ht="30.0" customHeight="1">
      <c r="B153" s="103" t="s">
        <v>189</v>
      </c>
      <c r="C153" s="105"/>
      <c r="D153" s="1"/>
      <c r="E153" s="1"/>
    </row>
    <row r="154" ht="30.0" customHeight="1">
      <c r="B154" s="106" t="s">
        <v>166</v>
      </c>
      <c r="C154" s="102"/>
      <c r="D154" s="1"/>
      <c r="E154" s="1"/>
    </row>
    <row r="155" ht="30.0" customHeight="1">
      <c r="B155" s="103" t="s">
        <v>110</v>
      </c>
      <c r="C155" s="105"/>
      <c r="D155" s="1"/>
      <c r="E155" s="1"/>
    </row>
    <row r="156" ht="30.0" customHeight="1">
      <c r="B156" s="106" t="s">
        <v>153</v>
      </c>
      <c r="C156" s="102"/>
      <c r="D156" s="1"/>
      <c r="E156" s="1"/>
    </row>
    <row r="157" ht="30.0" customHeight="1">
      <c r="B157" s="103" t="s">
        <v>57</v>
      </c>
      <c r="C157" s="105"/>
      <c r="D157" s="1"/>
      <c r="E157" s="1"/>
    </row>
    <row r="158" ht="30.0" customHeight="1">
      <c r="B158" s="106" t="s">
        <v>130</v>
      </c>
      <c r="C158" s="102"/>
      <c r="D158" s="1"/>
      <c r="E158" s="1"/>
    </row>
    <row r="159" ht="30.0" customHeight="1">
      <c r="B159" s="103" t="s">
        <v>181</v>
      </c>
      <c r="C159" s="105"/>
      <c r="D159" s="1"/>
      <c r="E159" s="1"/>
    </row>
    <row r="160" ht="30.0" customHeight="1">
      <c r="B160" s="106" t="s">
        <v>120</v>
      </c>
      <c r="C160" s="102"/>
      <c r="D160" s="1"/>
      <c r="E160" s="1"/>
    </row>
    <row r="161" ht="30.0" customHeight="1">
      <c r="B161" s="103" t="s">
        <v>201</v>
      </c>
      <c r="C161" s="105"/>
      <c r="D161" s="1"/>
      <c r="E161" s="1"/>
    </row>
    <row r="162" ht="30.0" customHeight="1">
      <c r="B162" s="106" t="s">
        <v>126</v>
      </c>
      <c r="C162" s="102"/>
      <c r="D162" s="1"/>
      <c r="E162" s="1"/>
    </row>
    <row r="163" ht="30.0" customHeight="1">
      <c r="B163" s="103" t="s">
        <v>97</v>
      </c>
      <c r="C163" s="105"/>
      <c r="D163" s="1"/>
      <c r="E163" s="1"/>
    </row>
    <row r="164" ht="30.0" customHeight="1">
      <c r="B164" s="106" t="s">
        <v>66</v>
      </c>
      <c r="C164" s="102"/>
      <c r="D164" s="1"/>
      <c r="E164" s="1"/>
    </row>
    <row r="165" ht="30.0" customHeight="1">
      <c r="B165" s="103" t="s">
        <v>122</v>
      </c>
      <c r="C165" s="105"/>
      <c r="D165" s="1"/>
      <c r="E165" s="1"/>
    </row>
    <row r="166" ht="30.0" customHeight="1">
      <c r="B166" s="106" t="s">
        <v>123</v>
      </c>
      <c r="C166" s="102"/>
      <c r="D166" s="1"/>
      <c r="E166" s="1"/>
    </row>
    <row r="167" ht="30.0" customHeight="1">
      <c r="B167" s="103" t="s">
        <v>53</v>
      </c>
      <c r="C167" s="105"/>
      <c r="D167" s="1"/>
      <c r="E167" s="1"/>
    </row>
    <row r="168" ht="30.0" customHeight="1">
      <c r="B168" s="106" t="s">
        <v>51</v>
      </c>
      <c r="C168" s="102"/>
      <c r="D168" s="1"/>
      <c r="E168" s="1"/>
    </row>
    <row r="169" ht="30.0" customHeight="1">
      <c r="B169" s="103" t="s">
        <v>74</v>
      </c>
      <c r="C169" s="105"/>
      <c r="D169" s="1"/>
      <c r="E169" s="1"/>
    </row>
    <row r="170" ht="30.0" customHeight="1">
      <c r="B170" s="106" t="s">
        <v>174</v>
      </c>
      <c r="C170" s="102"/>
      <c r="D170" s="1"/>
      <c r="E170" s="1"/>
    </row>
    <row r="171" ht="30.0" customHeight="1">
      <c r="B171" s="108" t="s">
        <v>55</v>
      </c>
      <c r="C171" s="105"/>
      <c r="D171" s="1"/>
      <c r="E171" s="1"/>
    </row>
    <row r="172" ht="30.0" customHeight="1">
      <c r="B172" s="109" t="s">
        <v>146</v>
      </c>
      <c r="C172" s="102"/>
      <c r="D172" s="1"/>
      <c r="E172" s="1"/>
    </row>
    <row r="173" ht="30.0" customHeight="1">
      <c r="B173" s="110" t="s">
        <v>173</v>
      </c>
      <c r="C173" s="105"/>
      <c r="D173" s="1"/>
      <c r="E173" s="1"/>
    </row>
    <row r="174" ht="30.0" customHeight="1">
      <c r="B174" s="109" t="s">
        <v>269</v>
      </c>
      <c r="C174" s="102"/>
      <c r="D174" s="1"/>
      <c r="E174" s="1"/>
    </row>
    <row r="175" ht="30.0" customHeight="1">
      <c r="B175" s="110" t="s">
        <v>108</v>
      </c>
      <c r="C175" s="105"/>
      <c r="D175" s="1"/>
      <c r="E175" s="1"/>
    </row>
    <row r="176" ht="30.0" customHeight="1">
      <c r="B176" s="111" t="s">
        <v>168</v>
      </c>
      <c r="C176" s="102"/>
      <c r="D176" s="1"/>
      <c r="E176" s="1"/>
    </row>
    <row r="177" ht="30.0" customHeight="1">
      <c r="B177" s="112" t="s">
        <v>175</v>
      </c>
      <c r="C177" s="105"/>
      <c r="D177" s="1"/>
      <c r="E177" s="1"/>
    </row>
    <row r="178" ht="30.0" customHeight="1">
      <c r="B178" s="111" t="s">
        <v>150</v>
      </c>
      <c r="C178" s="102"/>
      <c r="D178" s="1"/>
      <c r="E178" s="1"/>
    </row>
    <row r="179" ht="30.0" customHeight="1">
      <c r="B179" s="112" t="s">
        <v>111</v>
      </c>
      <c r="C179" s="105"/>
      <c r="D179" s="1"/>
      <c r="E179" s="1"/>
    </row>
    <row r="180" ht="30.0" customHeight="1">
      <c r="B180" s="111" t="s">
        <v>132</v>
      </c>
      <c r="C180" s="102"/>
      <c r="D180" s="1"/>
      <c r="E180" s="1"/>
    </row>
    <row r="181" ht="30.0" customHeight="1">
      <c r="B181" s="112" t="s">
        <v>82</v>
      </c>
      <c r="C181" s="105"/>
      <c r="D181" s="1"/>
      <c r="E181" s="1"/>
    </row>
    <row r="182" ht="30.0" customHeight="1">
      <c r="B182" s="111" t="s">
        <v>167</v>
      </c>
      <c r="C182" s="102"/>
      <c r="D182" s="1"/>
      <c r="E182" s="1"/>
    </row>
    <row r="183" ht="30.0" customHeight="1">
      <c r="B183" s="112" t="s">
        <v>112</v>
      </c>
      <c r="C183" s="105"/>
      <c r="D183" s="1"/>
      <c r="E183" s="1"/>
    </row>
    <row r="184" ht="30.0" customHeight="1">
      <c r="B184" s="111" t="s">
        <v>169</v>
      </c>
      <c r="C184" s="102"/>
      <c r="D184" s="1"/>
      <c r="E184" s="1"/>
    </row>
    <row r="185" ht="30.0" customHeight="1">
      <c r="B185" s="112" t="s">
        <v>151</v>
      </c>
      <c r="C185" s="105"/>
      <c r="D185" s="1"/>
      <c r="E185" s="1"/>
    </row>
    <row r="186" ht="30.0" customHeight="1">
      <c r="B186" s="111" t="s">
        <v>134</v>
      </c>
      <c r="C186" s="102"/>
      <c r="D186" s="1"/>
      <c r="E186" s="1"/>
    </row>
    <row r="187" ht="30.0" customHeight="1">
      <c r="B187" s="112" t="s">
        <v>170</v>
      </c>
      <c r="C187" s="105"/>
      <c r="D187" s="1"/>
      <c r="E187" s="1"/>
    </row>
    <row r="188" ht="30.0" customHeight="1">
      <c r="B188" s="111" t="s">
        <v>198</v>
      </c>
      <c r="C188" s="102"/>
      <c r="D188" s="1"/>
      <c r="E188" s="1"/>
    </row>
    <row r="189" ht="30.0" customHeight="1">
      <c r="B189" s="112" t="s">
        <v>85</v>
      </c>
      <c r="C189" s="105"/>
      <c r="D189" s="1"/>
      <c r="E189" s="1"/>
    </row>
    <row r="190" ht="30.0" customHeight="1">
      <c r="B190" s="111" t="s">
        <v>177</v>
      </c>
      <c r="C190" s="102"/>
      <c r="D190" s="1"/>
      <c r="E190" s="1"/>
    </row>
    <row r="191" ht="30.0" customHeight="1">
      <c r="B191" s="112" t="s">
        <v>63</v>
      </c>
      <c r="C191" s="105"/>
      <c r="D191" s="1"/>
      <c r="E191" s="1"/>
    </row>
    <row r="192" ht="30.0" customHeight="1">
      <c r="B192" s="111" t="s">
        <v>115</v>
      </c>
      <c r="C192" s="102"/>
      <c r="D192" s="1"/>
      <c r="E192" s="1"/>
    </row>
    <row r="193" ht="30.0" customHeight="1">
      <c r="B193" s="112" t="s">
        <v>64</v>
      </c>
      <c r="C193" s="105"/>
      <c r="D193" s="1"/>
      <c r="E193" s="1"/>
    </row>
    <row r="194" ht="30.0" customHeight="1">
      <c r="B194" s="111" t="s">
        <v>178</v>
      </c>
      <c r="C194" s="102"/>
      <c r="D194" s="1"/>
      <c r="E194" s="1"/>
    </row>
    <row r="195" ht="30.0" customHeight="1">
      <c r="B195" s="111" t="s">
        <v>157</v>
      </c>
      <c r="C195" s="102"/>
      <c r="D195" s="1"/>
      <c r="E195" s="1"/>
    </row>
    <row r="196" ht="30.0" customHeight="1">
      <c r="B196" s="112" t="s">
        <v>65</v>
      </c>
      <c r="C196" s="105"/>
      <c r="D196" s="1"/>
      <c r="E196" s="1"/>
    </row>
    <row r="197" ht="30.0" customHeight="1">
      <c r="B197" s="111" t="s">
        <v>87</v>
      </c>
      <c r="C197" s="102"/>
      <c r="D197" s="1"/>
      <c r="E197" s="1"/>
    </row>
    <row r="198" ht="30.0" customHeight="1">
      <c r="B198" s="112" t="s">
        <v>88</v>
      </c>
      <c r="C198" s="105"/>
      <c r="D198" s="1"/>
      <c r="E198" s="1"/>
    </row>
    <row r="199" ht="30.0" customHeight="1">
      <c r="B199" s="111" t="s">
        <v>138</v>
      </c>
      <c r="C199" s="102"/>
      <c r="D199" s="1"/>
      <c r="E199" s="1"/>
    </row>
    <row r="200" ht="30.0" customHeight="1">
      <c r="B200" s="112" t="s">
        <v>139</v>
      </c>
      <c r="C200" s="105"/>
      <c r="D200" s="1"/>
      <c r="E200" s="1"/>
    </row>
    <row r="201" ht="30.0" customHeight="1">
      <c r="B201" s="111" t="s">
        <v>159</v>
      </c>
      <c r="C201" s="102"/>
      <c r="D201" s="1"/>
      <c r="E201" s="1"/>
    </row>
    <row r="202" ht="30.0" customHeight="1">
      <c r="B202" s="112" t="s">
        <v>185</v>
      </c>
      <c r="C202" s="105"/>
      <c r="D202" s="1"/>
      <c r="E202" s="1"/>
    </row>
    <row r="203" ht="30.0" customHeight="1">
      <c r="B203" s="111" t="s">
        <v>191</v>
      </c>
      <c r="C203" s="102"/>
      <c r="D203" s="1"/>
      <c r="E203" s="1"/>
    </row>
    <row r="204" ht="30.0" customHeight="1">
      <c r="B204" s="112" t="s">
        <v>192</v>
      </c>
      <c r="C204" s="105"/>
      <c r="D204" s="1"/>
      <c r="E204" s="1"/>
    </row>
    <row r="205" ht="30.0" customHeight="1">
      <c r="B205" s="111" t="s">
        <v>193</v>
      </c>
      <c r="C205" s="102"/>
      <c r="D205" s="1"/>
      <c r="E205" s="1"/>
    </row>
    <row r="206" ht="30.0" customHeight="1">
      <c r="B206" s="112" t="s">
        <v>186</v>
      </c>
      <c r="C206" s="105"/>
      <c r="D206" s="1"/>
      <c r="E206" s="1"/>
    </row>
    <row r="207" ht="30.0" customHeight="1">
      <c r="B207" s="111" t="s">
        <v>194</v>
      </c>
      <c r="C207" s="102"/>
      <c r="D207" s="1"/>
      <c r="E207" s="1"/>
    </row>
    <row r="208" ht="30.0" customHeight="1">
      <c r="B208" s="112" t="s">
        <v>206</v>
      </c>
      <c r="C208" s="105"/>
      <c r="D208" s="1"/>
      <c r="E208" s="1"/>
    </row>
    <row r="209" ht="30.0" customHeight="1">
      <c r="B209" s="111" t="s">
        <v>188</v>
      </c>
      <c r="C209" s="102"/>
      <c r="D209" s="1"/>
      <c r="E209" s="1"/>
    </row>
    <row r="210" ht="30.0" customHeight="1">
      <c r="B210" s="112" t="s">
        <v>195</v>
      </c>
      <c r="C210" s="105"/>
      <c r="D210" s="1"/>
      <c r="E210" s="1"/>
    </row>
    <row r="211" ht="30.0" customHeight="1">
      <c r="B211" s="111" t="s">
        <v>196</v>
      </c>
      <c r="C211" s="102"/>
      <c r="D211" s="1"/>
      <c r="E211" s="1"/>
    </row>
    <row r="212" ht="30.0" customHeight="1">
      <c r="B212" s="112" t="s">
        <v>202</v>
      </c>
      <c r="C212" s="105"/>
      <c r="D212" s="1"/>
      <c r="E212" s="1"/>
    </row>
    <row r="213" ht="30.0" customHeight="1">
      <c r="B213" s="111" t="s">
        <v>207</v>
      </c>
      <c r="C213" s="102"/>
      <c r="D213" s="1"/>
      <c r="E213" s="1"/>
    </row>
    <row r="214" ht="30.0" customHeight="1">
      <c r="B214" s="112" t="s">
        <v>208</v>
      </c>
      <c r="C214" s="105"/>
      <c r="D214" s="1"/>
      <c r="E214" s="1"/>
    </row>
    <row r="215" ht="30.0" customHeight="1">
      <c r="B215" s="111" t="s">
        <v>197</v>
      </c>
      <c r="C215" s="102"/>
      <c r="D215" s="1"/>
      <c r="E215" s="1"/>
    </row>
    <row r="216" ht="30.0" customHeight="1">
      <c r="B216" s="112" t="s">
        <v>190</v>
      </c>
      <c r="C216" s="105"/>
      <c r="D216" s="1"/>
      <c r="E216" s="1"/>
    </row>
    <row r="217" ht="30.0" customHeight="1">
      <c r="B217" s="111" t="s">
        <v>203</v>
      </c>
      <c r="C217" s="102"/>
      <c r="D217" s="1"/>
      <c r="E217" s="1"/>
    </row>
    <row r="218" ht="30.0" customHeight="1">
      <c r="B218" s="112" t="s">
        <v>270</v>
      </c>
      <c r="C218" s="105"/>
      <c r="D218" s="1"/>
      <c r="E218" s="1"/>
    </row>
    <row r="219" ht="30.0" customHeight="1">
      <c r="B219" s="111" t="s">
        <v>271</v>
      </c>
      <c r="C219" s="102"/>
      <c r="D219" s="1"/>
      <c r="E219" s="1"/>
    </row>
    <row r="220" ht="30.0" customHeight="1">
      <c r="B220" s="112" t="s">
        <v>272</v>
      </c>
      <c r="C220" s="105"/>
      <c r="D220" s="1"/>
      <c r="E220" s="1"/>
    </row>
    <row r="221" ht="30.0" customHeight="1">
      <c r="B221" s="111" t="s">
        <v>273</v>
      </c>
      <c r="C221" s="102"/>
      <c r="D221" s="1"/>
      <c r="E221" s="1"/>
    </row>
    <row r="222" ht="30.0" customHeight="1">
      <c r="B222" s="112" t="s">
        <v>274</v>
      </c>
      <c r="C222" s="105"/>
      <c r="D222" s="1"/>
      <c r="E222" s="1"/>
    </row>
    <row r="223" ht="30.0" customHeight="1">
      <c r="B223" s="111" t="s">
        <v>275</v>
      </c>
      <c r="C223" s="102"/>
      <c r="D223" s="1"/>
      <c r="E223" s="1"/>
    </row>
    <row r="224" ht="30.0" customHeight="1">
      <c r="B224" s="112" t="s">
        <v>276</v>
      </c>
      <c r="C224" s="105"/>
      <c r="D224" s="1"/>
      <c r="E224" s="1"/>
    </row>
    <row r="225" ht="30.0" customHeight="1">
      <c r="B225" s="111" t="s">
        <v>277</v>
      </c>
      <c r="C225" s="102"/>
      <c r="D225" s="1"/>
      <c r="E225" s="1"/>
    </row>
    <row r="226" ht="30.0" customHeight="1">
      <c r="B226" s="112" t="s">
        <v>275</v>
      </c>
      <c r="C226" s="105"/>
      <c r="D226" s="1"/>
      <c r="E226" s="1"/>
    </row>
    <row r="227" ht="30.0" customHeight="1">
      <c r="B227" s="111" t="s">
        <v>278</v>
      </c>
      <c r="C227" s="102"/>
      <c r="D227" s="1"/>
      <c r="E227" s="1"/>
    </row>
    <row r="228" ht="30.0" customHeight="1">
      <c r="B228" s="112" t="s">
        <v>279</v>
      </c>
      <c r="C228" s="105"/>
      <c r="D228" s="1"/>
      <c r="E228" s="1"/>
    </row>
    <row r="229" ht="30.0" customHeight="1">
      <c r="B229" s="111" t="s">
        <v>280</v>
      </c>
      <c r="C229" s="102"/>
      <c r="D229" s="1"/>
      <c r="E229" s="1"/>
    </row>
    <row r="230" ht="30.0" customHeight="1">
      <c r="B230" s="112" t="s">
        <v>281</v>
      </c>
      <c r="C230" s="105"/>
      <c r="D230" s="1"/>
      <c r="E230" s="1"/>
    </row>
    <row r="231" ht="30.0" customHeight="1">
      <c r="B231" s="111" t="s">
        <v>282</v>
      </c>
      <c r="C231" s="102"/>
      <c r="D231" s="1"/>
      <c r="E231" s="1"/>
    </row>
    <row r="232" ht="30.0" customHeight="1">
      <c r="B232" s="112" t="s">
        <v>283</v>
      </c>
      <c r="C232" s="105"/>
      <c r="D232" s="1"/>
      <c r="E232" s="1"/>
    </row>
    <row r="233" ht="30.0" customHeight="1">
      <c r="B233" s="111" t="s">
        <v>284</v>
      </c>
      <c r="C233" s="102"/>
      <c r="D233" s="1"/>
      <c r="E233" s="1"/>
    </row>
    <row r="234" ht="30.0" customHeight="1">
      <c r="B234" s="112" t="s">
        <v>285</v>
      </c>
      <c r="C234" s="105"/>
      <c r="D234" s="1"/>
      <c r="E234" s="1"/>
    </row>
    <row r="235" ht="30.0" customHeight="1">
      <c r="B235" s="111" t="s">
        <v>286</v>
      </c>
      <c r="C235" s="102"/>
      <c r="D235" s="1"/>
      <c r="E235" s="1"/>
    </row>
    <row r="236" ht="30.0" customHeight="1">
      <c r="B236" s="112" t="s">
        <v>287</v>
      </c>
      <c r="C236" s="105"/>
      <c r="D236" s="1"/>
      <c r="E236" s="1"/>
    </row>
    <row r="237" ht="30.0" customHeight="1">
      <c r="B237" s="111" t="s">
        <v>288</v>
      </c>
      <c r="C237" s="102"/>
      <c r="D237" s="1"/>
      <c r="E237" s="1"/>
    </row>
    <row r="238" ht="30.0" customHeight="1">
      <c r="B238" s="113" t="s">
        <v>289</v>
      </c>
      <c r="C238" s="76"/>
    </row>
    <row r="239" ht="30.0" customHeight="1">
      <c r="B239" s="113" t="s">
        <v>290</v>
      </c>
      <c r="C239" s="76"/>
    </row>
    <row r="240" ht="30.0" customHeight="1">
      <c r="B240" s="76"/>
      <c r="C240" s="76"/>
    </row>
    <row r="241" ht="30.0" customHeight="1">
      <c r="B241" s="76"/>
      <c r="C241" s="76"/>
    </row>
    <row r="242" ht="30.0" customHeight="1">
      <c r="B242" s="76"/>
      <c r="C242" s="76"/>
    </row>
    <row r="243" ht="30.0" customHeight="1">
      <c r="B243" s="76"/>
      <c r="C243" s="76"/>
    </row>
    <row r="244" ht="30.0" customHeight="1">
      <c r="B244" s="76"/>
      <c r="C244" s="76"/>
    </row>
    <row r="245" ht="30.0" customHeight="1">
      <c r="B245" s="76"/>
      <c r="C245" s="76"/>
    </row>
    <row r="246" ht="30.0" customHeight="1">
      <c r="B246" s="76"/>
      <c r="C246" s="76"/>
    </row>
    <row r="247" ht="30.0" customHeight="1">
      <c r="B247" s="76"/>
      <c r="C247" s="76"/>
    </row>
    <row r="248" ht="30.0" customHeight="1">
      <c r="B248" s="76"/>
      <c r="C248" s="76"/>
    </row>
    <row r="249" ht="30.0" customHeight="1">
      <c r="B249" s="76"/>
      <c r="C249" s="76"/>
    </row>
    <row r="250" ht="30.0" customHeight="1">
      <c r="B250" s="76"/>
      <c r="C250" s="76"/>
    </row>
    <row r="251" ht="30.0" customHeight="1">
      <c r="B251" s="76"/>
      <c r="C251" s="76"/>
    </row>
    <row r="252" ht="30.0" customHeight="1">
      <c r="B252" s="76"/>
      <c r="C252" s="76"/>
    </row>
    <row r="253" ht="30.0" customHeight="1">
      <c r="B253" s="76"/>
      <c r="C253" s="76"/>
    </row>
    <row r="254" ht="30.0" customHeight="1">
      <c r="B254" s="76"/>
      <c r="C254" s="76"/>
    </row>
    <row r="255" ht="30.0" customHeight="1">
      <c r="B255" s="76"/>
      <c r="C255" s="76"/>
    </row>
    <row r="256" ht="30.0" customHeight="1">
      <c r="B256" s="76"/>
      <c r="C256" s="76"/>
    </row>
    <row r="257" ht="30.0" customHeight="1">
      <c r="B257" s="76"/>
      <c r="C257" s="76"/>
    </row>
    <row r="258" ht="30.0" customHeight="1">
      <c r="B258" s="76"/>
      <c r="C258" s="76"/>
    </row>
    <row r="259" ht="30.0" customHeight="1">
      <c r="B259" s="76"/>
      <c r="C259" s="76"/>
    </row>
    <row r="260" ht="30.0" customHeight="1">
      <c r="B260" s="76"/>
      <c r="C260" s="76"/>
    </row>
    <row r="261" ht="30.0" customHeight="1">
      <c r="B261" s="76"/>
      <c r="C261" s="76"/>
    </row>
    <row r="262" ht="30.0" customHeight="1">
      <c r="B262" s="76"/>
      <c r="C262" s="76"/>
    </row>
    <row r="263" ht="30.0" customHeight="1">
      <c r="B263" s="76"/>
      <c r="C263" s="76"/>
    </row>
    <row r="264" ht="30.0" customHeight="1">
      <c r="B264" s="76"/>
      <c r="C264" s="76"/>
    </row>
    <row r="265" ht="30.0" customHeight="1">
      <c r="B265" s="76"/>
      <c r="C265" s="76"/>
    </row>
    <row r="266" ht="30.0" customHeight="1">
      <c r="B266" s="76"/>
      <c r="C266" s="76"/>
    </row>
    <row r="267" ht="30.0" customHeight="1">
      <c r="B267" s="76"/>
      <c r="C267" s="76"/>
    </row>
    <row r="268" ht="30.0" customHeight="1">
      <c r="B268" s="76"/>
      <c r="C268" s="76"/>
    </row>
    <row r="269" ht="30.0" customHeight="1">
      <c r="B269" s="76"/>
      <c r="C269" s="76"/>
    </row>
    <row r="270" ht="30.0" customHeight="1">
      <c r="B270" s="76"/>
      <c r="C270" s="76"/>
    </row>
    <row r="271" ht="30.0" customHeight="1">
      <c r="B271" s="76"/>
      <c r="C271" s="76"/>
    </row>
    <row r="272" ht="30.0" customHeight="1">
      <c r="B272" s="76"/>
      <c r="C272" s="76"/>
    </row>
    <row r="273" ht="30.0" customHeight="1">
      <c r="B273" s="76"/>
      <c r="C273" s="76"/>
    </row>
    <row r="274" ht="30.0" customHeight="1">
      <c r="B274" s="76"/>
      <c r="C274" s="76"/>
    </row>
    <row r="275" ht="30.0" customHeight="1">
      <c r="B275" s="76"/>
      <c r="C275" s="76"/>
    </row>
    <row r="276" ht="30.0" customHeight="1">
      <c r="B276" s="76"/>
      <c r="C276" s="76"/>
    </row>
    <row r="277" ht="30.0" customHeight="1">
      <c r="B277" s="76"/>
      <c r="C277" s="76"/>
    </row>
    <row r="278" ht="30.0" customHeight="1">
      <c r="B278" s="76"/>
      <c r="C278" s="76"/>
    </row>
    <row r="279" ht="30.0" customHeight="1">
      <c r="B279" s="76"/>
      <c r="C279" s="76"/>
    </row>
    <row r="280" ht="30.0" customHeight="1">
      <c r="B280" s="76"/>
      <c r="C280" s="76"/>
    </row>
    <row r="281" ht="30.0" customHeight="1">
      <c r="B281" s="76"/>
      <c r="C281" s="76"/>
    </row>
    <row r="282" ht="30.0" customHeight="1">
      <c r="B282" s="76"/>
      <c r="C282" s="76"/>
    </row>
    <row r="283" ht="30.0" customHeight="1">
      <c r="B283" s="76"/>
      <c r="C283" s="76"/>
    </row>
    <row r="284" ht="30.0" customHeight="1">
      <c r="B284" s="76"/>
      <c r="C284" s="76"/>
    </row>
    <row r="285" ht="30.0" customHeight="1">
      <c r="B285" s="76"/>
      <c r="C285" s="76"/>
    </row>
    <row r="286" ht="30.0" customHeight="1">
      <c r="B286" s="76"/>
      <c r="C286" s="76"/>
    </row>
    <row r="287" ht="30.0" customHeight="1">
      <c r="B287" s="76"/>
      <c r="C287" s="76"/>
    </row>
    <row r="288" ht="30.0" customHeight="1">
      <c r="B288" s="76"/>
      <c r="C288" s="76"/>
    </row>
    <row r="289" ht="30.0" customHeight="1">
      <c r="B289" s="76"/>
      <c r="C289" s="76"/>
    </row>
    <row r="290" ht="30.0" customHeight="1">
      <c r="B290" s="76"/>
      <c r="C290" s="76"/>
    </row>
    <row r="291" ht="30.0" customHeight="1">
      <c r="B291" s="76"/>
      <c r="C291" s="76"/>
    </row>
    <row r="292" ht="30.0" customHeight="1">
      <c r="B292" s="76"/>
      <c r="C292" s="76"/>
    </row>
    <row r="293" ht="30.0" customHeight="1">
      <c r="B293" s="76"/>
      <c r="C293" s="76"/>
    </row>
    <row r="294" ht="30.0" customHeight="1">
      <c r="B294" s="76"/>
      <c r="C294" s="76"/>
    </row>
    <row r="295" ht="30.0" customHeight="1">
      <c r="B295" s="76"/>
      <c r="C295" s="76"/>
    </row>
    <row r="296" ht="30.0" customHeight="1">
      <c r="B296" s="76"/>
      <c r="C296" s="76"/>
    </row>
    <row r="297" ht="30.0" customHeight="1">
      <c r="B297" s="76"/>
      <c r="C297" s="76"/>
    </row>
    <row r="298" ht="30.0" customHeight="1">
      <c r="B298" s="76"/>
      <c r="C298" s="76"/>
    </row>
    <row r="299" ht="30.0" customHeight="1">
      <c r="B299" s="76"/>
      <c r="C299" s="76"/>
    </row>
    <row r="300" ht="30.0" customHeight="1">
      <c r="B300" s="76"/>
      <c r="C300" s="76"/>
    </row>
    <row r="301" ht="30.0" customHeight="1">
      <c r="B301" s="76"/>
      <c r="C301" s="76"/>
    </row>
    <row r="302" ht="30.0" customHeight="1">
      <c r="B302" s="76"/>
      <c r="C302" s="76"/>
    </row>
    <row r="303" ht="30.0" customHeight="1">
      <c r="B303" s="76"/>
      <c r="C303" s="76"/>
    </row>
    <row r="304" ht="30.0" customHeight="1">
      <c r="B304" s="76"/>
      <c r="C304" s="76"/>
    </row>
    <row r="305" ht="30.0" customHeight="1">
      <c r="B305" s="76"/>
      <c r="C305" s="76"/>
    </row>
    <row r="306" ht="30.0" customHeight="1">
      <c r="B306" s="76"/>
      <c r="C306" s="76"/>
    </row>
    <row r="307" ht="30.0" customHeight="1">
      <c r="B307" s="76"/>
      <c r="C307" s="76"/>
    </row>
    <row r="308" ht="30.0" customHeight="1">
      <c r="B308" s="76"/>
      <c r="C308" s="76"/>
    </row>
    <row r="309" ht="30.0" customHeight="1">
      <c r="B309" s="76"/>
      <c r="C309" s="76"/>
    </row>
    <row r="310" ht="30.0" customHeight="1">
      <c r="B310" s="76"/>
      <c r="C310" s="76"/>
    </row>
    <row r="311" ht="30.0" customHeight="1">
      <c r="B311" s="76"/>
      <c r="C311" s="76"/>
    </row>
    <row r="312" ht="30.0" customHeight="1">
      <c r="B312" s="76"/>
      <c r="C312" s="76"/>
    </row>
    <row r="313" ht="30.0" customHeight="1">
      <c r="B313" s="76"/>
      <c r="C313" s="76"/>
    </row>
    <row r="314" ht="30.0" customHeight="1">
      <c r="B314" s="76"/>
      <c r="C314" s="76"/>
    </row>
    <row r="315" ht="30.0" customHeight="1">
      <c r="B315" s="76"/>
      <c r="C315" s="76"/>
    </row>
    <row r="316" ht="30.0" customHeight="1">
      <c r="B316" s="76"/>
      <c r="C316" s="76"/>
    </row>
    <row r="317" ht="30.0" customHeight="1">
      <c r="B317" s="76"/>
      <c r="C317" s="76"/>
    </row>
    <row r="318" ht="30.0" customHeight="1">
      <c r="B318" s="76"/>
      <c r="C318" s="76"/>
    </row>
    <row r="319" ht="30.0" customHeight="1">
      <c r="B319" s="76"/>
      <c r="C319" s="76"/>
    </row>
    <row r="320" ht="30.0" customHeight="1">
      <c r="B320" s="76"/>
      <c r="C320" s="76"/>
    </row>
    <row r="321" ht="30.0" customHeight="1">
      <c r="B321" s="76"/>
      <c r="C321" s="76"/>
    </row>
    <row r="322" ht="30.0" customHeight="1">
      <c r="B322" s="76"/>
      <c r="C322" s="76"/>
    </row>
    <row r="323" ht="30.0" customHeight="1">
      <c r="B323" s="76"/>
      <c r="C323" s="76"/>
    </row>
    <row r="324" ht="30.0" customHeight="1">
      <c r="B324" s="76"/>
      <c r="C324" s="76"/>
    </row>
    <row r="325" ht="30.0" customHeight="1">
      <c r="B325" s="76"/>
      <c r="C325" s="76"/>
    </row>
    <row r="326" ht="30.0" customHeight="1">
      <c r="B326" s="76"/>
      <c r="C326" s="76"/>
    </row>
    <row r="327" ht="30.0" customHeight="1">
      <c r="B327" s="76"/>
      <c r="C327" s="76"/>
    </row>
    <row r="328" ht="30.0" customHeight="1">
      <c r="B328" s="76"/>
      <c r="C328" s="76"/>
    </row>
    <row r="329" ht="30.0" customHeight="1">
      <c r="B329" s="76"/>
      <c r="C329" s="76"/>
    </row>
    <row r="330" ht="30.0" customHeight="1">
      <c r="B330" s="76"/>
      <c r="C330" s="76"/>
    </row>
    <row r="331" ht="30.0" customHeight="1">
      <c r="B331" s="76"/>
      <c r="C331" s="76"/>
    </row>
    <row r="332" ht="30.0" customHeight="1">
      <c r="B332" s="76"/>
      <c r="C332" s="76"/>
    </row>
    <row r="333" ht="30.0" customHeight="1">
      <c r="B333" s="76"/>
      <c r="C333" s="76"/>
    </row>
    <row r="334" ht="30.0" customHeight="1">
      <c r="B334" s="76"/>
      <c r="C334" s="76"/>
    </row>
    <row r="335" ht="30.0" customHeight="1">
      <c r="B335" s="76"/>
      <c r="C335" s="76"/>
    </row>
    <row r="336" ht="30.0" customHeight="1">
      <c r="B336" s="76"/>
      <c r="C336" s="76"/>
    </row>
    <row r="337" ht="30.0" customHeight="1">
      <c r="B337" s="76"/>
      <c r="C337" s="76"/>
    </row>
    <row r="338" ht="30.0" customHeight="1">
      <c r="B338" s="76"/>
      <c r="C338" s="76"/>
    </row>
    <row r="339" ht="30.0" customHeight="1">
      <c r="B339" s="76"/>
      <c r="C339" s="76"/>
    </row>
    <row r="340" ht="30.0" customHeight="1">
      <c r="B340" s="76"/>
      <c r="C340" s="76"/>
    </row>
    <row r="341" ht="30.0" customHeight="1">
      <c r="B341" s="76"/>
      <c r="C341" s="76"/>
    </row>
    <row r="342" ht="30.0" customHeight="1">
      <c r="B342" s="76"/>
      <c r="C342" s="76"/>
    </row>
    <row r="343" ht="30.0" customHeight="1">
      <c r="B343" s="76"/>
      <c r="C343" s="76"/>
    </row>
    <row r="344" ht="30.0" customHeight="1">
      <c r="B344" s="76"/>
      <c r="C344" s="76"/>
    </row>
    <row r="345" ht="30.0" customHeight="1">
      <c r="B345" s="76"/>
      <c r="C345" s="76"/>
    </row>
    <row r="346" ht="30.0" customHeight="1">
      <c r="B346" s="76"/>
      <c r="C346" s="76"/>
    </row>
    <row r="347" ht="30.0" customHeight="1">
      <c r="B347" s="76"/>
      <c r="C347" s="76"/>
    </row>
    <row r="348" ht="30.0" customHeight="1">
      <c r="B348" s="76"/>
      <c r="C348" s="76"/>
    </row>
    <row r="349" ht="30.0" customHeight="1">
      <c r="B349" s="76"/>
      <c r="C349" s="76"/>
    </row>
    <row r="350" ht="30.0" customHeight="1">
      <c r="B350" s="76"/>
      <c r="C350" s="76"/>
    </row>
    <row r="351" ht="30.0" customHeight="1">
      <c r="B351" s="76"/>
      <c r="C351" s="76"/>
    </row>
    <row r="352" ht="30.0" customHeight="1">
      <c r="B352" s="76"/>
      <c r="C352" s="76"/>
    </row>
    <row r="353" ht="30.0" customHeight="1">
      <c r="B353" s="76"/>
      <c r="C353" s="76"/>
    </row>
    <row r="354" ht="30.0" customHeight="1">
      <c r="B354" s="76"/>
      <c r="C354" s="76"/>
    </row>
    <row r="355" ht="30.0" customHeight="1">
      <c r="B355" s="76"/>
      <c r="C355" s="76"/>
    </row>
    <row r="356" ht="30.0" customHeight="1">
      <c r="B356" s="76"/>
      <c r="C356" s="76"/>
    </row>
    <row r="357" ht="30.0" customHeight="1">
      <c r="B357" s="76"/>
      <c r="C357" s="76"/>
    </row>
    <row r="358" ht="30.0" customHeight="1">
      <c r="B358" s="76"/>
      <c r="C358" s="76"/>
    </row>
    <row r="359" ht="30.0" customHeight="1">
      <c r="B359" s="76"/>
      <c r="C359" s="76"/>
    </row>
    <row r="360" ht="30.0" customHeight="1">
      <c r="B360" s="76"/>
      <c r="C360" s="76"/>
    </row>
    <row r="361" ht="30.0" customHeight="1">
      <c r="B361" s="76"/>
      <c r="C361" s="76"/>
    </row>
    <row r="362" ht="30.0" customHeight="1">
      <c r="B362" s="76"/>
      <c r="C362" s="76"/>
    </row>
    <row r="363" ht="30.0" customHeight="1">
      <c r="B363" s="76"/>
      <c r="C363" s="76"/>
    </row>
    <row r="364" ht="30.0" customHeight="1">
      <c r="B364" s="76"/>
      <c r="C364" s="76"/>
    </row>
    <row r="365" ht="30.0" customHeight="1">
      <c r="B365" s="76"/>
      <c r="C365" s="76"/>
    </row>
    <row r="366" ht="30.0" customHeight="1">
      <c r="B366" s="76"/>
      <c r="C366" s="76"/>
    </row>
    <row r="367" ht="30.0" customHeight="1">
      <c r="B367" s="76"/>
      <c r="C367" s="76"/>
    </row>
    <row r="368" ht="30.0" customHeight="1">
      <c r="B368" s="76"/>
      <c r="C368" s="76"/>
    </row>
    <row r="369" ht="30.0" customHeight="1">
      <c r="B369" s="76"/>
      <c r="C369" s="76"/>
    </row>
    <row r="370" ht="30.0" customHeight="1">
      <c r="B370" s="76"/>
      <c r="C370" s="76"/>
    </row>
    <row r="371" ht="30.0" customHeight="1">
      <c r="B371" s="76"/>
      <c r="C371" s="76"/>
    </row>
    <row r="372" ht="30.0" customHeight="1">
      <c r="B372" s="76"/>
      <c r="C372" s="76"/>
    </row>
    <row r="373" ht="30.0" customHeight="1">
      <c r="B373" s="76"/>
      <c r="C373" s="76"/>
    </row>
    <row r="374" ht="30.0" customHeight="1">
      <c r="B374" s="76"/>
      <c r="C374" s="76"/>
    </row>
    <row r="375" ht="30.0" customHeight="1">
      <c r="B375" s="76"/>
      <c r="C375" s="76"/>
    </row>
    <row r="376" ht="30.0" customHeight="1">
      <c r="B376" s="76"/>
      <c r="C376" s="76"/>
    </row>
    <row r="377" ht="30.0" customHeight="1">
      <c r="B377" s="76"/>
      <c r="C377" s="76"/>
    </row>
    <row r="378" ht="30.0" customHeight="1">
      <c r="B378" s="76"/>
      <c r="C378" s="76"/>
    </row>
    <row r="379" ht="30.0" customHeight="1">
      <c r="B379" s="76"/>
      <c r="C379" s="76"/>
    </row>
    <row r="380" ht="30.0" customHeight="1">
      <c r="B380" s="76"/>
      <c r="C380" s="76"/>
    </row>
    <row r="381" ht="30.0" customHeight="1">
      <c r="B381" s="76"/>
      <c r="C381" s="76"/>
    </row>
    <row r="382" ht="30.0" customHeight="1">
      <c r="B382" s="76"/>
      <c r="C382" s="76"/>
    </row>
    <row r="383" ht="30.0" customHeight="1">
      <c r="B383" s="76"/>
      <c r="C383" s="76"/>
    </row>
    <row r="384" ht="30.0" customHeight="1">
      <c r="B384" s="76"/>
      <c r="C384" s="76"/>
    </row>
    <row r="385" ht="30.0" customHeight="1">
      <c r="B385" s="76"/>
      <c r="C385" s="76"/>
    </row>
    <row r="386" ht="30.0" customHeight="1">
      <c r="B386" s="76"/>
      <c r="C386" s="76"/>
    </row>
    <row r="387" ht="30.0" customHeight="1">
      <c r="B387" s="76"/>
      <c r="C387" s="76"/>
    </row>
    <row r="388" ht="30.0" customHeight="1">
      <c r="B388" s="76"/>
      <c r="C388" s="76"/>
    </row>
    <row r="389" ht="30.0" customHeight="1">
      <c r="B389" s="76"/>
      <c r="C389" s="76"/>
    </row>
    <row r="390" ht="30.0" customHeight="1">
      <c r="B390" s="76"/>
      <c r="C390" s="76"/>
    </row>
    <row r="391" ht="30.0" customHeight="1">
      <c r="B391" s="76"/>
      <c r="C391" s="76"/>
    </row>
    <row r="392" ht="30.0" customHeight="1">
      <c r="B392" s="76"/>
      <c r="C392" s="76"/>
    </row>
    <row r="393" ht="30.0" customHeight="1">
      <c r="B393" s="76"/>
      <c r="C393" s="76"/>
    </row>
    <row r="394" ht="30.0" customHeight="1">
      <c r="B394" s="76"/>
      <c r="C394" s="76"/>
    </row>
    <row r="395" ht="30.0" customHeight="1">
      <c r="B395" s="76"/>
      <c r="C395" s="76"/>
    </row>
    <row r="396" ht="30.0" customHeight="1">
      <c r="B396" s="76"/>
      <c r="C396" s="76"/>
    </row>
    <row r="397" ht="30.0" customHeight="1">
      <c r="B397" s="76"/>
      <c r="C397" s="76"/>
    </row>
    <row r="398" ht="30.0" customHeight="1">
      <c r="B398" s="76"/>
      <c r="C398" s="76"/>
    </row>
    <row r="399" ht="30.0" customHeight="1">
      <c r="B399" s="76"/>
      <c r="C399" s="76"/>
    </row>
    <row r="400" ht="30.0" customHeight="1">
      <c r="B400" s="76"/>
      <c r="C400" s="76"/>
    </row>
    <row r="401" ht="30.0" customHeight="1">
      <c r="B401" s="76"/>
      <c r="C401" s="76"/>
    </row>
    <row r="402" ht="30.0" customHeight="1">
      <c r="B402" s="76"/>
      <c r="C402" s="76"/>
    </row>
    <row r="403" ht="30.0" customHeight="1">
      <c r="B403" s="76"/>
      <c r="C403" s="76"/>
    </row>
    <row r="404" ht="30.0" customHeight="1">
      <c r="B404" s="76"/>
      <c r="C404" s="76"/>
    </row>
    <row r="405" ht="30.0" customHeight="1">
      <c r="B405" s="76"/>
      <c r="C405" s="76"/>
    </row>
    <row r="406" ht="30.0" customHeight="1">
      <c r="B406" s="76"/>
      <c r="C406" s="76"/>
    </row>
    <row r="407" ht="30.0" customHeight="1">
      <c r="B407" s="76"/>
      <c r="C407" s="76"/>
    </row>
    <row r="408" ht="30.0" customHeight="1">
      <c r="B408" s="76"/>
      <c r="C408" s="76"/>
    </row>
    <row r="409" ht="30.0" customHeight="1">
      <c r="B409" s="76"/>
      <c r="C409" s="76"/>
    </row>
    <row r="410" ht="30.0" customHeight="1">
      <c r="B410" s="76"/>
      <c r="C410" s="76"/>
    </row>
    <row r="411" ht="30.0" customHeight="1">
      <c r="B411" s="76"/>
      <c r="C411" s="76"/>
    </row>
    <row r="412" ht="30.0" customHeight="1">
      <c r="B412" s="76"/>
      <c r="C412" s="76"/>
    </row>
    <row r="413" ht="30.0" customHeight="1">
      <c r="B413" s="76"/>
      <c r="C413" s="76"/>
    </row>
    <row r="414" ht="30.0" customHeight="1">
      <c r="B414" s="76"/>
      <c r="C414" s="76"/>
    </row>
    <row r="415" ht="30.0" customHeight="1">
      <c r="B415" s="76"/>
      <c r="C415" s="76"/>
    </row>
    <row r="416" ht="30.0" customHeight="1">
      <c r="B416" s="76"/>
      <c r="C416" s="76"/>
    </row>
    <row r="417" ht="30.0" customHeight="1">
      <c r="B417" s="76"/>
      <c r="C417" s="76"/>
    </row>
    <row r="418" ht="30.0" customHeight="1">
      <c r="B418" s="76"/>
      <c r="C418" s="76"/>
    </row>
    <row r="419" ht="30.0" customHeight="1">
      <c r="B419" s="76"/>
      <c r="C419" s="76"/>
    </row>
    <row r="420" ht="30.0" customHeight="1">
      <c r="B420" s="76"/>
      <c r="C420" s="76"/>
    </row>
    <row r="421" ht="30.0" customHeight="1">
      <c r="B421" s="76"/>
      <c r="C421" s="76"/>
    </row>
    <row r="422" ht="30.0" customHeight="1">
      <c r="B422" s="76"/>
      <c r="C422" s="76"/>
    </row>
    <row r="423" ht="30.0" customHeight="1">
      <c r="B423" s="76"/>
      <c r="C423" s="76"/>
    </row>
    <row r="424" ht="30.0" customHeight="1">
      <c r="B424" s="76"/>
      <c r="C424" s="76"/>
    </row>
    <row r="425" ht="30.0" customHeight="1">
      <c r="B425" s="76"/>
      <c r="C425" s="76"/>
    </row>
    <row r="426" ht="30.0" customHeight="1">
      <c r="B426" s="76"/>
      <c r="C426" s="76"/>
    </row>
    <row r="427" ht="30.0" customHeight="1">
      <c r="B427" s="76"/>
      <c r="C427" s="76"/>
    </row>
    <row r="428" ht="30.0" customHeight="1">
      <c r="B428" s="76"/>
      <c r="C428" s="76"/>
    </row>
    <row r="429" ht="30.0" customHeight="1">
      <c r="B429" s="76"/>
      <c r="C429" s="76"/>
    </row>
    <row r="430" ht="30.0" customHeight="1">
      <c r="B430" s="76"/>
      <c r="C430" s="76"/>
    </row>
    <row r="431" ht="30.0" customHeight="1">
      <c r="B431" s="76"/>
      <c r="C431" s="76"/>
    </row>
    <row r="432" ht="30.0" customHeight="1">
      <c r="B432" s="76"/>
      <c r="C432" s="76"/>
    </row>
    <row r="433" ht="30.0" customHeight="1">
      <c r="B433" s="76"/>
      <c r="C433" s="76"/>
    </row>
    <row r="434" ht="30.0" customHeight="1">
      <c r="B434" s="76"/>
      <c r="C434" s="76"/>
    </row>
    <row r="435" ht="30.0" customHeight="1">
      <c r="B435" s="76"/>
      <c r="C435" s="76"/>
    </row>
    <row r="436" ht="30.0" customHeight="1">
      <c r="B436" s="76"/>
      <c r="C436" s="76"/>
    </row>
    <row r="437" ht="30.0" customHeight="1">
      <c r="B437" s="76"/>
      <c r="C437" s="76"/>
    </row>
    <row r="438" ht="30.0" customHeight="1">
      <c r="B438" s="76"/>
      <c r="C438" s="76"/>
    </row>
    <row r="439" ht="30.0" customHeight="1">
      <c r="B439" s="76"/>
      <c r="C439" s="76"/>
    </row>
    <row r="440" ht="30.0" customHeight="1">
      <c r="B440" s="76"/>
      <c r="C440" s="76"/>
    </row>
    <row r="441" ht="30.0" customHeight="1">
      <c r="B441" s="76"/>
      <c r="C441" s="76"/>
    </row>
    <row r="442" ht="30.0" customHeight="1">
      <c r="B442" s="76"/>
      <c r="C442" s="76"/>
    </row>
    <row r="443" ht="30.0" customHeight="1">
      <c r="B443" s="76"/>
      <c r="C443" s="76"/>
    </row>
    <row r="444" ht="30.0" customHeight="1">
      <c r="B444" s="76"/>
      <c r="C444" s="76"/>
    </row>
    <row r="445" ht="30.0" customHeight="1">
      <c r="B445" s="76"/>
      <c r="C445" s="76"/>
    </row>
    <row r="446" ht="30.0" customHeight="1">
      <c r="B446" s="76"/>
      <c r="C446" s="76"/>
    </row>
    <row r="447" ht="30.0" customHeight="1">
      <c r="B447" s="76"/>
      <c r="C447" s="76"/>
    </row>
    <row r="448" ht="30.0" customHeight="1">
      <c r="B448" s="76"/>
      <c r="C448" s="76"/>
    </row>
    <row r="449" ht="30.0" customHeight="1">
      <c r="B449" s="76"/>
      <c r="C449" s="76"/>
    </row>
    <row r="450" ht="30.0" customHeight="1">
      <c r="B450" s="76"/>
      <c r="C450" s="76"/>
    </row>
    <row r="451" ht="30.0" customHeight="1">
      <c r="B451" s="76"/>
      <c r="C451" s="76"/>
    </row>
    <row r="452" ht="30.0" customHeight="1">
      <c r="B452" s="76"/>
      <c r="C452" s="76"/>
    </row>
    <row r="453" ht="30.0" customHeight="1">
      <c r="B453" s="76"/>
      <c r="C453" s="76"/>
    </row>
    <row r="454" ht="30.0" customHeight="1">
      <c r="B454" s="76"/>
      <c r="C454" s="76"/>
    </row>
    <row r="455" ht="30.0" customHeight="1">
      <c r="B455" s="76"/>
      <c r="C455" s="76"/>
    </row>
    <row r="456" ht="30.0" customHeight="1">
      <c r="B456" s="76"/>
      <c r="C456" s="76"/>
    </row>
    <row r="457" ht="30.0" customHeight="1">
      <c r="B457" s="76"/>
      <c r="C457" s="76"/>
    </row>
    <row r="458" ht="30.0" customHeight="1">
      <c r="B458" s="76"/>
      <c r="C458" s="76"/>
    </row>
    <row r="459" ht="30.0" customHeight="1">
      <c r="B459" s="76"/>
      <c r="C459" s="76"/>
    </row>
    <row r="460" ht="30.0" customHeight="1">
      <c r="B460" s="76"/>
      <c r="C460" s="76"/>
    </row>
    <row r="461" ht="30.0" customHeight="1">
      <c r="B461" s="76"/>
      <c r="C461" s="76"/>
    </row>
    <row r="462" ht="30.0" customHeight="1">
      <c r="B462" s="76"/>
      <c r="C462" s="76"/>
    </row>
    <row r="463" ht="30.0" customHeight="1">
      <c r="B463" s="76"/>
      <c r="C463" s="76"/>
    </row>
    <row r="464" ht="30.0" customHeight="1">
      <c r="B464" s="76"/>
      <c r="C464" s="76"/>
    </row>
    <row r="465" ht="30.0" customHeight="1">
      <c r="B465" s="76"/>
      <c r="C465" s="76"/>
    </row>
    <row r="466" ht="30.0" customHeight="1">
      <c r="B466" s="76"/>
      <c r="C466" s="76"/>
    </row>
    <row r="467" ht="30.0" customHeight="1">
      <c r="B467" s="76"/>
      <c r="C467" s="76"/>
    </row>
    <row r="468" ht="30.0" customHeight="1">
      <c r="B468" s="76"/>
      <c r="C468" s="76"/>
    </row>
    <row r="469" ht="30.0" customHeight="1">
      <c r="B469" s="76"/>
      <c r="C469" s="76"/>
    </row>
    <row r="470" ht="30.0" customHeight="1">
      <c r="B470" s="76"/>
      <c r="C470" s="76"/>
    </row>
    <row r="471" ht="30.0" customHeight="1">
      <c r="B471" s="76"/>
      <c r="C471" s="76"/>
    </row>
    <row r="472" ht="30.0" customHeight="1">
      <c r="B472" s="76"/>
      <c r="C472" s="76"/>
    </row>
    <row r="473" ht="30.0" customHeight="1">
      <c r="B473" s="76"/>
      <c r="C473" s="76"/>
    </row>
    <row r="474" ht="30.0" customHeight="1">
      <c r="B474" s="76"/>
      <c r="C474" s="76"/>
    </row>
    <row r="475" ht="30.0" customHeight="1">
      <c r="B475" s="76"/>
      <c r="C475" s="76"/>
    </row>
    <row r="476" ht="30.0" customHeight="1">
      <c r="B476" s="76"/>
      <c r="C476" s="76"/>
    </row>
    <row r="477" ht="30.0" customHeight="1">
      <c r="B477" s="76"/>
      <c r="C477" s="76"/>
    </row>
    <row r="478" ht="30.0" customHeight="1">
      <c r="B478" s="76"/>
      <c r="C478" s="76"/>
    </row>
    <row r="479" ht="30.0" customHeight="1">
      <c r="B479" s="76"/>
      <c r="C479" s="76"/>
    </row>
    <row r="480" ht="30.0" customHeight="1">
      <c r="B480" s="76"/>
      <c r="C480" s="76"/>
    </row>
    <row r="481" ht="30.0" customHeight="1">
      <c r="B481" s="76"/>
      <c r="C481" s="76"/>
    </row>
    <row r="482" ht="30.0" customHeight="1">
      <c r="B482" s="76"/>
      <c r="C482" s="76"/>
    </row>
    <row r="483" ht="30.0" customHeight="1">
      <c r="B483" s="76"/>
      <c r="C483" s="76"/>
    </row>
    <row r="484" ht="30.0" customHeight="1">
      <c r="B484" s="76"/>
      <c r="C484" s="76"/>
    </row>
    <row r="485" ht="30.0" customHeight="1">
      <c r="B485" s="76"/>
      <c r="C485" s="76"/>
    </row>
    <row r="486" ht="30.0" customHeight="1">
      <c r="B486" s="76"/>
      <c r="C486" s="76"/>
    </row>
    <row r="487" ht="30.0" customHeight="1">
      <c r="B487" s="76"/>
      <c r="C487" s="76"/>
    </row>
    <row r="488" ht="30.0" customHeight="1">
      <c r="B488" s="76"/>
      <c r="C488" s="76"/>
    </row>
    <row r="489" ht="30.0" customHeight="1">
      <c r="B489" s="76"/>
      <c r="C489" s="76"/>
    </row>
    <row r="490" ht="30.0" customHeight="1">
      <c r="B490" s="76"/>
      <c r="C490" s="76"/>
    </row>
    <row r="491" ht="30.0" customHeight="1">
      <c r="B491" s="76"/>
      <c r="C491" s="76"/>
    </row>
    <row r="492" ht="30.0" customHeight="1">
      <c r="B492" s="76"/>
      <c r="C492" s="76"/>
    </row>
    <row r="493" ht="30.0" customHeight="1">
      <c r="B493" s="76"/>
      <c r="C493" s="76"/>
    </row>
    <row r="494" ht="30.0" customHeight="1">
      <c r="B494" s="76"/>
      <c r="C494" s="76"/>
    </row>
    <row r="495" ht="30.0" customHeight="1">
      <c r="B495" s="76"/>
      <c r="C495" s="76"/>
    </row>
    <row r="496" ht="30.0" customHeight="1">
      <c r="B496" s="76"/>
      <c r="C496" s="76"/>
    </row>
    <row r="497" ht="30.0" customHeight="1">
      <c r="B497" s="76"/>
      <c r="C497" s="76"/>
    </row>
    <row r="498" ht="30.0" customHeight="1">
      <c r="B498" s="76"/>
      <c r="C498" s="76"/>
    </row>
    <row r="499" ht="30.0" customHeight="1">
      <c r="B499" s="76"/>
      <c r="C499" s="76"/>
    </row>
    <row r="500" ht="30.0" customHeight="1">
      <c r="B500" s="76"/>
      <c r="C500" s="76"/>
    </row>
    <row r="501" ht="30.0" customHeight="1">
      <c r="B501" s="76"/>
      <c r="C501" s="76"/>
    </row>
    <row r="502" ht="30.0" customHeight="1">
      <c r="B502" s="76"/>
      <c r="C502" s="76"/>
    </row>
    <row r="503" ht="30.0" customHeight="1">
      <c r="B503" s="76"/>
      <c r="C503" s="76"/>
    </row>
    <row r="504" ht="30.0" customHeight="1">
      <c r="B504" s="76"/>
      <c r="C504" s="76"/>
    </row>
    <row r="505" ht="30.0" customHeight="1">
      <c r="B505" s="76"/>
      <c r="C505" s="76"/>
    </row>
    <row r="506" ht="30.0" customHeight="1">
      <c r="B506" s="76"/>
      <c r="C506" s="76"/>
    </row>
    <row r="507" ht="30.0" customHeight="1">
      <c r="B507" s="76"/>
      <c r="C507" s="76"/>
    </row>
    <row r="508" ht="30.0" customHeight="1">
      <c r="B508" s="76"/>
      <c r="C508" s="76"/>
    </row>
    <row r="509" ht="30.0" customHeight="1">
      <c r="B509" s="76"/>
      <c r="C509" s="76"/>
    </row>
    <row r="510" ht="30.0" customHeight="1">
      <c r="B510" s="76"/>
      <c r="C510" s="76"/>
    </row>
    <row r="511" ht="30.0" customHeight="1">
      <c r="B511" s="76"/>
      <c r="C511" s="76"/>
    </row>
    <row r="512" ht="30.0" customHeight="1">
      <c r="B512" s="76"/>
      <c r="C512" s="76"/>
    </row>
    <row r="513" ht="30.0" customHeight="1">
      <c r="B513" s="76"/>
      <c r="C513" s="76"/>
    </row>
    <row r="514" ht="30.0" customHeight="1">
      <c r="B514" s="76"/>
      <c r="C514" s="76"/>
    </row>
    <row r="515" ht="30.0" customHeight="1">
      <c r="B515" s="76"/>
      <c r="C515" s="76"/>
    </row>
    <row r="516" ht="30.0" customHeight="1">
      <c r="B516" s="76"/>
      <c r="C516" s="76"/>
    </row>
    <row r="517" ht="30.0" customHeight="1">
      <c r="B517" s="76"/>
      <c r="C517" s="76"/>
    </row>
    <row r="518" ht="30.0" customHeight="1">
      <c r="B518" s="76"/>
      <c r="C518" s="76"/>
    </row>
    <row r="519" ht="30.0" customHeight="1">
      <c r="B519" s="76"/>
      <c r="C519" s="76"/>
    </row>
    <row r="520" ht="30.0" customHeight="1">
      <c r="B520" s="76"/>
      <c r="C520" s="76"/>
    </row>
    <row r="521" ht="30.0" customHeight="1">
      <c r="B521" s="76"/>
      <c r="C521" s="76"/>
    </row>
    <row r="522" ht="30.0" customHeight="1">
      <c r="B522" s="76"/>
      <c r="C522" s="76"/>
    </row>
    <row r="523" ht="30.0" customHeight="1">
      <c r="B523" s="76"/>
      <c r="C523" s="76"/>
    </row>
    <row r="524" ht="30.0" customHeight="1">
      <c r="B524" s="76"/>
      <c r="C524" s="76"/>
    </row>
    <row r="525" ht="30.0" customHeight="1">
      <c r="B525" s="76"/>
      <c r="C525" s="76"/>
    </row>
    <row r="526" ht="30.0" customHeight="1">
      <c r="B526" s="76"/>
      <c r="C526" s="76"/>
    </row>
    <row r="527" ht="30.0" customHeight="1">
      <c r="B527" s="76"/>
      <c r="C527" s="76"/>
    </row>
    <row r="528" ht="30.0" customHeight="1">
      <c r="B528" s="76"/>
      <c r="C528" s="76"/>
    </row>
    <row r="529" ht="30.0" customHeight="1">
      <c r="B529" s="76"/>
      <c r="C529" s="76"/>
    </row>
    <row r="530" ht="30.0" customHeight="1">
      <c r="B530" s="76"/>
      <c r="C530" s="76"/>
    </row>
    <row r="531" ht="30.0" customHeight="1">
      <c r="B531" s="76"/>
      <c r="C531" s="76"/>
    </row>
    <row r="532" ht="30.0" customHeight="1">
      <c r="B532" s="76"/>
      <c r="C532" s="76"/>
    </row>
    <row r="533" ht="30.0" customHeight="1">
      <c r="B533" s="76"/>
      <c r="C533" s="76"/>
    </row>
    <row r="534" ht="30.0" customHeight="1">
      <c r="B534" s="76"/>
      <c r="C534" s="76"/>
    </row>
    <row r="535" ht="30.0" customHeight="1">
      <c r="B535" s="76"/>
      <c r="C535" s="76"/>
    </row>
    <row r="536" ht="30.0" customHeight="1">
      <c r="B536" s="76"/>
      <c r="C536" s="76"/>
    </row>
    <row r="537" ht="30.0" customHeight="1">
      <c r="B537" s="76"/>
      <c r="C537" s="76"/>
    </row>
    <row r="538" ht="30.0" customHeight="1">
      <c r="B538" s="76"/>
      <c r="C538" s="76"/>
    </row>
    <row r="539" ht="30.0" customHeight="1">
      <c r="B539" s="76"/>
      <c r="C539" s="76"/>
    </row>
    <row r="540" ht="30.0" customHeight="1">
      <c r="B540" s="76"/>
      <c r="C540" s="76"/>
    </row>
    <row r="541" ht="30.0" customHeight="1">
      <c r="B541" s="76"/>
      <c r="C541" s="76"/>
    </row>
    <row r="542" ht="30.0" customHeight="1">
      <c r="B542" s="76"/>
      <c r="C542" s="76"/>
    </row>
    <row r="543" ht="30.0" customHeight="1">
      <c r="B543" s="76"/>
      <c r="C543" s="76"/>
    </row>
    <row r="544" ht="30.0" customHeight="1">
      <c r="B544" s="76"/>
      <c r="C544" s="76"/>
    </row>
    <row r="545" ht="30.0" customHeight="1">
      <c r="B545" s="76"/>
      <c r="C545" s="76"/>
    </row>
    <row r="546" ht="30.0" customHeight="1">
      <c r="B546" s="76"/>
      <c r="C546" s="76"/>
    </row>
    <row r="547" ht="30.0" customHeight="1">
      <c r="B547" s="76"/>
      <c r="C547" s="76"/>
    </row>
    <row r="548" ht="30.0" customHeight="1">
      <c r="B548" s="76"/>
      <c r="C548" s="76"/>
    </row>
    <row r="549" ht="30.0" customHeight="1">
      <c r="B549" s="76"/>
      <c r="C549" s="76"/>
    </row>
    <row r="550" ht="30.0" customHeight="1">
      <c r="B550" s="76"/>
      <c r="C550" s="76"/>
    </row>
    <row r="551" ht="30.0" customHeight="1">
      <c r="B551" s="76"/>
      <c r="C551" s="76"/>
    </row>
    <row r="552" ht="30.0" customHeight="1">
      <c r="B552" s="76"/>
      <c r="C552" s="76"/>
    </row>
    <row r="553" ht="30.0" customHeight="1">
      <c r="B553" s="76"/>
      <c r="C553" s="76"/>
    </row>
    <row r="554" ht="30.0" customHeight="1">
      <c r="B554" s="76"/>
      <c r="C554" s="76"/>
    </row>
    <row r="555" ht="30.0" customHeight="1">
      <c r="B555" s="76"/>
      <c r="C555" s="76"/>
    </row>
    <row r="556" ht="30.0" customHeight="1">
      <c r="B556" s="76"/>
      <c r="C556" s="76"/>
    </row>
    <row r="557" ht="30.0" customHeight="1">
      <c r="B557" s="76"/>
      <c r="C557" s="76"/>
    </row>
    <row r="558" ht="30.0" customHeight="1">
      <c r="B558" s="76"/>
      <c r="C558" s="76"/>
    </row>
    <row r="559" ht="30.0" customHeight="1">
      <c r="B559" s="76"/>
      <c r="C559" s="76"/>
    </row>
    <row r="560" ht="30.0" customHeight="1">
      <c r="B560" s="76"/>
      <c r="C560" s="76"/>
    </row>
    <row r="561" ht="30.0" customHeight="1">
      <c r="B561" s="76"/>
      <c r="C561" s="76"/>
    </row>
    <row r="562" ht="30.0" customHeight="1">
      <c r="B562" s="76"/>
      <c r="C562" s="76"/>
    </row>
    <row r="563" ht="30.0" customHeight="1">
      <c r="B563" s="76"/>
      <c r="C563" s="76"/>
    </row>
    <row r="564" ht="30.0" customHeight="1">
      <c r="B564" s="76"/>
      <c r="C564" s="76"/>
    </row>
    <row r="565" ht="30.0" customHeight="1">
      <c r="B565" s="76"/>
      <c r="C565" s="76"/>
    </row>
    <row r="566" ht="30.0" customHeight="1">
      <c r="B566" s="76"/>
      <c r="C566" s="76"/>
    </row>
    <row r="567" ht="30.0" customHeight="1">
      <c r="B567" s="76"/>
      <c r="C567" s="76"/>
    </row>
    <row r="568" ht="30.0" customHeight="1">
      <c r="B568" s="76"/>
      <c r="C568" s="76"/>
    </row>
    <row r="569" ht="30.0" customHeight="1">
      <c r="B569" s="76"/>
      <c r="C569" s="76"/>
    </row>
    <row r="570" ht="30.0" customHeight="1">
      <c r="B570" s="76"/>
      <c r="C570" s="76"/>
    </row>
    <row r="571" ht="30.0" customHeight="1">
      <c r="B571" s="76"/>
      <c r="C571" s="76"/>
    </row>
    <row r="572" ht="30.0" customHeight="1">
      <c r="B572" s="76"/>
      <c r="C572" s="76"/>
    </row>
    <row r="573" ht="30.0" customHeight="1">
      <c r="B573" s="76"/>
      <c r="C573" s="76"/>
    </row>
    <row r="574" ht="30.0" customHeight="1">
      <c r="B574" s="76"/>
      <c r="C574" s="76"/>
    </row>
    <row r="575" ht="30.0" customHeight="1">
      <c r="B575" s="76"/>
      <c r="C575" s="76"/>
    </row>
    <row r="576" ht="30.0" customHeight="1">
      <c r="B576" s="76"/>
      <c r="C576" s="76"/>
    </row>
    <row r="577" ht="30.0" customHeight="1">
      <c r="B577" s="76"/>
      <c r="C577" s="76"/>
    </row>
    <row r="578" ht="30.0" customHeight="1">
      <c r="B578" s="76"/>
      <c r="C578" s="76"/>
    </row>
    <row r="579" ht="30.0" customHeight="1">
      <c r="B579" s="76"/>
      <c r="C579" s="76"/>
    </row>
    <row r="580" ht="30.0" customHeight="1">
      <c r="B580" s="76"/>
      <c r="C580" s="76"/>
    </row>
    <row r="581" ht="30.0" customHeight="1">
      <c r="B581" s="76"/>
      <c r="C581" s="76"/>
    </row>
    <row r="582" ht="30.0" customHeight="1">
      <c r="B582" s="76"/>
      <c r="C582" s="76"/>
    </row>
    <row r="583" ht="30.0" customHeight="1">
      <c r="B583" s="76"/>
      <c r="C583" s="76"/>
    </row>
    <row r="584" ht="30.0" customHeight="1">
      <c r="B584" s="76"/>
      <c r="C584" s="76"/>
    </row>
    <row r="585" ht="30.0" customHeight="1">
      <c r="B585" s="76"/>
      <c r="C585" s="76"/>
    </row>
    <row r="586" ht="30.0" customHeight="1">
      <c r="B586" s="76"/>
      <c r="C586" s="76"/>
    </row>
    <row r="587" ht="30.0" customHeight="1">
      <c r="B587" s="76"/>
      <c r="C587" s="76"/>
    </row>
    <row r="588" ht="30.0" customHeight="1">
      <c r="B588" s="76"/>
      <c r="C588" s="76"/>
    </row>
    <row r="589" ht="30.0" customHeight="1">
      <c r="B589" s="76"/>
      <c r="C589" s="76"/>
    </row>
    <row r="590" ht="30.0" customHeight="1">
      <c r="B590" s="76"/>
      <c r="C590" s="76"/>
    </row>
    <row r="591" ht="30.0" customHeight="1">
      <c r="B591" s="76"/>
      <c r="C591" s="76"/>
    </row>
    <row r="592" ht="30.0" customHeight="1">
      <c r="B592" s="76"/>
      <c r="C592" s="76"/>
    </row>
    <row r="593" ht="30.0" customHeight="1">
      <c r="B593" s="76"/>
      <c r="C593" s="76"/>
    </row>
    <row r="594" ht="30.0" customHeight="1">
      <c r="B594" s="76"/>
      <c r="C594" s="76"/>
    </row>
    <row r="595" ht="30.0" customHeight="1">
      <c r="B595" s="76"/>
      <c r="C595" s="76"/>
    </row>
    <row r="596" ht="30.0" customHeight="1">
      <c r="B596" s="76"/>
      <c r="C596" s="76"/>
    </row>
    <row r="597" ht="30.0" customHeight="1">
      <c r="B597" s="76"/>
      <c r="C597" s="76"/>
    </row>
    <row r="598" ht="30.0" customHeight="1">
      <c r="B598" s="76"/>
      <c r="C598" s="76"/>
    </row>
    <row r="599" ht="30.0" customHeight="1">
      <c r="B599" s="76"/>
      <c r="C599" s="76"/>
    </row>
    <row r="600" ht="30.0" customHeight="1">
      <c r="B600" s="76"/>
      <c r="C600" s="76"/>
    </row>
    <row r="601" ht="30.0" customHeight="1">
      <c r="B601" s="76"/>
      <c r="C601" s="76"/>
    </row>
    <row r="602" ht="30.0" customHeight="1">
      <c r="B602" s="76"/>
      <c r="C602" s="76"/>
    </row>
    <row r="603" ht="30.0" customHeight="1">
      <c r="B603" s="76"/>
      <c r="C603" s="76"/>
    </row>
    <row r="604" ht="30.0" customHeight="1">
      <c r="B604" s="76"/>
      <c r="C604" s="76"/>
    </row>
    <row r="605" ht="30.0" customHeight="1">
      <c r="B605" s="76"/>
      <c r="C605" s="76"/>
    </row>
    <row r="606" ht="30.0" customHeight="1">
      <c r="B606" s="76"/>
      <c r="C606" s="76"/>
    </row>
    <row r="607" ht="30.0" customHeight="1">
      <c r="B607" s="76"/>
      <c r="C607" s="76"/>
    </row>
    <row r="608" ht="30.0" customHeight="1">
      <c r="B608" s="76"/>
      <c r="C608" s="76"/>
    </row>
    <row r="609" ht="30.0" customHeight="1">
      <c r="B609" s="76"/>
      <c r="C609" s="76"/>
    </row>
    <row r="610" ht="30.0" customHeight="1">
      <c r="B610" s="76"/>
      <c r="C610" s="76"/>
    </row>
    <row r="611" ht="30.0" customHeight="1">
      <c r="B611" s="76"/>
      <c r="C611" s="76"/>
    </row>
    <row r="612" ht="30.0" customHeight="1">
      <c r="B612" s="76"/>
      <c r="C612" s="76"/>
    </row>
    <row r="613" ht="30.0" customHeight="1">
      <c r="B613" s="76"/>
      <c r="C613" s="76"/>
    </row>
    <row r="614" ht="30.0" customHeight="1">
      <c r="B614" s="76"/>
      <c r="C614" s="76"/>
    </row>
    <row r="615" ht="30.0" customHeight="1">
      <c r="B615" s="76"/>
      <c r="C615" s="76"/>
    </row>
    <row r="616" ht="30.0" customHeight="1">
      <c r="B616" s="76"/>
      <c r="C616" s="76"/>
    </row>
    <row r="617" ht="30.0" customHeight="1">
      <c r="B617" s="76"/>
      <c r="C617" s="76"/>
    </row>
    <row r="618" ht="30.0" customHeight="1">
      <c r="B618" s="76"/>
      <c r="C618" s="76"/>
    </row>
    <row r="619" ht="30.0" customHeight="1">
      <c r="B619" s="76"/>
      <c r="C619" s="76"/>
    </row>
    <row r="620" ht="30.0" customHeight="1">
      <c r="B620" s="76"/>
      <c r="C620" s="76"/>
    </row>
    <row r="621" ht="30.0" customHeight="1">
      <c r="B621" s="76"/>
      <c r="C621" s="76"/>
    </row>
    <row r="622" ht="30.0" customHeight="1">
      <c r="B622" s="76"/>
      <c r="C622" s="76"/>
    </row>
    <row r="623" ht="30.0" customHeight="1">
      <c r="B623" s="76"/>
      <c r="C623" s="76"/>
    </row>
    <row r="624" ht="30.0" customHeight="1">
      <c r="B624" s="76"/>
      <c r="C624" s="76"/>
    </row>
    <row r="625" ht="30.0" customHeight="1">
      <c r="B625" s="76"/>
      <c r="C625" s="76"/>
    </row>
    <row r="626" ht="30.0" customHeight="1">
      <c r="B626" s="76"/>
      <c r="C626" s="76"/>
    </row>
    <row r="627" ht="30.0" customHeight="1">
      <c r="B627" s="76"/>
      <c r="C627" s="76"/>
    </row>
    <row r="628" ht="30.0" customHeight="1">
      <c r="B628" s="76"/>
      <c r="C628" s="76"/>
    </row>
    <row r="629" ht="30.0" customHeight="1">
      <c r="B629" s="76"/>
      <c r="C629" s="76"/>
    </row>
    <row r="630" ht="30.0" customHeight="1">
      <c r="B630" s="76"/>
      <c r="C630" s="76"/>
    </row>
    <row r="631" ht="30.0" customHeight="1">
      <c r="B631" s="76"/>
      <c r="C631" s="76"/>
    </row>
    <row r="632" ht="30.0" customHeight="1">
      <c r="B632" s="76"/>
      <c r="C632" s="76"/>
    </row>
    <row r="633" ht="30.0" customHeight="1">
      <c r="B633" s="76"/>
      <c r="C633" s="76"/>
    </row>
    <row r="634" ht="30.0" customHeight="1">
      <c r="B634" s="76"/>
      <c r="C634" s="76"/>
    </row>
    <row r="635" ht="30.0" customHeight="1">
      <c r="B635" s="76"/>
      <c r="C635" s="76"/>
    </row>
    <row r="636" ht="30.0" customHeight="1">
      <c r="B636" s="76"/>
      <c r="C636" s="76"/>
    </row>
    <row r="637" ht="30.0" customHeight="1">
      <c r="B637" s="76"/>
      <c r="C637" s="76"/>
    </row>
    <row r="638" ht="30.0" customHeight="1">
      <c r="B638" s="76"/>
      <c r="C638" s="76"/>
    </row>
    <row r="639" ht="30.0" customHeight="1">
      <c r="B639" s="76"/>
      <c r="C639" s="76"/>
    </row>
    <row r="640" ht="30.0" customHeight="1">
      <c r="B640" s="76"/>
      <c r="C640" s="76"/>
    </row>
    <row r="641" ht="30.0" customHeight="1">
      <c r="B641" s="76"/>
      <c r="C641" s="76"/>
    </row>
    <row r="642" ht="30.0" customHeight="1">
      <c r="B642" s="76"/>
      <c r="C642" s="76"/>
    </row>
    <row r="643" ht="30.0" customHeight="1">
      <c r="B643" s="76"/>
      <c r="C643" s="76"/>
    </row>
    <row r="644" ht="30.0" customHeight="1">
      <c r="B644" s="76"/>
      <c r="C644" s="76"/>
    </row>
    <row r="645" ht="30.0" customHeight="1">
      <c r="B645" s="76"/>
      <c r="C645" s="76"/>
    </row>
    <row r="646" ht="30.0" customHeight="1">
      <c r="B646" s="76"/>
      <c r="C646" s="76"/>
    </row>
    <row r="647" ht="30.0" customHeight="1">
      <c r="B647" s="76"/>
      <c r="C647" s="76"/>
    </row>
    <row r="648" ht="30.0" customHeight="1">
      <c r="B648" s="76"/>
      <c r="C648" s="76"/>
    </row>
    <row r="649" ht="30.0" customHeight="1">
      <c r="B649" s="76"/>
      <c r="C649" s="76"/>
    </row>
    <row r="650" ht="30.0" customHeight="1">
      <c r="B650" s="76"/>
      <c r="C650" s="76"/>
    </row>
    <row r="651" ht="30.0" customHeight="1">
      <c r="B651" s="76"/>
      <c r="C651" s="76"/>
    </row>
    <row r="652" ht="30.0" customHeight="1">
      <c r="B652" s="76"/>
      <c r="C652" s="76"/>
    </row>
    <row r="653" ht="30.0" customHeight="1">
      <c r="B653" s="76"/>
      <c r="C653" s="76"/>
    </row>
    <row r="654" ht="30.0" customHeight="1">
      <c r="B654" s="76"/>
      <c r="C654" s="76"/>
    </row>
    <row r="655" ht="30.0" customHeight="1">
      <c r="B655" s="76"/>
      <c r="C655" s="76"/>
    </row>
    <row r="656" ht="30.0" customHeight="1">
      <c r="B656" s="76"/>
      <c r="C656" s="76"/>
    </row>
    <row r="657" ht="30.0" customHeight="1">
      <c r="B657" s="76"/>
      <c r="C657" s="76"/>
    </row>
    <row r="658" ht="30.0" customHeight="1">
      <c r="B658" s="76"/>
      <c r="C658" s="76"/>
    </row>
    <row r="659" ht="30.0" customHeight="1">
      <c r="B659" s="76"/>
      <c r="C659" s="76"/>
    </row>
    <row r="660" ht="30.0" customHeight="1">
      <c r="B660" s="76"/>
      <c r="C660" s="76"/>
    </row>
    <row r="661" ht="30.0" customHeight="1">
      <c r="B661" s="76"/>
      <c r="C661" s="76"/>
    </row>
    <row r="662" ht="30.0" customHeight="1">
      <c r="B662" s="76"/>
      <c r="C662" s="76"/>
    </row>
    <row r="663" ht="30.0" customHeight="1">
      <c r="B663" s="76"/>
      <c r="C663" s="76"/>
    </row>
    <row r="664" ht="30.0" customHeight="1">
      <c r="B664" s="76"/>
      <c r="C664" s="76"/>
    </row>
    <row r="665" ht="30.0" customHeight="1">
      <c r="B665" s="76"/>
      <c r="C665" s="76"/>
    </row>
    <row r="666" ht="30.0" customHeight="1">
      <c r="B666" s="76"/>
      <c r="C666" s="76"/>
    </row>
    <row r="667" ht="30.0" customHeight="1">
      <c r="B667" s="76"/>
      <c r="C667" s="76"/>
    </row>
    <row r="668" ht="30.0" customHeight="1">
      <c r="B668" s="76"/>
      <c r="C668" s="76"/>
    </row>
    <row r="669" ht="30.0" customHeight="1">
      <c r="B669" s="76"/>
      <c r="C669" s="76"/>
    </row>
    <row r="670" ht="30.0" customHeight="1">
      <c r="B670" s="76"/>
      <c r="C670" s="76"/>
    </row>
    <row r="671" ht="30.0" customHeight="1">
      <c r="B671" s="76"/>
      <c r="C671" s="76"/>
    </row>
    <row r="672" ht="30.0" customHeight="1">
      <c r="B672" s="76"/>
      <c r="C672" s="76"/>
    </row>
    <row r="673" ht="30.0" customHeight="1">
      <c r="B673" s="76"/>
      <c r="C673" s="76"/>
    </row>
    <row r="674" ht="30.0" customHeight="1">
      <c r="B674" s="76"/>
      <c r="C674" s="76"/>
    </row>
    <row r="675" ht="30.0" customHeight="1">
      <c r="B675" s="76"/>
      <c r="C675" s="76"/>
    </row>
    <row r="676" ht="30.0" customHeight="1">
      <c r="B676" s="76"/>
      <c r="C676" s="76"/>
    </row>
    <row r="677" ht="30.0" customHeight="1">
      <c r="B677" s="76"/>
      <c r="C677" s="76"/>
    </row>
    <row r="678" ht="30.0" customHeight="1">
      <c r="B678" s="76"/>
      <c r="C678" s="76"/>
    </row>
    <row r="679" ht="30.0" customHeight="1">
      <c r="B679" s="76"/>
      <c r="C679" s="76"/>
    </row>
    <row r="680" ht="30.0" customHeight="1">
      <c r="B680" s="76"/>
      <c r="C680" s="76"/>
    </row>
    <row r="681" ht="30.0" customHeight="1">
      <c r="B681" s="76"/>
      <c r="C681" s="76"/>
    </row>
    <row r="682" ht="30.0" customHeight="1">
      <c r="B682" s="76"/>
      <c r="C682" s="76"/>
    </row>
    <row r="683" ht="30.0" customHeight="1">
      <c r="B683" s="76"/>
      <c r="C683" s="76"/>
    </row>
    <row r="684" ht="30.0" customHeight="1">
      <c r="B684" s="76"/>
      <c r="C684" s="76"/>
    </row>
    <row r="685" ht="30.0" customHeight="1">
      <c r="B685" s="76"/>
      <c r="C685" s="76"/>
    </row>
    <row r="686" ht="30.0" customHeight="1">
      <c r="B686" s="76"/>
      <c r="C686" s="76"/>
    </row>
    <row r="687" ht="30.0" customHeight="1">
      <c r="B687" s="76"/>
      <c r="C687" s="76"/>
    </row>
    <row r="688" ht="30.0" customHeight="1">
      <c r="B688" s="76"/>
      <c r="C688" s="76"/>
    </row>
    <row r="689" ht="30.0" customHeight="1">
      <c r="B689" s="76"/>
      <c r="C689" s="76"/>
    </row>
    <row r="690" ht="30.0" customHeight="1">
      <c r="B690" s="76"/>
      <c r="C690" s="76"/>
    </row>
    <row r="691" ht="30.0" customHeight="1">
      <c r="B691" s="76"/>
      <c r="C691" s="76"/>
    </row>
    <row r="692" ht="30.0" customHeight="1">
      <c r="B692" s="76"/>
      <c r="C692" s="76"/>
    </row>
    <row r="693" ht="30.0" customHeight="1">
      <c r="B693" s="76"/>
      <c r="C693" s="76"/>
    </row>
    <row r="694" ht="30.0" customHeight="1">
      <c r="B694" s="76"/>
      <c r="C694" s="76"/>
    </row>
    <row r="695" ht="30.0" customHeight="1">
      <c r="B695" s="76"/>
      <c r="C695" s="76"/>
    </row>
    <row r="696" ht="30.0" customHeight="1">
      <c r="B696" s="76"/>
      <c r="C696" s="76"/>
    </row>
    <row r="697" ht="30.0" customHeight="1">
      <c r="B697" s="76"/>
      <c r="C697" s="76"/>
    </row>
    <row r="698" ht="30.0" customHeight="1">
      <c r="B698" s="76"/>
      <c r="C698" s="76"/>
    </row>
    <row r="699" ht="30.0" customHeight="1">
      <c r="B699" s="76"/>
      <c r="C699" s="76"/>
    </row>
    <row r="700" ht="30.0" customHeight="1">
      <c r="B700" s="76"/>
      <c r="C700" s="76"/>
    </row>
    <row r="701" ht="30.0" customHeight="1">
      <c r="B701" s="76"/>
      <c r="C701" s="76"/>
    </row>
    <row r="702" ht="30.0" customHeight="1">
      <c r="B702" s="76"/>
      <c r="C702" s="76"/>
    </row>
    <row r="703" ht="30.0" customHeight="1">
      <c r="B703" s="76"/>
      <c r="C703" s="76"/>
    </row>
    <row r="704" ht="30.0" customHeight="1">
      <c r="B704" s="76"/>
      <c r="C704" s="76"/>
    </row>
    <row r="705" ht="30.0" customHeight="1">
      <c r="B705" s="76"/>
      <c r="C705" s="76"/>
    </row>
    <row r="706" ht="30.0" customHeight="1">
      <c r="B706" s="76"/>
      <c r="C706" s="76"/>
    </row>
    <row r="707" ht="30.0" customHeight="1">
      <c r="B707" s="76"/>
      <c r="C707" s="76"/>
    </row>
    <row r="708" ht="30.0" customHeight="1">
      <c r="B708" s="76"/>
      <c r="C708" s="76"/>
    </row>
    <row r="709" ht="30.0" customHeight="1">
      <c r="B709" s="76"/>
      <c r="C709" s="76"/>
    </row>
    <row r="710" ht="30.0" customHeight="1">
      <c r="B710" s="76"/>
      <c r="C710" s="76"/>
    </row>
    <row r="711" ht="30.0" customHeight="1">
      <c r="B711" s="76"/>
      <c r="C711" s="76"/>
    </row>
    <row r="712" ht="30.0" customHeight="1">
      <c r="B712" s="76"/>
      <c r="C712" s="76"/>
    </row>
    <row r="713" ht="30.0" customHeight="1">
      <c r="B713" s="76"/>
      <c r="C713" s="76"/>
    </row>
    <row r="714" ht="30.0" customHeight="1">
      <c r="B714" s="76"/>
      <c r="C714" s="76"/>
    </row>
    <row r="715" ht="30.0" customHeight="1">
      <c r="B715" s="76"/>
      <c r="C715" s="76"/>
    </row>
    <row r="716" ht="30.0" customHeight="1">
      <c r="B716" s="76"/>
      <c r="C716" s="76"/>
    </row>
    <row r="717" ht="30.0" customHeight="1">
      <c r="B717" s="76"/>
      <c r="C717" s="76"/>
    </row>
    <row r="718" ht="30.0" customHeight="1">
      <c r="B718" s="76"/>
      <c r="C718" s="76"/>
    </row>
    <row r="719" ht="30.0" customHeight="1">
      <c r="B719" s="76"/>
      <c r="C719" s="76"/>
    </row>
    <row r="720" ht="30.0" customHeight="1">
      <c r="B720" s="76"/>
      <c r="C720" s="76"/>
    </row>
    <row r="721" ht="30.0" customHeight="1">
      <c r="B721" s="76"/>
      <c r="C721" s="76"/>
    </row>
    <row r="722" ht="30.0" customHeight="1">
      <c r="B722" s="76"/>
      <c r="C722" s="76"/>
    </row>
    <row r="723" ht="30.0" customHeight="1">
      <c r="B723" s="76"/>
      <c r="C723" s="76"/>
    </row>
    <row r="724" ht="30.0" customHeight="1">
      <c r="B724" s="76"/>
      <c r="C724" s="76"/>
    </row>
    <row r="725" ht="30.0" customHeight="1">
      <c r="B725" s="76"/>
      <c r="C725" s="76"/>
    </row>
    <row r="726" ht="30.0" customHeight="1">
      <c r="B726" s="76"/>
      <c r="C726" s="76"/>
    </row>
    <row r="727" ht="30.0" customHeight="1">
      <c r="B727" s="76"/>
      <c r="C727" s="76"/>
    </row>
    <row r="728" ht="30.0" customHeight="1">
      <c r="B728" s="76"/>
      <c r="C728" s="76"/>
    </row>
    <row r="729" ht="30.0" customHeight="1">
      <c r="B729" s="76"/>
      <c r="C729" s="76"/>
    </row>
    <row r="730" ht="30.0" customHeight="1">
      <c r="B730" s="76"/>
      <c r="C730" s="76"/>
    </row>
    <row r="731" ht="30.0" customHeight="1">
      <c r="B731" s="76"/>
      <c r="C731" s="76"/>
    </row>
    <row r="732" ht="30.0" customHeight="1">
      <c r="B732" s="76"/>
      <c r="C732" s="76"/>
    </row>
    <row r="733" ht="30.0" customHeight="1">
      <c r="B733" s="76"/>
      <c r="C733" s="76"/>
    </row>
    <row r="734" ht="30.0" customHeight="1">
      <c r="B734" s="76"/>
      <c r="C734" s="76"/>
    </row>
    <row r="735" ht="30.0" customHeight="1">
      <c r="B735" s="76"/>
      <c r="C735" s="76"/>
    </row>
    <row r="736" ht="30.0" customHeight="1">
      <c r="B736" s="76"/>
      <c r="C736" s="76"/>
    </row>
    <row r="737" ht="30.0" customHeight="1">
      <c r="B737" s="76"/>
      <c r="C737" s="76"/>
    </row>
    <row r="738" ht="30.0" customHeight="1">
      <c r="B738" s="76"/>
      <c r="C738" s="76"/>
    </row>
    <row r="739" ht="30.0" customHeight="1">
      <c r="B739" s="76"/>
      <c r="C739" s="76"/>
    </row>
    <row r="740" ht="30.0" customHeight="1">
      <c r="B740" s="76"/>
      <c r="C740" s="76"/>
    </row>
    <row r="741" ht="30.0" customHeight="1">
      <c r="B741" s="76"/>
      <c r="C741" s="76"/>
    </row>
    <row r="742" ht="30.0" customHeight="1">
      <c r="B742" s="76"/>
      <c r="C742" s="76"/>
    </row>
    <row r="743" ht="30.0" customHeight="1">
      <c r="B743" s="76"/>
      <c r="C743" s="76"/>
    </row>
    <row r="744" ht="30.0" customHeight="1">
      <c r="B744" s="76"/>
      <c r="C744" s="76"/>
    </row>
    <row r="745" ht="30.0" customHeight="1">
      <c r="B745" s="76"/>
      <c r="C745" s="76"/>
    </row>
    <row r="746" ht="30.0" customHeight="1">
      <c r="B746" s="76"/>
      <c r="C746" s="76"/>
    </row>
    <row r="747" ht="30.0" customHeight="1">
      <c r="B747" s="76"/>
      <c r="C747" s="76"/>
    </row>
    <row r="748" ht="30.0" customHeight="1">
      <c r="B748" s="76"/>
      <c r="C748" s="76"/>
    </row>
    <row r="749" ht="30.0" customHeight="1">
      <c r="B749" s="76"/>
      <c r="C749" s="76"/>
    </row>
    <row r="750" ht="30.0" customHeight="1">
      <c r="B750" s="76"/>
      <c r="C750" s="76"/>
    </row>
    <row r="751" ht="30.0" customHeight="1">
      <c r="B751" s="76"/>
      <c r="C751" s="76"/>
    </row>
    <row r="752" ht="30.0" customHeight="1">
      <c r="B752" s="76"/>
      <c r="C752" s="76"/>
    </row>
    <row r="753" ht="30.0" customHeight="1">
      <c r="B753" s="76"/>
      <c r="C753" s="76"/>
    </row>
    <row r="754" ht="30.0" customHeight="1">
      <c r="B754" s="76"/>
      <c r="C754" s="76"/>
    </row>
    <row r="755" ht="30.0" customHeight="1">
      <c r="B755" s="76"/>
      <c r="C755" s="76"/>
    </row>
    <row r="756" ht="30.0" customHeight="1">
      <c r="B756" s="76"/>
      <c r="C756" s="76"/>
    </row>
    <row r="757" ht="30.0" customHeight="1">
      <c r="B757" s="76"/>
      <c r="C757" s="76"/>
    </row>
    <row r="758" ht="30.0" customHeight="1">
      <c r="B758" s="76"/>
      <c r="C758" s="76"/>
    </row>
    <row r="759" ht="30.0" customHeight="1">
      <c r="B759" s="76"/>
      <c r="C759" s="76"/>
    </row>
    <row r="760" ht="30.0" customHeight="1">
      <c r="B760" s="76"/>
      <c r="C760" s="76"/>
    </row>
    <row r="761" ht="30.0" customHeight="1">
      <c r="B761" s="76"/>
      <c r="C761" s="76"/>
    </row>
    <row r="762" ht="30.0" customHeight="1">
      <c r="B762" s="76"/>
      <c r="C762" s="76"/>
    </row>
    <row r="763" ht="30.0" customHeight="1">
      <c r="B763" s="76"/>
      <c r="C763" s="76"/>
    </row>
    <row r="764" ht="30.0" customHeight="1">
      <c r="B764" s="76"/>
      <c r="C764" s="76"/>
    </row>
    <row r="765" ht="30.0" customHeight="1">
      <c r="B765" s="76"/>
      <c r="C765" s="76"/>
    </row>
    <row r="766" ht="30.0" customHeight="1">
      <c r="B766" s="76"/>
      <c r="C766" s="76"/>
    </row>
    <row r="767" ht="30.0" customHeight="1">
      <c r="B767" s="76"/>
      <c r="C767" s="76"/>
    </row>
    <row r="768" ht="30.0" customHeight="1">
      <c r="B768" s="76"/>
      <c r="C768" s="76"/>
    </row>
    <row r="769" ht="30.0" customHeight="1">
      <c r="B769" s="76"/>
      <c r="C769" s="76"/>
    </row>
    <row r="770" ht="30.0" customHeight="1">
      <c r="B770" s="76"/>
      <c r="C770" s="76"/>
    </row>
    <row r="771" ht="30.0" customHeight="1">
      <c r="B771" s="76"/>
      <c r="C771" s="76"/>
    </row>
    <row r="772" ht="30.0" customHeight="1">
      <c r="B772" s="76"/>
      <c r="C772" s="76"/>
    </row>
    <row r="773" ht="30.0" customHeight="1">
      <c r="B773" s="76"/>
      <c r="C773" s="76"/>
    </row>
    <row r="774" ht="30.0" customHeight="1">
      <c r="B774" s="76"/>
      <c r="C774" s="76"/>
    </row>
    <row r="775" ht="30.0" customHeight="1">
      <c r="B775" s="76"/>
      <c r="C775" s="76"/>
    </row>
    <row r="776" ht="30.0" customHeight="1">
      <c r="B776" s="76"/>
      <c r="C776" s="76"/>
    </row>
    <row r="777" ht="30.0" customHeight="1">
      <c r="B777" s="76"/>
      <c r="C777" s="76"/>
    </row>
    <row r="778" ht="30.0" customHeight="1">
      <c r="B778" s="76"/>
      <c r="C778" s="76"/>
    </row>
    <row r="779" ht="30.0" customHeight="1">
      <c r="B779" s="76"/>
      <c r="C779" s="76"/>
    </row>
    <row r="780" ht="30.0" customHeight="1">
      <c r="B780" s="76"/>
      <c r="C780" s="76"/>
    </row>
    <row r="781" ht="30.0" customHeight="1">
      <c r="B781" s="76"/>
      <c r="C781" s="76"/>
    </row>
    <row r="782" ht="30.0" customHeight="1">
      <c r="B782" s="76"/>
      <c r="C782" s="76"/>
    </row>
    <row r="783" ht="30.0" customHeight="1">
      <c r="B783" s="76"/>
      <c r="C783" s="76"/>
    </row>
    <row r="784" ht="30.0" customHeight="1">
      <c r="B784" s="76"/>
      <c r="C784" s="76"/>
    </row>
    <row r="785" ht="30.0" customHeight="1">
      <c r="B785" s="76"/>
      <c r="C785" s="76"/>
    </row>
    <row r="786" ht="30.0" customHeight="1">
      <c r="B786" s="76"/>
      <c r="C786" s="76"/>
    </row>
    <row r="787" ht="30.0" customHeight="1">
      <c r="B787" s="76"/>
      <c r="C787" s="76"/>
    </row>
    <row r="788" ht="30.0" customHeight="1">
      <c r="B788" s="76"/>
      <c r="C788" s="76"/>
    </row>
    <row r="789" ht="30.0" customHeight="1">
      <c r="B789" s="76"/>
      <c r="C789" s="76"/>
    </row>
    <row r="790" ht="30.0" customHeight="1">
      <c r="B790" s="76"/>
      <c r="C790" s="76"/>
    </row>
    <row r="791" ht="30.0" customHeight="1">
      <c r="B791" s="76"/>
      <c r="C791" s="76"/>
    </row>
    <row r="792" ht="30.0" customHeight="1">
      <c r="B792" s="76"/>
      <c r="C792" s="76"/>
    </row>
    <row r="793" ht="30.0" customHeight="1">
      <c r="B793" s="76"/>
      <c r="C793" s="76"/>
    </row>
    <row r="794" ht="30.0" customHeight="1">
      <c r="B794" s="76"/>
      <c r="C794" s="76"/>
    </row>
    <row r="795" ht="30.0" customHeight="1">
      <c r="B795" s="76"/>
      <c r="C795" s="76"/>
    </row>
    <row r="796" ht="30.0" customHeight="1">
      <c r="B796" s="76"/>
      <c r="C796" s="76"/>
    </row>
    <row r="797" ht="30.0" customHeight="1">
      <c r="B797" s="76"/>
      <c r="C797" s="76"/>
    </row>
    <row r="798" ht="30.0" customHeight="1">
      <c r="B798" s="76"/>
      <c r="C798" s="76"/>
    </row>
    <row r="799" ht="30.0" customHeight="1">
      <c r="B799" s="76"/>
      <c r="C799" s="76"/>
    </row>
    <row r="800" ht="30.0" customHeight="1">
      <c r="B800" s="76"/>
      <c r="C800" s="76"/>
    </row>
    <row r="801" ht="30.0" customHeight="1">
      <c r="B801" s="76"/>
      <c r="C801" s="76"/>
    </row>
    <row r="802" ht="30.0" customHeight="1">
      <c r="B802" s="76"/>
      <c r="C802" s="76"/>
    </row>
    <row r="803" ht="30.0" customHeight="1">
      <c r="B803" s="76"/>
      <c r="C803" s="76"/>
    </row>
    <row r="804" ht="30.0" customHeight="1">
      <c r="B804" s="76"/>
      <c r="C804" s="76"/>
    </row>
    <row r="805" ht="30.0" customHeight="1">
      <c r="B805" s="76"/>
      <c r="C805" s="76"/>
    </row>
    <row r="806" ht="30.0" customHeight="1">
      <c r="B806" s="76"/>
      <c r="C806" s="76"/>
    </row>
    <row r="807" ht="30.0" customHeight="1">
      <c r="B807" s="76"/>
      <c r="C807" s="76"/>
    </row>
    <row r="808" ht="30.0" customHeight="1">
      <c r="B808" s="76"/>
      <c r="C808" s="76"/>
    </row>
    <row r="809" ht="30.0" customHeight="1">
      <c r="B809" s="76"/>
      <c r="C809" s="76"/>
    </row>
    <row r="810" ht="30.0" customHeight="1">
      <c r="B810" s="76"/>
      <c r="C810" s="76"/>
    </row>
    <row r="811" ht="30.0" customHeight="1">
      <c r="B811" s="76"/>
      <c r="C811" s="76"/>
    </row>
    <row r="812" ht="30.0" customHeight="1">
      <c r="B812" s="76"/>
      <c r="C812" s="76"/>
    </row>
    <row r="813" ht="30.0" customHeight="1">
      <c r="B813" s="76"/>
      <c r="C813" s="76"/>
    </row>
    <row r="814" ht="30.0" customHeight="1">
      <c r="B814" s="76"/>
      <c r="C814" s="76"/>
    </row>
    <row r="815" ht="30.0" customHeight="1">
      <c r="B815" s="76"/>
      <c r="C815" s="76"/>
    </row>
    <row r="816" ht="30.0" customHeight="1">
      <c r="B816" s="76"/>
      <c r="C816" s="76"/>
    </row>
    <row r="817" ht="30.0" customHeight="1">
      <c r="B817" s="76"/>
      <c r="C817" s="76"/>
    </row>
    <row r="818" ht="30.0" customHeight="1">
      <c r="B818" s="76"/>
      <c r="C818" s="76"/>
    </row>
    <row r="819" ht="30.0" customHeight="1">
      <c r="B819" s="76"/>
      <c r="C819" s="76"/>
    </row>
    <row r="820" ht="30.0" customHeight="1">
      <c r="B820" s="76"/>
      <c r="C820" s="76"/>
    </row>
    <row r="821" ht="30.0" customHeight="1">
      <c r="B821" s="76"/>
      <c r="C821" s="76"/>
    </row>
    <row r="822" ht="30.0" customHeight="1">
      <c r="B822" s="76"/>
      <c r="C822" s="76"/>
    </row>
    <row r="823" ht="30.0" customHeight="1">
      <c r="B823" s="76"/>
      <c r="C823" s="76"/>
    </row>
    <row r="824" ht="30.0" customHeight="1">
      <c r="B824" s="76"/>
      <c r="C824" s="76"/>
    </row>
    <row r="825" ht="30.0" customHeight="1">
      <c r="B825" s="76"/>
      <c r="C825" s="76"/>
    </row>
    <row r="826" ht="30.0" customHeight="1">
      <c r="B826" s="76"/>
      <c r="C826" s="76"/>
    </row>
    <row r="827" ht="30.0" customHeight="1">
      <c r="B827" s="76"/>
      <c r="C827" s="76"/>
    </row>
    <row r="828" ht="30.0" customHeight="1">
      <c r="B828" s="76"/>
      <c r="C828" s="76"/>
    </row>
    <row r="829" ht="30.0" customHeight="1">
      <c r="B829" s="76"/>
      <c r="C829" s="76"/>
    </row>
    <row r="830" ht="30.0" customHeight="1">
      <c r="B830" s="76"/>
      <c r="C830" s="76"/>
    </row>
    <row r="831" ht="30.0" customHeight="1">
      <c r="B831" s="76"/>
      <c r="C831" s="76"/>
    </row>
    <row r="832" ht="30.0" customHeight="1">
      <c r="B832" s="76"/>
      <c r="C832" s="76"/>
    </row>
    <row r="833" ht="30.0" customHeight="1">
      <c r="B833" s="76"/>
      <c r="C833" s="76"/>
    </row>
    <row r="834" ht="30.0" customHeight="1">
      <c r="B834" s="76"/>
      <c r="C834" s="76"/>
    </row>
    <row r="835" ht="30.0" customHeight="1">
      <c r="B835" s="76"/>
      <c r="C835" s="76"/>
    </row>
    <row r="836" ht="30.0" customHeight="1">
      <c r="B836" s="76"/>
      <c r="C836" s="76"/>
    </row>
    <row r="837" ht="30.0" customHeight="1">
      <c r="B837" s="76"/>
      <c r="C837" s="76"/>
    </row>
    <row r="838" ht="30.0" customHeight="1">
      <c r="B838" s="76"/>
      <c r="C838" s="76"/>
    </row>
    <row r="839" ht="30.0" customHeight="1">
      <c r="B839" s="76"/>
      <c r="C839" s="76"/>
    </row>
    <row r="840" ht="30.0" customHeight="1">
      <c r="B840" s="76"/>
      <c r="C840" s="76"/>
    </row>
    <row r="841" ht="30.0" customHeight="1">
      <c r="B841" s="76"/>
      <c r="C841" s="76"/>
    </row>
    <row r="842" ht="30.0" customHeight="1">
      <c r="B842" s="76"/>
      <c r="C842" s="76"/>
    </row>
    <row r="843" ht="30.0" customHeight="1">
      <c r="B843" s="76"/>
      <c r="C843" s="76"/>
    </row>
    <row r="844" ht="30.0" customHeight="1">
      <c r="B844" s="76"/>
      <c r="C844" s="76"/>
    </row>
    <row r="845" ht="30.0" customHeight="1">
      <c r="B845" s="76"/>
      <c r="C845" s="76"/>
    </row>
    <row r="846" ht="30.0" customHeight="1">
      <c r="B846" s="76"/>
      <c r="C846" s="76"/>
    </row>
    <row r="847" ht="30.0" customHeight="1">
      <c r="B847" s="76"/>
      <c r="C847" s="76"/>
    </row>
    <row r="848" ht="30.0" customHeight="1">
      <c r="B848" s="76"/>
      <c r="C848" s="76"/>
    </row>
    <row r="849" ht="30.0" customHeight="1">
      <c r="B849" s="76"/>
      <c r="C849" s="76"/>
    </row>
    <row r="850" ht="30.0" customHeight="1">
      <c r="B850" s="76"/>
      <c r="C850" s="76"/>
    </row>
    <row r="851" ht="30.0" customHeight="1">
      <c r="B851" s="76"/>
      <c r="C851" s="76"/>
    </row>
    <row r="852" ht="30.0" customHeight="1">
      <c r="B852" s="76"/>
      <c r="C852" s="76"/>
    </row>
    <row r="853" ht="30.0" customHeight="1">
      <c r="B853" s="76"/>
      <c r="C853" s="76"/>
    </row>
    <row r="854" ht="30.0" customHeight="1">
      <c r="B854" s="76"/>
      <c r="C854" s="76"/>
    </row>
    <row r="855" ht="30.0" customHeight="1">
      <c r="B855" s="76"/>
      <c r="C855" s="76"/>
    </row>
    <row r="856" ht="30.0" customHeight="1">
      <c r="B856" s="76"/>
      <c r="C856" s="76"/>
    </row>
    <row r="857" ht="30.0" customHeight="1">
      <c r="B857" s="76"/>
      <c r="C857" s="76"/>
    </row>
    <row r="858" ht="30.0" customHeight="1">
      <c r="B858" s="76"/>
      <c r="C858" s="76"/>
    </row>
    <row r="859" ht="30.0" customHeight="1">
      <c r="B859" s="76"/>
      <c r="C859" s="76"/>
    </row>
    <row r="860" ht="30.0" customHeight="1">
      <c r="B860" s="76"/>
      <c r="C860" s="76"/>
    </row>
    <row r="861" ht="30.0" customHeight="1">
      <c r="B861" s="76"/>
      <c r="C861" s="76"/>
    </row>
    <row r="862" ht="30.0" customHeight="1">
      <c r="B862" s="76"/>
      <c r="C862" s="76"/>
    </row>
    <row r="863" ht="30.0" customHeight="1">
      <c r="B863" s="76"/>
      <c r="C863" s="76"/>
    </row>
    <row r="864" ht="30.0" customHeight="1">
      <c r="B864" s="76"/>
      <c r="C864" s="76"/>
    </row>
    <row r="865" ht="30.0" customHeight="1">
      <c r="B865" s="76"/>
      <c r="C865" s="76"/>
    </row>
    <row r="866" ht="30.0" customHeight="1">
      <c r="B866" s="76"/>
      <c r="C866" s="76"/>
    </row>
    <row r="867" ht="30.0" customHeight="1">
      <c r="B867" s="76"/>
      <c r="C867" s="76"/>
    </row>
    <row r="868" ht="30.0" customHeight="1">
      <c r="B868" s="76"/>
      <c r="C868" s="76"/>
    </row>
    <row r="869" ht="30.0" customHeight="1">
      <c r="B869" s="76"/>
      <c r="C869" s="76"/>
    </row>
    <row r="870" ht="30.0" customHeight="1">
      <c r="B870" s="76"/>
      <c r="C870" s="76"/>
    </row>
    <row r="871" ht="30.0" customHeight="1">
      <c r="B871" s="76"/>
      <c r="C871" s="76"/>
    </row>
    <row r="872" ht="30.0" customHeight="1">
      <c r="B872" s="76"/>
      <c r="C872" s="76"/>
    </row>
    <row r="873" ht="30.0" customHeight="1">
      <c r="B873" s="76"/>
      <c r="C873" s="76"/>
    </row>
    <row r="874" ht="30.0" customHeight="1">
      <c r="B874" s="76"/>
      <c r="C874" s="76"/>
    </row>
    <row r="875" ht="30.0" customHeight="1">
      <c r="B875" s="76"/>
      <c r="C875" s="76"/>
    </row>
    <row r="876" ht="30.0" customHeight="1">
      <c r="B876" s="76"/>
      <c r="C876" s="76"/>
    </row>
    <row r="877" ht="30.0" customHeight="1">
      <c r="B877" s="76"/>
      <c r="C877" s="76"/>
    </row>
    <row r="878" ht="30.0" customHeight="1">
      <c r="B878" s="76"/>
      <c r="C878" s="76"/>
    </row>
    <row r="879" ht="30.0" customHeight="1">
      <c r="B879" s="76"/>
      <c r="C879" s="76"/>
    </row>
    <row r="880" ht="30.0" customHeight="1">
      <c r="B880" s="76"/>
      <c r="C880" s="76"/>
    </row>
    <row r="881" ht="30.0" customHeight="1">
      <c r="B881" s="76"/>
      <c r="C881" s="76"/>
    </row>
    <row r="882" ht="30.0" customHeight="1">
      <c r="B882" s="76"/>
      <c r="C882" s="76"/>
    </row>
    <row r="883" ht="30.0" customHeight="1">
      <c r="B883" s="76"/>
      <c r="C883" s="76"/>
    </row>
    <row r="884" ht="30.0" customHeight="1">
      <c r="B884" s="76"/>
      <c r="C884" s="76"/>
    </row>
    <row r="885" ht="30.0" customHeight="1">
      <c r="B885" s="76"/>
      <c r="C885" s="76"/>
    </row>
    <row r="886" ht="30.0" customHeight="1">
      <c r="B886" s="76"/>
      <c r="C886" s="76"/>
    </row>
    <row r="887" ht="30.0" customHeight="1">
      <c r="B887" s="76"/>
      <c r="C887" s="76"/>
    </row>
    <row r="888" ht="30.0" customHeight="1">
      <c r="B888" s="76"/>
      <c r="C888" s="76"/>
    </row>
    <row r="889" ht="30.0" customHeight="1">
      <c r="B889" s="76"/>
      <c r="C889" s="76"/>
    </row>
    <row r="890" ht="30.0" customHeight="1">
      <c r="B890" s="76"/>
      <c r="C890" s="76"/>
    </row>
    <row r="891" ht="30.0" customHeight="1">
      <c r="B891" s="76"/>
      <c r="C891" s="76"/>
    </row>
    <row r="892" ht="30.0" customHeight="1">
      <c r="B892" s="76"/>
      <c r="C892" s="76"/>
    </row>
    <row r="893" ht="30.0" customHeight="1">
      <c r="B893" s="76"/>
      <c r="C893" s="76"/>
    </row>
    <row r="894" ht="30.0" customHeight="1">
      <c r="B894" s="76"/>
      <c r="C894" s="76"/>
    </row>
    <row r="895" ht="30.0" customHeight="1">
      <c r="B895" s="76"/>
      <c r="C895" s="76"/>
    </row>
    <row r="896" ht="30.0" customHeight="1">
      <c r="B896" s="76"/>
      <c r="C896" s="76"/>
    </row>
    <row r="897" ht="30.0" customHeight="1">
      <c r="B897" s="76"/>
      <c r="C897" s="76"/>
    </row>
    <row r="898" ht="30.0" customHeight="1">
      <c r="B898" s="76"/>
      <c r="C898" s="76"/>
    </row>
    <row r="899" ht="30.0" customHeight="1">
      <c r="B899" s="76"/>
      <c r="C899" s="76"/>
    </row>
    <row r="900" ht="30.0" customHeight="1">
      <c r="B900" s="76"/>
      <c r="C900" s="76"/>
    </row>
    <row r="901" ht="30.0" customHeight="1">
      <c r="B901" s="76"/>
      <c r="C901" s="76"/>
    </row>
    <row r="902" ht="30.0" customHeight="1">
      <c r="B902" s="76"/>
      <c r="C902" s="76"/>
    </row>
    <row r="903" ht="30.0" customHeight="1">
      <c r="B903" s="76"/>
      <c r="C903" s="76"/>
    </row>
    <row r="904" ht="30.0" customHeight="1">
      <c r="B904" s="76"/>
      <c r="C904" s="76"/>
    </row>
    <row r="905" ht="30.0" customHeight="1">
      <c r="B905" s="76"/>
      <c r="C905" s="76"/>
    </row>
    <row r="906" ht="30.0" customHeight="1">
      <c r="B906" s="76"/>
      <c r="C906" s="76"/>
    </row>
    <row r="907" ht="30.0" customHeight="1">
      <c r="B907" s="76"/>
      <c r="C907" s="76"/>
    </row>
    <row r="908" ht="30.0" customHeight="1">
      <c r="B908" s="76"/>
      <c r="C908" s="76"/>
    </row>
    <row r="909" ht="30.0" customHeight="1">
      <c r="B909" s="76"/>
      <c r="C909" s="76"/>
    </row>
    <row r="910" ht="30.0" customHeight="1">
      <c r="B910" s="76"/>
      <c r="C910" s="76"/>
    </row>
    <row r="911" ht="30.0" customHeight="1">
      <c r="B911" s="76"/>
      <c r="C911" s="76"/>
    </row>
    <row r="912" ht="30.0" customHeight="1">
      <c r="B912" s="76"/>
      <c r="C912" s="76"/>
    </row>
    <row r="913" ht="30.0" customHeight="1">
      <c r="B913" s="76"/>
      <c r="C913" s="76"/>
    </row>
    <row r="914" ht="30.0" customHeight="1">
      <c r="B914" s="76"/>
      <c r="C914" s="76"/>
    </row>
    <row r="915" ht="30.0" customHeight="1">
      <c r="B915" s="76"/>
      <c r="C915" s="76"/>
    </row>
    <row r="916" ht="30.0" customHeight="1">
      <c r="B916" s="76"/>
      <c r="C916" s="76"/>
    </row>
    <row r="917" ht="30.0" customHeight="1">
      <c r="B917" s="76"/>
      <c r="C917" s="76"/>
    </row>
    <row r="918" ht="30.0" customHeight="1">
      <c r="B918" s="76"/>
      <c r="C918" s="76"/>
    </row>
    <row r="919" ht="30.0" customHeight="1">
      <c r="B919" s="76"/>
      <c r="C919" s="76"/>
    </row>
    <row r="920" ht="30.0" customHeight="1">
      <c r="B920" s="76"/>
      <c r="C920" s="76"/>
    </row>
    <row r="921" ht="30.0" customHeight="1">
      <c r="B921" s="76"/>
      <c r="C921" s="76"/>
    </row>
    <row r="922" ht="30.0" customHeight="1">
      <c r="B922" s="76"/>
      <c r="C922" s="76"/>
    </row>
    <row r="923" ht="30.0" customHeight="1">
      <c r="B923" s="76"/>
      <c r="C923" s="76"/>
    </row>
    <row r="924" ht="30.0" customHeight="1">
      <c r="B924" s="76"/>
      <c r="C924" s="76"/>
    </row>
    <row r="925" ht="30.0" customHeight="1">
      <c r="B925" s="76"/>
      <c r="C925" s="76"/>
    </row>
    <row r="926" ht="30.0" customHeight="1">
      <c r="B926" s="76"/>
      <c r="C926" s="76"/>
    </row>
    <row r="927" ht="30.0" customHeight="1">
      <c r="B927" s="76"/>
      <c r="C927" s="76"/>
    </row>
    <row r="928" ht="30.0" customHeight="1">
      <c r="B928" s="76"/>
      <c r="C928" s="76"/>
    </row>
    <row r="929" ht="30.0" customHeight="1">
      <c r="B929" s="76"/>
      <c r="C929" s="76"/>
    </row>
    <row r="930" ht="30.0" customHeight="1">
      <c r="B930" s="76"/>
      <c r="C930" s="76"/>
    </row>
    <row r="931" ht="30.0" customHeight="1">
      <c r="B931" s="76"/>
      <c r="C931" s="76"/>
    </row>
    <row r="932" ht="30.0" customHeight="1">
      <c r="B932" s="76"/>
      <c r="C932" s="76"/>
    </row>
    <row r="933" ht="30.0" customHeight="1">
      <c r="B933" s="76"/>
      <c r="C933" s="76"/>
    </row>
    <row r="934" ht="30.0" customHeight="1">
      <c r="B934" s="76"/>
      <c r="C934" s="76"/>
    </row>
    <row r="935" ht="30.0" customHeight="1">
      <c r="B935" s="76"/>
      <c r="C935" s="76"/>
    </row>
    <row r="936" ht="30.0" customHeight="1">
      <c r="B936" s="76"/>
      <c r="C936" s="76"/>
    </row>
    <row r="937" ht="30.0" customHeight="1">
      <c r="B937" s="76"/>
      <c r="C937" s="76"/>
    </row>
    <row r="938" ht="30.0" customHeight="1">
      <c r="B938" s="76"/>
      <c r="C938" s="76"/>
    </row>
    <row r="939" ht="30.0" customHeight="1">
      <c r="B939" s="76"/>
      <c r="C939" s="76"/>
    </row>
    <row r="940" ht="30.0" customHeight="1">
      <c r="B940" s="76"/>
      <c r="C940" s="76"/>
    </row>
    <row r="941" ht="30.0" customHeight="1">
      <c r="B941" s="76"/>
      <c r="C941" s="76"/>
    </row>
    <row r="942" ht="30.0" customHeight="1">
      <c r="B942" s="76"/>
      <c r="C942" s="76"/>
    </row>
    <row r="943" ht="30.0" customHeight="1">
      <c r="B943" s="76"/>
      <c r="C943" s="76"/>
    </row>
    <row r="944" ht="30.0" customHeight="1">
      <c r="B944" s="76"/>
      <c r="C944" s="76"/>
    </row>
    <row r="945" ht="30.0" customHeight="1">
      <c r="B945" s="76"/>
      <c r="C945" s="76"/>
    </row>
    <row r="946" ht="30.0" customHeight="1">
      <c r="B946" s="76"/>
      <c r="C946" s="76"/>
    </row>
    <row r="947" ht="30.0" customHeight="1">
      <c r="B947" s="76"/>
      <c r="C947" s="76"/>
    </row>
    <row r="948" ht="30.0" customHeight="1">
      <c r="B948" s="76"/>
      <c r="C948" s="76"/>
    </row>
    <row r="949" ht="30.0" customHeight="1">
      <c r="B949" s="76"/>
      <c r="C949" s="76"/>
    </row>
    <row r="950" ht="30.0" customHeight="1">
      <c r="B950" s="76"/>
      <c r="C950" s="76"/>
    </row>
    <row r="951" ht="30.0" customHeight="1">
      <c r="B951" s="76"/>
      <c r="C951" s="76"/>
    </row>
    <row r="952" ht="30.0" customHeight="1">
      <c r="B952" s="76"/>
      <c r="C952" s="76"/>
    </row>
    <row r="953" ht="30.0" customHeight="1">
      <c r="B953" s="76"/>
      <c r="C953" s="76"/>
    </row>
    <row r="954" ht="30.0" customHeight="1">
      <c r="B954" s="76"/>
      <c r="C954" s="76"/>
    </row>
    <row r="955" ht="30.0" customHeight="1">
      <c r="B955" s="76"/>
      <c r="C955" s="76"/>
    </row>
    <row r="956" ht="30.0" customHeight="1">
      <c r="B956" s="76"/>
      <c r="C956" s="76"/>
    </row>
    <row r="957" ht="30.0" customHeight="1">
      <c r="B957" s="76"/>
      <c r="C957" s="76"/>
    </row>
    <row r="958" ht="30.0" customHeight="1">
      <c r="B958" s="76"/>
      <c r="C958" s="76"/>
    </row>
    <row r="959" ht="30.0" customHeight="1">
      <c r="B959" s="76"/>
      <c r="C959" s="76"/>
    </row>
    <row r="960" ht="30.0" customHeight="1">
      <c r="B960" s="76"/>
      <c r="C960" s="76"/>
    </row>
    <row r="961" ht="30.0" customHeight="1">
      <c r="B961" s="76"/>
      <c r="C961" s="76"/>
    </row>
    <row r="962" ht="30.0" customHeight="1">
      <c r="B962" s="76"/>
      <c r="C962" s="76"/>
    </row>
    <row r="963" ht="30.0" customHeight="1">
      <c r="B963" s="76"/>
      <c r="C963" s="76"/>
    </row>
    <row r="964" ht="30.0" customHeight="1">
      <c r="B964" s="76"/>
      <c r="C964" s="76"/>
    </row>
    <row r="965" ht="30.0" customHeight="1">
      <c r="B965" s="76"/>
      <c r="C965" s="76"/>
    </row>
    <row r="966" ht="30.0" customHeight="1">
      <c r="B966" s="76"/>
      <c r="C966" s="76"/>
    </row>
    <row r="967" ht="30.0" customHeight="1">
      <c r="B967" s="76"/>
      <c r="C967" s="76"/>
    </row>
    <row r="968" ht="30.0" customHeight="1">
      <c r="B968" s="76"/>
      <c r="C968" s="76"/>
    </row>
    <row r="969" ht="30.0" customHeight="1">
      <c r="B969" s="76"/>
      <c r="C969" s="76"/>
    </row>
    <row r="970" ht="30.0" customHeight="1">
      <c r="B970" s="76"/>
      <c r="C970" s="76"/>
    </row>
    <row r="971" ht="30.0" customHeight="1">
      <c r="B971" s="76"/>
      <c r="C971" s="76"/>
    </row>
    <row r="972" ht="30.0" customHeight="1">
      <c r="B972" s="76"/>
      <c r="C972" s="76"/>
    </row>
    <row r="973" ht="30.0" customHeight="1">
      <c r="B973" s="76"/>
      <c r="C973" s="76"/>
    </row>
    <row r="974" ht="30.0" customHeight="1">
      <c r="B974" s="76"/>
      <c r="C974" s="76"/>
    </row>
    <row r="975" ht="30.0" customHeight="1">
      <c r="B975" s="76"/>
      <c r="C975" s="76"/>
    </row>
    <row r="976" ht="30.0" customHeight="1">
      <c r="B976" s="76"/>
      <c r="C976" s="76"/>
    </row>
    <row r="977" ht="30.0" customHeight="1">
      <c r="B977" s="76"/>
      <c r="C977" s="76"/>
    </row>
    <row r="978" ht="30.0" customHeight="1">
      <c r="B978" s="76"/>
      <c r="C978" s="76"/>
    </row>
    <row r="979" ht="30.0" customHeight="1">
      <c r="B979" s="76"/>
      <c r="C979" s="76"/>
    </row>
    <row r="980" ht="30.0" customHeight="1">
      <c r="B980" s="76"/>
      <c r="C980" s="76"/>
    </row>
    <row r="981" ht="30.0" customHeight="1">
      <c r="B981" s="76"/>
      <c r="C981" s="76"/>
    </row>
    <row r="982" ht="30.0" customHeight="1">
      <c r="B982" s="76"/>
      <c r="C982" s="76"/>
    </row>
    <row r="983" ht="30.0" customHeight="1">
      <c r="B983" s="76"/>
      <c r="C983" s="76"/>
    </row>
    <row r="984" ht="30.0" customHeight="1">
      <c r="B984" s="76"/>
      <c r="C984" s="76"/>
    </row>
    <row r="985" ht="30.0" customHeight="1">
      <c r="B985" s="76"/>
      <c r="C985" s="76"/>
    </row>
    <row r="986" ht="30.0" customHeight="1">
      <c r="B986" s="76"/>
      <c r="C986" s="76"/>
    </row>
    <row r="987" ht="30.0" customHeight="1">
      <c r="B987" s="76"/>
      <c r="C987" s="76"/>
    </row>
    <row r="988" ht="30.0" customHeight="1">
      <c r="B988" s="76"/>
      <c r="C988" s="76"/>
    </row>
    <row r="989" ht="30.0" customHeight="1">
      <c r="B989" s="76"/>
      <c r="C989" s="76"/>
    </row>
    <row r="990" ht="30.0" customHeight="1">
      <c r="B990" s="76"/>
      <c r="C990" s="76"/>
    </row>
    <row r="991" ht="30.0" customHeight="1">
      <c r="B991" s="76"/>
      <c r="C991" s="76"/>
    </row>
    <row r="992" ht="30.0" customHeight="1">
      <c r="B992" s="76"/>
      <c r="C992" s="76"/>
    </row>
    <row r="993" ht="30.0" customHeight="1">
      <c r="B993" s="76"/>
      <c r="C993" s="76"/>
    </row>
    <row r="994" ht="30.0" customHeight="1">
      <c r="B994" s="76"/>
      <c r="C994" s="76"/>
    </row>
    <row r="995" ht="30.0" customHeight="1">
      <c r="B995" s="76"/>
      <c r="C995" s="76"/>
    </row>
    <row r="996" ht="30.0" customHeight="1">
      <c r="B996" s="76"/>
      <c r="C996" s="76"/>
    </row>
    <row r="997" ht="30.0" customHeight="1">
      <c r="B997" s="76"/>
      <c r="C997" s="76"/>
    </row>
    <row r="998" ht="30.0" customHeight="1">
      <c r="B998" s="76"/>
      <c r="C998" s="76"/>
    </row>
    <row r="999" ht="30.0" customHeight="1">
      <c r="B999" s="76"/>
      <c r="C999" s="76"/>
    </row>
    <row r="1000" ht="30.0" customHeight="1">
      <c r="B1000" s="76"/>
      <c r="C1000" s="76"/>
    </row>
    <row r="1001" ht="30.0" customHeight="1">
      <c r="B1001" s="76"/>
      <c r="C1001" s="76"/>
    </row>
    <row r="1002" ht="30.0" customHeight="1">
      <c r="B1002" s="76"/>
      <c r="C1002" s="76"/>
    </row>
    <row r="1003" ht="30.0" customHeight="1">
      <c r="B1003" s="76"/>
      <c r="C1003" s="76"/>
    </row>
    <row r="1004" ht="30.0" customHeight="1">
      <c r="B1004" s="76"/>
      <c r="C1004" s="76"/>
    </row>
    <row r="1005" ht="30.0" customHeight="1">
      <c r="B1005" s="76"/>
      <c r="C1005" s="76"/>
    </row>
    <row r="1006" ht="30.0" customHeight="1">
      <c r="B1006" s="76"/>
      <c r="C1006" s="76"/>
    </row>
    <row r="1007" ht="30.0" customHeight="1">
      <c r="B1007" s="76"/>
      <c r="C1007" s="76"/>
    </row>
    <row r="1008" ht="30.0" customHeight="1">
      <c r="B1008" s="76"/>
      <c r="C1008" s="76"/>
    </row>
    <row r="1009" ht="30.0" customHeight="1">
      <c r="B1009" s="76"/>
      <c r="C1009" s="76"/>
    </row>
    <row r="1010" ht="30.0" customHeight="1">
      <c r="B1010" s="76"/>
      <c r="C1010" s="76"/>
    </row>
    <row r="1011" ht="30.0" customHeight="1">
      <c r="B1011" s="76"/>
      <c r="C1011" s="76"/>
    </row>
    <row r="1012" ht="30.0" customHeight="1">
      <c r="B1012" s="76"/>
      <c r="C1012" s="76"/>
    </row>
    <row r="1013" ht="30.0" customHeight="1">
      <c r="B1013" s="76"/>
      <c r="C1013" s="76"/>
    </row>
    <row r="1014" ht="30.0" customHeight="1">
      <c r="B1014" s="76"/>
      <c r="C1014" s="76"/>
    </row>
    <row r="1015" ht="30.0" customHeight="1">
      <c r="B1015" s="76"/>
      <c r="C1015" s="76"/>
    </row>
    <row r="1016" ht="30.0" customHeight="1">
      <c r="B1016" s="76"/>
      <c r="C1016" s="76"/>
    </row>
    <row r="1017" ht="30.0" customHeight="1">
      <c r="B1017" s="76"/>
      <c r="C1017" s="76"/>
    </row>
    <row r="1018" ht="30.0" customHeight="1">
      <c r="B1018" s="76"/>
      <c r="C1018" s="76"/>
    </row>
    <row r="1019" ht="30.0" customHeight="1">
      <c r="B1019" s="76"/>
      <c r="C1019" s="76"/>
    </row>
    <row r="1020" ht="30.0" customHeight="1">
      <c r="B1020" s="76"/>
      <c r="C1020" s="76"/>
    </row>
    <row r="1021" ht="30.0" customHeight="1">
      <c r="B1021" s="76"/>
      <c r="C1021" s="76"/>
    </row>
    <row r="1022" ht="30.0" customHeight="1">
      <c r="B1022" s="76"/>
      <c r="C1022" s="76"/>
    </row>
    <row r="1023" ht="30.0" customHeight="1">
      <c r="B1023" s="76"/>
      <c r="C1023" s="76"/>
    </row>
    <row r="1024" ht="30.0" customHeight="1">
      <c r="B1024" s="76"/>
      <c r="C1024" s="76"/>
    </row>
    <row r="1025" ht="30.0" customHeight="1">
      <c r="B1025" s="76"/>
      <c r="C1025" s="76"/>
    </row>
    <row r="1026" ht="30.0" customHeight="1">
      <c r="B1026" s="76"/>
      <c r="C1026" s="76"/>
    </row>
    <row r="1027" ht="30.0" customHeight="1">
      <c r="B1027" s="76"/>
      <c r="C1027" s="76"/>
    </row>
    <row r="1028" ht="30.0" customHeight="1">
      <c r="B1028" s="76"/>
      <c r="C1028" s="76"/>
    </row>
    <row r="1029" ht="30.0" customHeight="1">
      <c r="B1029" s="76"/>
      <c r="C1029" s="76"/>
    </row>
    <row r="1030" ht="30.0" customHeight="1">
      <c r="B1030" s="76"/>
      <c r="C1030" s="76"/>
    </row>
    <row r="1031" ht="30.0" customHeight="1">
      <c r="B1031" s="76"/>
      <c r="C1031" s="76"/>
    </row>
    <row r="1032" ht="30.0" customHeight="1">
      <c r="B1032" s="76"/>
      <c r="C1032" s="76"/>
    </row>
    <row r="1033" ht="30.0" customHeight="1">
      <c r="B1033" s="76"/>
      <c r="C1033" s="76"/>
    </row>
    <row r="1034" ht="30.0" customHeight="1">
      <c r="B1034" s="76"/>
      <c r="C1034" s="76"/>
    </row>
    <row r="1035" ht="30.0" customHeight="1">
      <c r="B1035" s="76"/>
      <c r="C1035" s="76"/>
    </row>
    <row r="1036" ht="30.0" customHeight="1">
      <c r="B1036" s="76"/>
      <c r="C1036" s="76"/>
    </row>
    <row r="1037" ht="30.0" customHeight="1">
      <c r="B1037" s="76"/>
      <c r="C1037" s="76"/>
    </row>
    <row r="1038" ht="30.0" customHeight="1">
      <c r="B1038" s="76"/>
      <c r="C1038" s="76"/>
    </row>
    <row r="1039" ht="30.0" customHeight="1">
      <c r="B1039" s="76"/>
      <c r="C1039" s="76"/>
    </row>
    <row r="1040" ht="30.0" customHeight="1">
      <c r="B1040" s="76"/>
      <c r="C1040" s="76"/>
    </row>
    <row r="1041" ht="30.0" customHeight="1">
      <c r="B1041" s="76"/>
      <c r="C1041" s="76"/>
    </row>
    <row r="1042" ht="30.0" customHeight="1">
      <c r="B1042" s="76"/>
      <c r="C1042" s="76"/>
    </row>
    <row r="1043" ht="30.0" customHeight="1">
      <c r="B1043" s="76"/>
      <c r="C1043" s="76"/>
    </row>
    <row r="1044" ht="30.0" customHeight="1">
      <c r="B1044" s="76"/>
      <c r="C1044" s="76"/>
    </row>
    <row r="1045" ht="30.0" customHeight="1">
      <c r="B1045" s="76"/>
      <c r="C1045" s="76"/>
    </row>
    <row r="1046" ht="30.0" customHeight="1">
      <c r="B1046" s="76"/>
      <c r="C1046" s="76"/>
    </row>
    <row r="1047" ht="30.0" customHeight="1">
      <c r="B1047" s="76"/>
      <c r="C1047" s="76"/>
    </row>
  </sheetData>
  <autoFilter ref="$B$3:$C$239">
    <sortState ref="B3:C239">
      <sortCondition ref="C3:C239"/>
    </sortState>
  </autoFilter>
  <mergeCells count="6">
    <mergeCell ref="B1:F1"/>
    <mergeCell ref="D4:D30"/>
    <mergeCell ref="D31:D38"/>
    <mergeCell ref="D52:D58"/>
    <mergeCell ref="D59:D68"/>
    <mergeCell ref="D69:D70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1E11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3" width="4.71"/>
    <col customWidth="1" min="34" max="34" width="20.86"/>
  </cols>
  <sheetData>
    <row r="1" ht="49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AH1" s="5"/>
    </row>
    <row r="2" ht="15.0" customHeight="1">
      <c r="B2" s="6" t="s">
        <v>1</v>
      </c>
      <c r="C2" s="7" t="s">
        <v>2</v>
      </c>
      <c r="D2" s="8" t="s">
        <v>3</v>
      </c>
      <c r="E2" s="3"/>
      <c r="F2" s="4"/>
      <c r="G2" s="9" t="s">
        <v>4</v>
      </c>
      <c r="H2" s="8" t="s">
        <v>5</v>
      </c>
      <c r="I2" s="3"/>
      <c r="J2" s="4"/>
      <c r="K2" s="10" t="s">
        <v>6</v>
      </c>
      <c r="L2" s="8" t="s">
        <v>7</v>
      </c>
      <c r="M2" s="3"/>
      <c r="N2" s="4"/>
      <c r="O2" s="11" t="s">
        <v>8</v>
      </c>
      <c r="P2" s="8" t="s">
        <v>9</v>
      </c>
      <c r="Q2" s="3"/>
      <c r="R2" s="3"/>
      <c r="S2" s="4"/>
      <c r="T2" s="12" t="s">
        <v>10</v>
      </c>
      <c r="U2" s="8" t="s">
        <v>11</v>
      </c>
      <c r="V2" s="3"/>
      <c r="W2" s="3"/>
      <c r="X2" s="4"/>
      <c r="AH2" s="5"/>
    </row>
    <row r="3" ht="15.0" customHeight="1">
      <c r="AH3" s="13"/>
    </row>
    <row r="4" ht="30.0" customHeight="1">
      <c r="B4" s="15" t="s">
        <v>291</v>
      </c>
      <c r="C4" s="15" t="s">
        <v>13</v>
      </c>
      <c r="AH4" s="15">
        <v>2026.0</v>
      </c>
    </row>
    <row r="5" ht="15.0" customHeight="1">
      <c r="B5" s="14"/>
      <c r="C5" s="16" t="str">
        <f>TEXT(WEEKDAY(DATE(Marzo!CalendarioAño,1,4),1),"ddd")</f>
        <v>dom</v>
      </c>
      <c r="D5" s="16" t="str">
        <f>TEXT(WEEKDAY(DATE(Marzo!CalendarioAño,1,5),1),"ddd")</f>
        <v>lun</v>
      </c>
      <c r="E5" s="16" t="str">
        <f>TEXT(WEEKDAY(DATE(Marzo!CalendarioAño,1,6),1),"ddd")</f>
        <v>mar</v>
      </c>
      <c r="F5" s="16" t="str">
        <f>TEXT(WEEKDAY(DATE(Marzo!CalendarioAño,1,7),1),"ddd")</f>
        <v>mié</v>
      </c>
      <c r="G5" s="16" t="str">
        <f>TEXT(WEEKDAY(DATE(Marzo!CalendarioAño,1,8),1),"ddd")</f>
        <v>jue</v>
      </c>
      <c r="H5" s="16" t="str">
        <f>TEXT(WEEKDAY(DATE(Marzo!CalendarioAño,1,9),1),"ddd")</f>
        <v>vie</v>
      </c>
      <c r="I5" s="16" t="str">
        <f>TEXT(WEEKDAY(DATE(Marzo!CalendarioAño,1,10),1),"ddd")</f>
        <v>sáb</v>
      </c>
      <c r="J5" s="16" t="str">
        <f>TEXT(WEEKDAY(DATE(Marzo!CalendarioAño,1,4),1),"ddd")</f>
        <v>dom</v>
      </c>
      <c r="K5" s="16" t="str">
        <f>TEXT(WEEKDAY(DATE(Marzo!CalendarioAño,1,5),1),"ddd")</f>
        <v>lun</v>
      </c>
      <c r="L5" s="16" t="str">
        <f>TEXT(WEEKDAY(DATE(Marzo!CalendarioAño,1,6),1),"ddd")</f>
        <v>mar</v>
      </c>
      <c r="M5" s="16" t="str">
        <f>TEXT(WEEKDAY(DATE(Marzo!CalendarioAño,1,7),1),"ddd")</f>
        <v>mié</v>
      </c>
      <c r="N5" s="16" t="str">
        <f>TEXT(WEEKDAY(DATE(Marzo!CalendarioAño,1,8),1),"ddd")</f>
        <v>jue</v>
      </c>
      <c r="O5" s="16" t="str">
        <f>TEXT(WEEKDAY(DATE(Marzo!CalendarioAño,1,9),1),"ddd")</f>
        <v>vie</v>
      </c>
      <c r="P5" s="16" t="str">
        <f>TEXT(WEEKDAY(DATE(Marzo!CalendarioAño,1,10),1),"ddd")</f>
        <v>sáb</v>
      </c>
      <c r="Q5" s="16" t="str">
        <f>TEXT(WEEKDAY(DATE(Marzo!CalendarioAño,1,4),1),"ddd")</f>
        <v>dom</v>
      </c>
      <c r="R5" s="16" t="str">
        <f>TEXT(WEEKDAY(DATE(Marzo!CalendarioAño,1,5),1),"ddd")</f>
        <v>lun</v>
      </c>
      <c r="S5" s="16" t="str">
        <f>TEXT(WEEKDAY(DATE(Marzo!CalendarioAño,1,6),1),"ddd")</f>
        <v>mar</v>
      </c>
      <c r="T5" s="16" t="str">
        <f>TEXT(WEEKDAY(DATE(Marzo!CalendarioAño,1,7),1),"ddd")</f>
        <v>mié</v>
      </c>
      <c r="U5" s="16" t="str">
        <f>TEXT(WEEKDAY(DATE(Marzo!CalendarioAño,1,8),1),"ddd")</f>
        <v>jue</v>
      </c>
      <c r="V5" s="16" t="str">
        <f>TEXT(WEEKDAY(DATE(Marzo!CalendarioAño,1,9),1),"ddd")</f>
        <v>vie</v>
      </c>
      <c r="W5" s="16" t="str">
        <f>TEXT(WEEKDAY(DATE(Marzo!CalendarioAño,1,10),1),"ddd")</f>
        <v>sáb</v>
      </c>
      <c r="X5" s="16" t="str">
        <f>TEXT(WEEKDAY(DATE(Marzo!CalendarioAño,1,4),1),"ddd")</f>
        <v>dom</v>
      </c>
      <c r="Y5" s="16" t="str">
        <f>TEXT(WEEKDAY(DATE(Marzo!CalendarioAño,1,5),1),"ddd")</f>
        <v>lun</v>
      </c>
      <c r="Z5" s="16" t="str">
        <f>TEXT(WEEKDAY(DATE(Marzo!CalendarioAño,1,6),1),"ddd")</f>
        <v>mar</v>
      </c>
      <c r="AA5" s="16" t="str">
        <f>TEXT(WEEKDAY(DATE(Marzo!CalendarioAño,1,7),1),"ddd")</f>
        <v>mié</v>
      </c>
      <c r="AB5" s="16" t="str">
        <f>TEXT(WEEKDAY(DATE(Marzo!CalendarioAño,1,8),1),"ddd")</f>
        <v>jue</v>
      </c>
      <c r="AC5" s="16" t="str">
        <f>TEXT(WEEKDAY(DATE(Marzo!CalendarioAño,1,9),1),"ddd")</f>
        <v>vie</v>
      </c>
      <c r="AD5" s="16" t="str">
        <f>TEXT(WEEKDAY(DATE(Marzo!CalendarioAño,1,10),1),"ddd")</f>
        <v>sáb</v>
      </c>
      <c r="AE5" s="16" t="str">
        <f>TEXT(WEEKDAY(DATE(Marzo!CalendarioAño,1,4),1),"ddd")</f>
        <v>dom</v>
      </c>
      <c r="AF5" s="16" t="str">
        <f>TEXT(WEEKDAY(DATE(Marzo!CalendarioAño,1,5),1),"ddd")</f>
        <v>lun</v>
      </c>
      <c r="AG5" s="16" t="str">
        <f>TEXT(WEEKDAY(DATE(Marzo!CalendarioAño,1,6),1),"ddd")</f>
        <v>mar</v>
      </c>
      <c r="AH5" s="14"/>
    </row>
    <row r="6" ht="15.0" customHeight="1">
      <c r="A6" s="17"/>
      <c r="B6" s="18" t="s">
        <v>14</v>
      </c>
      <c r="C6" s="70">
        <v>1.0</v>
      </c>
      <c r="D6" s="70">
        <v>2.0</v>
      </c>
      <c r="E6" s="70">
        <v>3.0</v>
      </c>
      <c r="F6" s="70">
        <v>4.0</v>
      </c>
      <c r="G6" s="70">
        <v>5.0</v>
      </c>
      <c r="H6" s="70">
        <v>6.0</v>
      </c>
      <c r="I6" s="70">
        <v>7.0</v>
      </c>
      <c r="J6" s="70">
        <v>8.0</v>
      </c>
      <c r="K6" s="70">
        <v>9.0</v>
      </c>
      <c r="L6" s="70">
        <v>10.0</v>
      </c>
      <c r="M6" s="70">
        <v>11.0</v>
      </c>
      <c r="N6" s="70">
        <v>12.0</v>
      </c>
      <c r="O6" s="70">
        <v>13.0</v>
      </c>
      <c r="P6" s="70">
        <v>14.0</v>
      </c>
      <c r="Q6" s="70">
        <v>15.0</v>
      </c>
      <c r="R6" s="70">
        <v>16.0</v>
      </c>
      <c r="S6" s="70">
        <v>17.0</v>
      </c>
      <c r="T6" s="70">
        <v>18.0</v>
      </c>
      <c r="U6" s="70">
        <v>19.0</v>
      </c>
      <c r="V6" s="70">
        <v>20.0</v>
      </c>
      <c r="W6" s="70">
        <v>21.0</v>
      </c>
      <c r="X6" s="70">
        <v>22.0</v>
      </c>
      <c r="Y6" s="70">
        <v>23.0</v>
      </c>
      <c r="Z6" s="70">
        <v>24.0</v>
      </c>
      <c r="AA6" s="70">
        <v>25.0</v>
      </c>
      <c r="AB6" s="70">
        <v>26.0</v>
      </c>
      <c r="AC6" s="70">
        <v>27.0</v>
      </c>
      <c r="AD6" s="70">
        <v>28.0</v>
      </c>
      <c r="AE6" s="70">
        <v>29.0</v>
      </c>
      <c r="AF6" s="70">
        <v>30.0</v>
      </c>
      <c r="AG6" s="70">
        <v>31.0</v>
      </c>
      <c r="AH6" s="19" t="s">
        <v>46</v>
      </c>
    </row>
    <row r="7" ht="30.0" customHeight="1">
      <c r="B7" s="20"/>
      <c r="C7" s="21"/>
      <c r="D7" s="21"/>
      <c r="E7" s="21"/>
      <c r="F7" s="22"/>
      <c r="G7" s="22"/>
      <c r="H7" s="21"/>
      <c r="I7" s="21"/>
      <c r="J7" s="21"/>
      <c r="K7" s="22"/>
      <c r="L7" s="21"/>
      <c r="M7" s="21"/>
      <c r="N7" s="22"/>
      <c r="O7" s="21"/>
      <c r="P7" s="21"/>
      <c r="Q7" s="21"/>
      <c r="R7" s="22"/>
      <c r="S7" s="21"/>
      <c r="T7" s="22"/>
      <c r="U7" s="22"/>
      <c r="V7" s="21"/>
      <c r="W7" s="21"/>
      <c r="X7" s="21"/>
      <c r="Y7" s="22"/>
      <c r="Z7" s="21"/>
      <c r="AA7" s="22"/>
      <c r="AB7" s="22"/>
      <c r="AC7" s="21"/>
      <c r="AD7" s="21"/>
      <c r="AE7" s="21"/>
      <c r="AF7" s="22"/>
      <c r="AG7" s="21"/>
      <c r="AH7" s="23"/>
    </row>
    <row r="8" ht="30.0" customHeight="1">
      <c r="B8" s="24" t="str">
        <f>Marzo!MonthName&amp;" Total"</f>
        <v>Marzo Total</v>
      </c>
      <c r="C8" s="25">
        <f>SUBTOTAL(103,Marzo!$C$7)</f>
        <v>0</v>
      </c>
      <c r="D8" s="25">
        <f>SUBTOTAL(103,Marzo!$D$7)</f>
        <v>0</v>
      </c>
      <c r="E8" s="25">
        <f>SUBTOTAL(103,Marzo!$E$7)</f>
        <v>0</v>
      </c>
      <c r="F8" s="25">
        <f>SUBTOTAL(103,Marzo!$F$7)</f>
        <v>0</v>
      </c>
      <c r="G8" s="25">
        <f>SUBTOTAL(103,Marzo!$G$7)</f>
        <v>0</v>
      </c>
      <c r="H8" s="25">
        <f>SUBTOTAL(103,Marzo!$H$7)</f>
        <v>0</v>
      </c>
      <c r="I8" s="25">
        <f>SUBTOTAL(103,Marzo!$I$7)</f>
        <v>0</v>
      </c>
      <c r="J8" s="25">
        <f>SUBTOTAL(103,Marzo!$J$7)</f>
        <v>0</v>
      </c>
      <c r="K8" s="25">
        <f>SUBTOTAL(103,Marzo!$K$7)</f>
        <v>0</v>
      </c>
      <c r="L8" s="25">
        <f>SUBTOTAL(103,Marzo!$L$7)</f>
        <v>0</v>
      </c>
      <c r="M8" s="25">
        <f>SUBTOTAL(103,Marzo!$M$7)</f>
        <v>0</v>
      </c>
      <c r="N8" s="25">
        <f>SUBTOTAL(103,Marzo!$N$7)</f>
        <v>0</v>
      </c>
      <c r="O8" s="25">
        <f>SUBTOTAL(103,Marzo!$O$7)</f>
        <v>0</v>
      </c>
      <c r="P8" s="25">
        <f>SUBTOTAL(103,Marzo!$P$7)</f>
        <v>0</v>
      </c>
      <c r="Q8" s="25">
        <f>SUBTOTAL(103,Marzo!$Q$7)</f>
        <v>0</v>
      </c>
      <c r="R8" s="25">
        <f>SUBTOTAL(103,Marzo!$R$7)</f>
        <v>0</v>
      </c>
      <c r="S8" s="25">
        <f>SUBTOTAL(103,Marzo!$S$7)</f>
        <v>0</v>
      </c>
      <c r="T8" s="25">
        <f>SUBTOTAL(103,Marzo!$T$7)</f>
        <v>0</v>
      </c>
      <c r="U8" s="25">
        <f>SUBTOTAL(103,Marzo!$U$7)</f>
        <v>0</v>
      </c>
      <c r="V8" s="25">
        <f>SUBTOTAL(103,Marzo!$V$7)</f>
        <v>0</v>
      </c>
      <c r="W8" s="25">
        <f>SUBTOTAL(103,Marzo!$W$7)</f>
        <v>0</v>
      </c>
      <c r="X8" s="25">
        <f>SUBTOTAL(103,Marzo!$X$7)</f>
        <v>0</v>
      </c>
      <c r="Y8" s="25">
        <f>SUBTOTAL(103,Marzo!$Y$7)</f>
        <v>0</v>
      </c>
      <c r="Z8" s="25">
        <f>SUBTOTAL(103,Marzo!$Z$7)</f>
        <v>0</v>
      </c>
      <c r="AA8" s="25">
        <f>SUBTOTAL(103,Marzo!$AA$7)</f>
        <v>0</v>
      </c>
      <c r="AB8" s="25">
        <f>SUBTOTAL(103,Marzo!$AB$7)</f>
        <v>0</v>
      </c>
      <c r="AC8" s="25">
        <f>SUBTOTAL(103,Marzo!$AC$7)</f>
        <v>0</v>
      </c>
      <c r="AD8" s="25">
        <f>SUBTOTAL(103,Marzo!$AD$7)</f>
        <v>0</v>
      </c>
      <c r="AE8" s="25">
        <f>SUBTOTAL(103,Marzo!$AE$7)</f>
        <v>0</v>
      </c>
      <c r="AF8" s="25">
        <f>SUBTOTAL(103,Marzo!$AF$7)</f>
        <v>0</v>
      </c>
      <c r="AG8" s="25">
        <f>SUBTOTAL(103,Marzo!$AG$7)</f>
        <v>0</v>
      </c>
      <c r="AH8" s="25"/>
    </row>
    <row r="9" ht="30.0" customHeight="1">
      <c r="AH9" s="5"/>
    </row>
    <row r="10" ht="30.0" customHeight="1">
      <c r="B10" s="15" t="s">
        <v>291</v>
      </c>
      <c r="C10" s="27" t="s">
        <v>47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9">
        <v>2026.0</v>
      </c>
    </row>
    <row r="11" ht="30.0" customHeight="1">
      <c r="B11" s="30"/>
      <c r="C11" s="16" t="str">
        <f>TEXT(WEEKDAY(DATE(Marzo!CalendarioAño,1,4),1),"ddd")</f>
        <v>dom</v>
      </c>
      <c r="D11" s="16" t="str">
        <f>TEXT(WEEKDAY(DATE(Marzo!CalendarioAño,1,5),1),"ddd")</f>
        <v>lun</v>
      </c>
      <c r="E11" s="16" t="str">
        <f>TEXT(WEEKDAY(DATE(Marzo!CalendarioAño,1,6),1),"ddd")</f>
        <v>mar</v>
      </c>
      <c r="F11" s="16" t="str">
        <f>TEXT(WEEKDAY(DATE(Marzo!CalendarioAño,1,7),1),"ddd")</f>
        <v>mié</v>
      </c>
      <c r="G11" s="16" t="str">
        <f>TEXT(WEEKDAY(DATE(Marzo!CalendarioAño,1,8),1),"ddd")</f>
        <v>jue</v>
      </c>
      <c r="H11" s="16" t="str">
        <f>TEXT(WEEKDAY(DATE(Marzo!CalendarioAño,1,9),1),"ddd")</f>
        <v>vie</v>
      </c>
      <c r="I11" s="16" t="str">
        <f>TEXT(WEEKDAY(DATE(Marzo!CalendarioAño,1,10),1),"ddd")</f>
        <v>sáb</v>
      </c>
      <c r="J11" s="16" t="str">
        <f>TEXT(WEEKDAY(DATE(Marzo!CalendarioAño,1,4),1),"ddd")</f>
        <v>dom</v>
      </c>
      <c r="K11" s="16" t="str">
        <f>TEXT(WEEKDAY(DATE(Marzo!CalendarioAño,1,5),1),"ddd")</f>
        <v>lun</v>
      </c>
      <c r="L11" s="16" t="str">
        <f>TEXT(WEEKDAY(DATE(Marzo!CalendarioAño,1,6),1),"ddd")</f>
        <v>mar</v>
      </c>
      <c r="M11" s="16" t="str">
        <f>TEXT(WEEKDAY(DATE(Marzo!CalendarioAño,1,7),1),"ddd")</f>
        <v>mié</v>
      </c>
      <c r="N11" s="16" t="str">
        <f>TEXT(WEEKDAY(DATE(Marzo!CalendarioAño,1,8),1),"ddd")</f>
        <v>jue</v>
      </c>
      <c r="O11" s="16" t="str">
        <f>TEXT(WEEKDAY(DATE(Marzo!CalendarioAño,1,9),1),"ddd")</f>
        <v>vie</v>
      </c>
      <c r="P11" s="16" t="str">
        <f>TEXT(WEEKDAY(DATE(Marzo!CalendarioAño,1,10),1),"ddd")</f>
        <v>sáb</v>
      </c>
      <c r="Q11" s="16" t="str">
        <f>TEXT(WEEKDAY(DATE(Marzo!CalendarioAño,1,4),1),"ddd")</f>
        <v>dom</v>
      </c>
      <c r="R11" s="16" t="str">
        <f>TEXT(WEEKDAY(DATE(Marzo!CalendarioAño,1,5),1),"ddd")</f>
        <v>lun</v>
      </c>
      <c r="S11" s="16" t="str">
        <f>TEXT(WEEKDAY(DATE(Marzo!CalendarioAño,1,6),1),"ddd")</f>
        <v>mar</v>
      </c>
      <c r="T11" s="16" t="str">
        <f>TEXT(WEEKDAY(DATE(Marzo!CalendarioAño,1,7),1),"ddd")</f>
        <v>mié</v>
      </c>
      <c r="U11" s="16" t="str">
        <f>TEXT(WEEKDAY(DATE(Marzo!CalendarioAño,1,8),1),"ddd")</f>
        <v>jue</v>
      </c>
      <c r="V11" s="16" t="str">
        <f>TEXT(WEEKDAY(DATE(Marzo!CalendarioAño,1,9),1),"ddd")</f>
        <v>vie</v>
      </c>
      <c r="W11" s="16" t="str">
        <f>TEXT(WEEKDAY(DATE(Marzo!CalendarioAño,1,10),1),"ddd")</f>
        <v>sáb</v>
      </c>
      <c r="X11" s="16" t="str">
        <f>TEXT(WEEKDAY(DATE(Marzo!CalendarioAño,1,4),1),"ddd")</f>
        <v>dom</v>
      </c>
      <c r="Y11" s="16" t="str">
        <f>TEXT(WEEKDAY(DATE(Marzo!CalendarioAño,1,5),1),"ddd")</f>
        <v>lun</v>
      </c>
      <c r="Z11" s="16" t="str">
        <f>TEXT(WEEKDAY(DATE(Marzo!CalendarioAño,1,6),1),"ddd")</f>
        <v>mar</v>
      </c>
      <c r="AA11" s="16" t="str">
        <f>TEXT(WEEKDAY(DATE(Marzo!CalendarioAño,1,7),1),"ddd")</f>
        <v>mié</v>
      </c>
      <c r="AB11" s="16" t="str">
        <f>TEXT(WEEKDAY(DATE(Marzo!CalendarioAño,1,8),1),"ddd")</f>
        <v>jue</v>
      </c>
      <c r="AC11" s="16" t="str">
        <f>TEXT(WEEKDAY(DATE(Marzo!CalendarioAño,1,9),1),"ddd")</f>
        <v>vie</v>
      </c>
      <c r="AD11" s="16" t="str">
        <f>TEXT(WEEKDAY(DATE(Marzo!CalendarioAño,1,10),1),"ddd")</f>
        <v>sáb</v>
      </c>
      <c r="AE11" s="16" t="str">
        <f>TEXT(WEEKDAY(DATE(Marzo!CalendarioAño,1,4),1),"ddd")</f>
        <v>dom</v>
      </c>
      <c r="AF11" s="16" t="str">
        <f>TEXT(WEEKDAY(DATE(Marzo!CalendarioAño,1,5),1),"ddd")</f>
        <v>lun</v>
      </c>
      <c r="AG11" s="16" t="str">
        <f>TEXT(WEEKDAY(DATE(Marzo!CalendarioAño,1,6),1),"ddd")</f>
        <v>mar</v>
      </c>
      <c r="AH11" s="30"/>
    </row>
    <row r="12" ht="21.75" customHeight="1">
      <c r="A12" s="17"/>
      <c r="B12" s="31" t="s">
        <v>14</v>
      </c>
      <c r="C12" s="70">
        <v>1.0</v>
      </c>
      <c r="D12" s="70">
        <v>2.0</v>
      </c>
      <c r="E12" s="70">
        <v>3.0</v>
      </c>
      <c r="F12" s="70">
        <v>4.0</v>
      </c>
      <c r="G12" s="70">
        <v>5.0</v>
      </c>
      <c r="H12" s="70">
        <v>6.0</v>
      </c>
      <c r="I12" s="70">
        <v>7.0</v>
      </c>
      <c r="J12" s="70">
        <v>8.0</v>
      </c>
      <c r="K12" s="70">
        <v>9.0</v>
      </c>
      <c r="L12" s="70">
        <v>10.0</v>
      </c>
      <c r="M12" s="70">
        <v>11.0</v>
      </c>
      <c r="N12" s="70">
        <v>12.0</v>
      </c>
      <c r="O12" s="70">
        <v>13.0</v>
      </c>
      <c r="P12" s="70">
        <v>14.0</v>
      </c>
      <c r="Q12" s="70">
        <v>15.0</v>
      </c>
      <c r="R12" s="70">
        <v>16.0</v>
      </c>
      <c r="S12" s="70">
        <v>17.0</v>
      </c>
      <c r="T12" s="70">
        <v>18.0</v>
      </c>
      <c r="U12" s="70">
        <v>19.0</v>
      </c>
      <c r="V12" s="70">
        <v>20.0</v>
      </c>
      <c r="W12" s="70">
        <v>21.0</v>
      </c>
      <c r="X12" s="70">
        <v>22.0</v>
      </c>
      <c r="Y12" s="70">
        <v>23.0</v>
      </c>
      <c r="Z12" s="70">
        <v>24.0</v>
      </c>
      <c r="AA12" s="70">
        <v>25.0</v>
      </c>
      <c r="AB12" s="70">
        <v>26.0</v>
      </c>
      <c r="AC12" s="70">
        <v>27.0</v>
      </c>
      <c r="AD12" s="70">
        <v>28.0</v>
      </c>
      <c r="AE12" s="70">
        <v>29.0</v>
      </c>
      <c r="AF12" s="70">
        <v>30.0</v>
      </c>
      <c r="AG12" s="70">
        <v>31.0</v>
      </c>
      <c r="AH12" s="19" t="s">
        <v>46</v>
      </c>
    </row>
    <row r="13" ht="30.0" customHeight="1">
      <c r="B13" s="32" t="s">
        <v>48</v>
      </c>
      <c r="C13" s="36"/>
      <c r="D13" s="36"/>
      <c r="E13" s="36"/>
      <c r="F13" s="10" t="s">
        <v>6</v>
      </c>
      <c r="G13" s="10" t="s">
        <v>6</v>
      </c>
      <c r="H13" s="10" t="s">
        <v>6</v>
      </c>
      <c r="I13" s="36"/>
      <c r="J13" s="36"/>
      <c r="K13" s="10" t="s">
        <v>6</v>
      </c>
      <c r="L13" s="36"/>
      <c r="M13" s="36"/>
      <c r="N13" s="36"/>
      <c r="O13" s="10" t="s">
        <v>6</v>
      </c>
      <c r="P13" s="10" t="s">
        <v>6</v>
      </c>
      <c r="Q13" s="36"/>
      <c r="R13" s="10" t="s">
        <v>6</v>
      </c>
      <c r="S13" s="10" t="s">
        <v>6</v>
      </c>
      <c r="T13" s="36"/>
      <c r="U13" s="36"/>
      <c r="V13" s="36"/>
      <c r="W13" s="36"/>
      <c r="X13" s="36"/>
      <c r="Y13" s="36"/>
      <c r="Z13" s="10" t="s">
        <v>6</v>
      </c>
      <c r="AA13" s="10" t="s">
        <v>6</v>
      </c>
      <c r="AB13" s="10" t="s">
        <v>6</v>
      </c>
      <c r="AC13" s="10" t="s">
        <v>6</v>
      </c>
      <c r="AD13" s="21"/>
      <c r="AE13" s="21"/>
      <c r="AF13" s="10" t="s">
        <v>6</v>
      </c>
      <c r="AG13" s="10" t="s">
        <v>6</v>
      </c>
      <c r="AH13" s="23"/>
    </row>
    <row r="14" ht="30.0" customHeight="1">
      <c r="B14" s="32" t="s">
        <v>49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21"/>
      <c r="AE14" s="21"/>
      <c r="AF14" s="33"/>
      <c r="AG14" s="21"/>
      <c r="AH14" s="23"/>
    </row>
    <row r="15" ht="30.0" customHeight="1">
      <c r="B15" s="32" t="s">
        <v>50</v>
      </c>
      <c r="C15" s="36"/>
      <c r="D15" s="36"/>
      <c r="E15" s="36"/>
      <c r="F15" s="36"/>
      <c r="G15" s="10" t="s">
        <v>6</v>
      </c>
      <c r="H15" s="36"/>
      <c r="I15" s="36"/>
      <c r="J15" s="36"/>
      <c r="K15" s="10" t="s">
        <v>6</v>
      </c>
      <c r="L15" s="36"/>
      <c r="M15" s="36"/>
      <c r="N15" s="36"/>
      <c r="O15" s="36"/>
      <c r="P15" s="36"/>
      <c r="Q15" s="36"/>
      <c r="R15" s="10" t="s">
        <v>6</v>
      </c>
      <c r="S15" s="36"/>
      <c r="T15" s="36"/>
      <c r="U15" s="10" t="s">
        <v>6</v>
      </c>
      <c r="V15" s="36"/>
      <c r="W15" s="36"/>
      <c r="X15" s="36"/>
      <c r="Y15" s="10" t="s">
        <v>6</v>
      </c>
      <c r="Z15" s="36"/>
      <c r="AA15" s="36"/>
      <c r="AB15" s="10" t="s">
        <v>6</v>
      </c>
      <c r="AC15" s="36"/>
      <c r="AD15" s="33"/>
      <c r="AE15" s="21"/>
      <c r="AF15" s="10" t="s">
        <v>6</v>
      </c>
      <c r="AG15" s="21"/>
      <c r="AH15" s="23"/>
    </row>
    <row r="16" ht="30.0" customHeight="1">
      <c r="B16" s="32" t="s">
        <v>51</v>
      </c>
      <c r="C16" s="61"/>
      <c r="D16" s="61"/>
      <c r="E16" s="10" t="s">
        <v>6</v>
      </c>
      <c r="F16" s="61"/>
      <c r="G16" s="10" t="s">
        <v>6</v>
      </c>
      <c r="H16" s="61"/>
      <c r="I16" s="61"/>
      <c r="J16" s="61"/>
      <c r="K16" s="61"/>
      <c r="L16" s="10" t="s">
        <v>6</v>
      </c>
      <c r="M16" s="61"/>
      <c r="N16" s="61"/>
      <c r="O16" s="61"/>
      <c r="P16" s="61"/>
      <c r="Q16" s="61"/>
      <c r="R16" s="61"/>
      <c r="S16" s="10" t="s">
        <v>6</v>
      </c>
      <c r="T16" s="61"/>
      <c r="U16" s="61"/>
      <c r="V16" s="61"/>
      <c r="W16" s="61"/>
      <c r="X16" s="61"/>
      <c r="Y16" s="61"/>
      <c r="Z16" s="10" t="s">
        <v>6</v>
      </c>
      <c r="AA16" s="61"/>
      <c r="AB16" s="10" t="s">
        <v>6</v>
      </c>
      <c r="AC16" s="61"/>
      <c r="AD16" s="33"/>
      <c r="AE16" s="21"/>
      <c r="AF16" s="33"/>
      <c r="AG16" s="10" t="s">
        <v>6</v>
      </c>
      <c r="AH16" s="23"/>
    </row>
    <row r="17" ht="30.0" customHeight="1">
      <c r="B17" s="32" t="s">
        <v>52</v>
      </c>
      <c r="C17" s="36"/>
      <c r="D17" s="36"/>
      <c r="E17" s="36"/>
      <c r="F17" s="36"/>
      <c r="G17" s="10" t="s">
        <v>6</v>
      </c>
      <c r="H17" s="10" t="s">
        <v>6</v>
      </c>
      <c r="I17" s="36"/>
      <c r="J17" s="36"/>
      <c r="K17" s="36"/>
      <c r="L17" s="36"/>
      <c r="M17" s="36"/>
      <c r="N17" s="36"/>
      <c r="O17" s="10" t="s">
        <v>6</v>
      </c>
      <c r="P17" s="36"/>
      <c r="Q17" s="36"/>
      <c r="R17" s="10" t="s">
        <v>6</v>
      </c>
      <c r="S17" s="36"/>
      <c r="T17" s="10" t="s">
        <v>6</v>
      </c>
      <c r="U17" s="36"/>
      <c r="V17" s="10" t="s">
        <v>6</v>
      </c>
      <c r="W17" s="36"/>
      <c r="X17" s="36"/>
      <c r="Y17" s="10" t="s">
        <v>6</v>
      </c>
      <c r="Z17" s="36"/>
      <c r="AA17" s="36"/>
      <c r="AB17" s="36"/>
      <c r="AC17" s="36"/>
      <c r="AD17" s="21"/>
      <c r="AE17" s="21"/>
      <c r="AF17" s="10" t="s">
        <v>6</v>
      </c>
      <c r="AG17" s="10" t="s">
        <v>6</v>
      </c>
      <c r="AH17" s="23"/>
    </row>
    <row r="18" ht="30.0" customHeight="1">
      <c r="B18" s="32" t="s">
        <v>53</v>
      </c>
      <c r="C18" s="61"/>
      <c r="D18" s="61"/>
      <c r="E18" s="61"/>
      <c r="F18" s="10" t="s">
        <v>6</v>
      </c>
      <c r="G18" s="61"/>
      <c r="H18" s="10" t="s">
        <v>6</v>
      </c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10" t="s">
        <v>6</v>
      </c>
      <c r="U18" s="61"/>
      <c r="V18" s="10" t="s">
        <v>6</v>
      </c>
      <c r="W18" s="61"/>
      <c r="X18" s="61"/>
      <c r="Y18" s="61"/>
      <c r="Z18" s="10" t="s">
        <v>6</v>
      </c>
      <c r="AA18" s="61"/>
      <c r="AB18" s="61"/>
      <c r="AC18" s="10" t="s">
        <v>6</v>
      </c>
      <c r="AD18" s="21"/>
      <c r="AE18" s="21"/>
      <c r="AF18" s="21"/>
      <c r="AG18" s="22"/>
      <c r="AH18" s="23"/>
    </row>
    <row r="19" ht="30.0" customHeight="1">
      <c r="B19" s="32" t="s">
        <v>54</v>
      </c>
      <c r="C19" s="36"/>
      <c r="D19" s="36"/>
      <c r="E19" s="36"/>
      <c r="F19" s="36"/>
      <c r="G19" s="10" t="s">
        <v>6</v>
      </c>
      <c r="H19" s="10" t="s">
        <v>6</v>
      </c>
      <c r="I19" s="36"/>
      <c r="J19" s="36"/>
      <c r="K19" s="36"/>
      <c r="L19" s="36"/>
      <c r="M19" s="36"/>
      <c r="N19" s="36"/>
      <c r="O19" s="36"/>
      <c r="P19" s="10" t="s">
        <v>6</v>
      </c>
      <c r="Q19" s="36"/>
      <c r="R19" s="10" t="s">
        <v>6</v>
      </c>
      <c r="S19" s="36"/>
      <c r="T19" s="36"/>
      <c r="U19" s="36"/>
      <c r="V19" s="36"/>
      <c r="W19" s="10" t="s">
        <v>6</v>
      </c>
      <c r="X19" s="36"/>
      <c r="Y19" s="36"/>
      <c r="Z19" s="36"/>
      <c r="AA19" s="36"/>
      <c r="AB19" s="36"/>
      <c r="AC19" s="36"/>
      <c r="AD19" s="21"/>
      <c r="AE19" s="21"/>
      <c r="AF19" s="33"/>
      <c r="AG19" s="21"/>
      <c r="AH19" s="23"/>
    </row>
    <row r="20" ht="30.0" customHeight="1">
      <c r="B20" s="32" t="s">
        <v>55</v>
      </c>
      <c r="C20" s="61"/>
      <c r="D20" s="61"/>
      <c r="E20" s="61"/>
      <c r="F20" s="61"/>
      <c r="G20" s="10" t="s">
        <v>6</v>
      </c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33"/>
      <c r="AE20" s="22"/>
      <c r="AF20" s="21"/>
      <c r="AG20" s="22"/>
      <c r="AH20" s="23"/>
    </row>
    <row r="21" ht="30.0" customHeight="1">
      <c r="B21" s="32" t="s">
        <v>56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3"/>
      <c r="AE21" s="22"/>
      <c r="AF21" s="21"/>
      <c r="AG21" s="22"/>
      <c r="AH21" s="23"/>
    </row>
    <row r="22" ht="30.0" customHeight="1">
      <c r="B22" s="32" t="s">
        <v>57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33"/>
      <c r="AE22" s="22"/>
      <c r="AF22" s="21"/>
      <c r="AG22" s="22"/>
      <c r="AH22" s="23"/>
    </row>
    <row r="23" ht="30.0" customHeight="1">
      <c r="B23" s="32" t="s">
        <v>58</v>
      </c>
      <c r="C23" s="36"/>
      <c r="D23" s="36"/>
      <c r="E23" s="36"/>
      <c r="F23" s="36"/>
      <c r="G23" s="10" t="s">
        <v>6</v>
      </c>
      <c r="H23" s="36"/>
      <c r="I23" s="36"/>
      <c r="J23" s="36"/>
      <c r="K23" s="36"/>
      <c r="L23" s="36"/>
      <c r="M23" s="36"/>
      <c r="N23" s="36"/>
      <c r="O23" s="10" t="s">
        <v>6</v>
      </c>
      <c r="P23" s="36"/>
      <c r="Q23" s="36"/>
      <c r="R23" s="36"/>
      <c r="S23" s="10" t="s">
        <v>6</v>
      </c>
      <c r="T23" s="36"/>
      <c r="U23" s="10" t="s">
        <v>6</v>
      </c>
      <c r="V23" s="36"/>
      <c r="W23" s="36"/>
      <c r="X23" s="36"/>
      <c r="Y23" s="36"/>
      <c r="Z23" s="10" t="s">
        <v>6</v>
      </c>
      <c r="AA23" s="36"/>
      <c r="AB23" s="36"/>
      <c r="AC23" s="36"/>
      <c r="AD23" s="33"/>
      <c r="AE23" s="22"/>
      <c r="AF23" s="10" t="s">
        <v>6</v>
      </c>
      <c r="AG23" s="10" t="s">
        <v>6</v>
      </c>
      <c r="AH23" s="23"/>
    </row>
    <row r="24" ht="30.0" customHeight="1">
      <c r="B24" s="32" t="s">
        <v>59</v>
      </c>
      <c r="C24" s="61"/>
      <c r="D24" s="61"/>
      <c r="E24" s="61"/>
      <c r="F24" s="61"/>
      <c r="G24" s="61"/>
      <c r="H24" s="10" t="s">
        <v>6</v>
      </c>
      <c r="I24" s="61"/>
      <c r="J24" s="61"/>
      <c r="K24" s="61"/>
      <c r="L24" s="61"/>
      <c r="M24" s="61"/>
      <c r="N24" s="61"/>
      <c r="O24" s="10" t="s">
        <v>6</v>
      </c>
      <c r="P24" s="61"/>
      <c r="Q24" s="61"/>
      <c r="R24" s="61"/>
      <c r="S24" s="61"/>
      <c r="T24" s="61"/>
      <c r="U24" s="61"/>
      <c r="V24" s="61"/>
      <c r="W24" s="10" t="s">
        <v>6</v>
      </c>
      <c r="X24" s="61"/>
      <c r="Y24" s="61"/>
      <c r="Z24" s="61"/>
      <c r="AA24" s="61"/>
      <c r="AB24" s="61"/>
      <c r="AC24" s="10" t="s">
        <v>6</v>
      </c>
      <c r="AD24" s="33"/>
      <c r="AE24" s="22"/>
      <c r="AF24" s="21"/>
      <c r="AG24" s="22"/>
      <c r="AH24" s="23"/>
    </row>
    <row r="25" ht="30.0" customHeight="1">
      <c r="B25" s="32" t="s">
        <v>60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3"/>
      <c r="AE25" s="22"/>
      <c r="AF25" s="21"/>
      <c r="AG25" s="22"/>
      <c r="AH25" s="23"/>
    </row>
    <row r="26" ht="30.0" customHeight="1">
      <c r="B26" s="32" t="s">
        <v>61</v>
      </c>
      <c r="C26" s="61"/>
      <c r="D26" s="61"/>
      <c r="E26" s="61"/>
      <c r="F26" s="61"/>
      <c r="G26" s="61"/>
      <c r="H26" s="10" t="s">
        <v>6</v>
      </c>
      <c r="I26" s="61"/>
      <c r="J26" s="61"/>
      <c r="K26" s="61"/>
      <c r="L26" s="61"/>
      <c r="M26" s="61"/>
      <c r="N26" s="61"/>
      <c r="O26" s="10" t="s">
        <v>6</v>
      </c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10" t="s">
        <v>6</v>
      </c>
      <c r="AA26" s="61"/>
      <c r="AB26" s="61"/>
      <c r="AC26" s="10" t="s">
        <v>6</v>
      </c>
      <c r="AD26" s="33"/>
      <c r="AE26" s="22"/>
      <c r="AF26" s="21"/>
      <c r="AG26" s="22"/>
      <c r="AH26" s="23"/>
    </row>
    <row r="27" ht="30.0" customHeight="1">
      <c r="B27" s="32" t="s">
        <v>62</v>
      </c>
      <c r="C27" s="36"/>
      <c r="D27" s="36"/>
      <c r="E27" s="36"/>
      <c r="F27" s="36"/>
      <c r="G27" s="10" t="s">
        <v>6</v>
      </c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10" t="s">
        <v>6</v>
      </c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3"/>
      <c r="AE27" s="22"/>
      <c r="AF27" s="21"/>
      <c r="AG27" s="22"/>
      <c r="AH27" s="23"/>
    </row>
    <row r="28" ht="30.0" customHeight="1">
      <c r="B28" s="32" t="s">
        <v>63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3"/>
      <c r="AE28" s="22"/>
      <c r="AF28" s="21"/>
      <c r="AG28" s="22"/>
      <c r="AH28" s="23"/>
    </row>
    <row r="29" ht="30.0" customHeight="1">
      <c r="B29" s="32" t="s">
        <v>65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10" t="s">
        <v>6</v>
      </c>
      <c r="Q29" s="36"/>
      <c r="R29" s="36"/>
      <c r="S29" s="36"/>
      <c r="T29" s="36"/>
      <c r="U29" s="36"/>
      <c r="V29" s="36"/>
      <c r="W29" s="36"/>
      <c r="X29" s="36"/>
      <c r="Y29" s="10" t="s">
        <v>6</v>
      </c>
      <c r="Z29" s="36"/>
      <c r="AA29" s="36"/>
      <c r="AB29" s="36"/>
      <c r="AC29" s="36"/>
      <c r="AD29" s="33"/>
      <c r="AE29" s="22"/>
      <c r="AF29" s="21"/>
      <c r="AG29" s="10" t="s">
        <v>6</v>
      </c>
      <c r="AH29" s="23"/>
    </row>
    <row r="30" ht="30.0" customHeight="1">
      <c r="B30" s="32" t="s">
        <v>66</v>
      </c>
      <c r="C30" s="61"/>
      <c r="D30" s="61"/>
      <c r="E30" s="10" t="s">
        <v>6</v>
      </c>
      <c r="F30" s="61"/>
      <c r="G30" s="10" t="s">
        <v>6</v>
      </c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10" t="s">
        <v>6</v>
      </c>
      <c r="T30" s="61"/>
      <c r="U30" s="10" t="s">
        <v>6</v>
      </c>
      <c r="V30" s="61"/>
      <c r="W30" s="61"/>
      <c r="X30" s="61"/>
      <c r="Y30" s="61"/>
      <c r="Z30" s="10" t="s">
        <v>6</v>
      </c>
      <c r="AA30" s="61"/>
      <c r="AB30" s="10" t="s">
        <v>6</v>
      </c>
      <c r="AC30" s="61"/>
      <c r="AD30" s="33"/>
      <c r="AE30" s="22"/>
      <c r="AF30" s="21"/>
      <c r="AG30" s="10"/>
      <c r="AH30" s="23"/>
    </row>
    <row r="31" ht="30.0" customHeight="1">
      <c r="B31" s="32" t="s">
        <v>186</v>
      </c>
      <c r="C31" s="21"/>
      <c r="D31" s="21"/>
      <c r="E31" s="10" t="s">
        <v>6</v>
      </c>
      <c r="F31" s="21"/>
      <c r="G31" s="10" t="s">
        <v>6</v>
      </c>
      <c r="H31" s="21"/>
      <c r="I31" s="21"/>
      <c r="J31" s="21"/>
      <c r="K31" s="21"/>
      <c r="L31" s="10" t="s">
        <v>6</v>
      </c>
      <c r="M31" s="21"/>
      <c r="N31" s="22"/>
      <c r="O31" s="21"/>
      <c r="P31" s="21"/>
      <c r="Q31" s="22"/>
      <c r="R31" s="21"/>
      <c r="S31" s="21"/>
      <c r="T31" s="21"/>
      <c r="U31" s="10" t="s">
        <v>6</v>
      </c>
      <c r="V31" s="21"/>
      <c r="W31" s="21"/>
      <c r="X31" s="22"/>
      <c r="Y31" s="22"/>
      <c r="Z31" s="10" t="s">
        <v>6</v>
      </c>
      <c r="AA31" s="21"/>
      <c r="AB31" s="21"/>
      <c r="AC31" s="21"/>
      <c r="AD31" s="10" t="s">
        <v>6</v>
      </c>
      <c r="AE31" s="22"/>
      <c r="AF31" s="21"/>
      <c r="AG31" s="10"/>
      <c r="AH31" s="23"/>
    </row>
    <row r="32" ht="30.0" customHeight="1">
      <c r="B32" s="32" t="s">
        <v>197</v>
      </c>
      <c r="C32" s="21"/>
      <c r="D32" s="21"/>
      <c r="E32" s="10" t="s">
        <v>6</v>
      </c>
      <c r="F32" s="21"/>
      <c r="G32" s="21"/>
      <c r="H32" s="10" t="s">
        <v>6</v>
      </c>
      <c r="I32" s="21"/>
      <c r="J32" s="21"/>
      <c r="K32" s="21"/>
      <c r="L32" s="10" t="s">
        <v>6</v>
      </c>
      <c r="M32" s="21"/>
      <c r="N32" s="22"/>
      <c r="O32" s="21"/>
      <c r="P32" s="21"/>
      <c r="Q32" s="22"/>
      <c r="R32" s="21"/>
      <c r="S32" s="10" t="s">
        <v>6</v>
      </c>
      <c r="T32" s="21"/>
      <c r="U32" s="10" t="s">
        <v>6</v>
      </c>
      <c r="V32" s="21"/>
      <c r="W32" s="21"/>
      <c r="X32" s="22"/>
      <c r="Y32" s="22"/>
      <c r="Z32" s="21"/>
      <c r="AA32" s="21"/>
      <c r="AB32" s="21"/>
      <c r="AC32" s="21"/>
      <c r="AD32" s="33"/>
      <c r="AE32" s="22"/>
      <c r="AF32" s="21"/>
      <c r="AG32" s="22"/>
      <c r="AH32" s="23"/>
    </row>
    <row r="33" ht="30.0" customHeight="1">
      <c r="B33" s="32" t="s">
        <v>190</v>
      </c>
      <c r="C33" s="21"/>
      <c r="D33" s="21"/>
      <c r="E33" s="10" t="s">
        <v>6</v>
      </c>
      <c r="F33" s="21"/>
      <c r="G33" s="21"/>
      <c r="H33" s="21"/>
      <c r="I33" s="21"/>
      <c r="J33" s="21"/>
      <c r="K33" s="21"/>
      <c r="L33" s="21"/>
      <c r="M33" s="21"/>
      <c r="N33" s="22"/>
      <c r="O33" s="21"/>
      <c r="P33" s="21"/>
      <c r="Q33" s="22"/>
      <c r="R33" s="21"/>
      <c r="S33" s="10" t="s">
        <v>6</v>
      </c>
      <c r="T33" s="21"/>
      <c r="U33" s="10" t="s">
        <v>6</v>
      </c>
      <c r="V33" s="21"/>
      <c r="W33" s="21"/>
      <c r="X33" s="22"/>
      <c r="Y33" s="22"/>
      <c r="Z33" s="10" t="s">
        <v>6</v>
      </c>
      <c r="AA33" s="21"/>
      <c r="AB33" s="10" t="s">
        <v>6</v>
      </c>
      <c r="AC33" s="21"/>
      <c r="AD33" s="33"/>
      <c r="AE33" s="22"/>
      <c r="AF33" s="21"/>
      <c r="AG33" s="10" t="s">
        <v>6</v>
      </c>
      <c r="AH33" s="23"/>
    </row>
    <row r="34" ht="30.0" customHeight="1">
      <c r="B34" s="32" t="s">
        <v>191</v>
      </c>
      <c r="C34" s="21"/>
      <c r="D34" s="21"/>
      <c r="E34" s="10" t="s">
        <v>6</v>
      </c>
      <c r="F34" s="21"/>
      <c r="G34" s="21"/>
      <c r="H34" s="21"/>
      <c r="I34" s="21"/>
      <c r="J34" s="21"/>
      <c r="K34" s="21"/>
      <c r="L34" s="21"/>
      <c r="M34" s="21"/>
      <c r="N34" s="22"/>
      <c r="O34" s="21"/>
      <c r="P34" s="21"/>
      <c r="Q34" s="22"/>
      <c r="R34" s="21"/>
      <c r="S34" s="21"/>
      <c r="T34" s="10" t="s">
        <v>6</v>
      </c>
      <c r="U34" s="21"/>
      <c r="V34" s="21"/>
      <c r="W34" s="10" t="s">
        <v>6</v>
      </c>
      <c r="X34" s="22"/>
      <c r="Y34" s="22"/>
      <c r="Z34" s="10" t="s">
        <v>6</v>
      </c>
      <c r="AA34" s="21"/>
      <c r="AB34" s="10" t="s">
        <v>6</v>
      </c>
      <c r="AC34" s="21"/>
      <c r="AD34" s="33"/>
      <c r="AE34" s="22"/>
      <c r="AF34" s="21"/>
      <c r="AG34" s="10" t="s">
        <v>6</v>
      </c>
      <c r="AH34" s="23"/>
    </row>
    <row r="35" ht="30.0" customHeight="1">
      <c r="B35" s="32" t="s">
        <v>64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2"/>
      <c r="O35" s="21"/>
      <c r="P35" s="10" t="s">
        <v>6</v>
      </c>
      <c r="Q35" s="22"/>
      <c r="R35" s="21"/>
      <c r="S35" s="21"/>
      <c r="T35" s="21"/>
      <c r="U35" s="21"/>
      <c r="V35" s="21"/>
      <c r="W35" s="10" t="s">
        <v>6</v>
      </c>
      <c r="X35" s="22"/>
      <c r="Y35" s="22"/>
      <c r="Z35" s="21"/>
      <c r="AA35" s="21"/>
      <c r="AB35" s="21"/>
      <c r="AC35" s="21"/>
      <c r="AD35" s="10" t="s">
        <v>6</v>
      </c>
      <c r="AE35" s="22"/>
      <c r="AF35" s="21"/>
      <c r="AG35" s="22"/>
      <c r="AH35" s="23"/>
    </row>
    <row r="36" ht="30.0" customHeight="1">
      <c r="B36" s="32" t="s">
        <v>277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2"/>
      <c r="O36" s="21"/>
      <c r="P36" s="21"/>
      <c r="Q36" s="22"/>
      <c r="R36" s="21"/>
      <c r="S36" s="21"/>
      <c r="T36" s="10" t="s">
        <v>6</v>
      </c>
      <c r="U36" s="21"/>
      <c r="V36" s="21"/>
      <c r="W36" s="21"/>
      <c r="X36" s="22"/>
      <c r="Y36" s="22"/>
      <c r="Z36" s="21"/>
      <c r="AA36" s="10" t="s">
        <v>6</v>
      </c>
      <c r="AB36" s="21"/>
      <c r="AC36" s="21"/>
      <c r="AD36" s="33"/>
      <c r="AE36" s="22"/>
      <c r="AF36" s="10" t="s">
        <v>6</v>
      </c>
      <c r="AG36" s="22"/>
      <c r="AH36" s="23"/>
    </row>
    <row r="37" ht="30.0" customHeight="1">
      <c r="B37" s="32" t="s">
        <v>279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2"/>
      <c r="O37" s="21"/>
      <c r="P37" s="21"/>
      <c r="Q37" s="22"/>
      <c r="R37" s="21"/>
      <c r="S37" s="21"/>
      <c r="T37" s="21"/>
      <c r="U37" s="21"/>
      <c r="V37" s="21"/>
      <c r="W37" s="10" t="s">
        <v>6</v>
      </c>
      <c r="X37" s="22"/>
      <c r="Y37" s="22"/>
      <c r="Z37" s="21"/>
      <c r="AA37" s="21"/>
      <c r="AB37" s="21"/>
      <c r="AC37" s="21"/>
      <c r="AD37" s="10" t="s">
        <v>6</v>
      </c>
      <c r="AE37" s="22"/>
      <c r="AF37" s="21"/>
      <c r="AG37" s="22"/>
      <c r="AH37" s="23"/>
    </row>
    <row r="38" ht="30.0" customHeight="1">
      <c r="B38" s="32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2"/>
      <c r="O38" s="21"/>
      <c r="P38" s="21"/>
      <c r="Q38" s="22"/>
      <c r="R38" s="21"/>
      <c r="S38" s="21"/>
      <c r="T38" s="21"/>
      <c r="U38" s="21"/>
      <c r="V38" s="21"/>
      <c r="W38" s="21"/>
      <c r="X38" s="22"/>
      <c r="Y38" s="22"/>
      <c r="Z38" s="21"/>
      <c r="AA38" s="21"/>
      <c r="AB38" s="21"/>
      <c r="AC38" s="21"/>
      <c r="AD38" s="33"/>
      <c r="AE38" s="22"/>
      <c r="AF38" s="21"/>
      <c r="AG38" s="22"/>
      <c r="AH38" s="23"/>
    </row>
    <row r="39" ht="30.0" customHeight="1">
      <c r="B39" s="24" t="str">
        <f>Marzo!MonthName&amp;" Total"</f>
        <v>Marzo Total</v>
      </c>
      <c r="C39" s="25">
        <f>SUBTOTAL(103,Marzo!$C$7)</f>
        <v>0</v>
      </c>
      <c r="D39" s="25">
        <f>SUBTOTAL(103,Marzo!$D$7)</f>
        <v>0</v>
      </c>
      <c r="E39" s="25">
        <f>SUBTOTAL(103,Marzo!$E$7)</f>
        <v>0</v>
      </c>
      <c r="F39" s="25"/>
      <c r="G39" s="25">
        <f>SUBTOTAL(103,Marzo!$G$7)</f>
        <v>0</v>
      </c>
      <c r="H39" s="25">
        <f>SUBTOTAL(103,Marzo!$H$7)</f>
        <v>0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</row>
    <row r="40" ht="30.0" customHeight="1">
      <c r="AH40" s="5"/>
    </row>
    <row r="41" ht="30.0" customHeight="1">
      <c r="AH41" s="5"/>
    </row>
    <row r="42" ht="30.0" customHeight="1">
      <c r="B42" s="15" t="s">
        <v>291</v>
      </c>
      <c r="C42" s="27" t="s">
        <v>67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39">
        <v>2026.0</v>
      </c>
    </row>
    <row r="43" ht="30.0" customHeight="1">
      <c r="B43" s="30"/>
      <c r="C43" s="16" t="str">
        <f>TEXT(WEEKDAY(DATE(Marzo!CalendarioAño,1,4),1),"ddd")</f>
        <v>dom</v>
      </c>
      <c r="D43" s="16" t="str">
        <f>TEXT(WEEKDAY(DATE(Marzo!CalendarioAño,1,5),1),"ddd")</f>
        <v>lun</v>
      </c>
      <c r="E43" s="16" t="str">
        <f>TEXT(WEEKDAY(DATE(Marzo!CalendarioAño,1,6),1),"ddd")</f>
        <v>mar</v>
      </c>
      <c r="F43" s="16" t="str">
        <f>TEXT(WEEKDAY(DATE(Marzo!CalendarioAño,1,7),1),"ddd")</f>
        <v>mié</v>
      </c>
      <c r="G43" s="16" t="str">
        <f>TEXT(WEEKDAY(DATE(Marzo!CalendarioAño,1,8),1),"ddd")</f>
        <v>jue</v>
      </c>
      <c r="H43" s="16" t="str">
        <f>TEXT(WEEKDAY(DATE(Marzo!CalendarioAño,1,9),1),"ddd")</f>
        <v>vie</v>
      </c>
      <c r="I43" s="16" t="str">
        <f>TEXT(WEEKDAY(DATE(Marzo!CalendarioAño,1,10),1),"ddd")</f>
        <v>sáb</v>
      </c>
      <c r="J43" s="16" t="str">
        <f>TEXT(WEEKDAY(DATE(Marzo!CalendarioAño,1,4),1),"ddd")</f>
        <v>dom</v>
      </c>
      <c r="K43" s="16" t="str">
        <f>TEXT(WEEKDAY(DATE(Marzo!CalendarioAño,1,5),1),"ddd")</f>
        <v>lun</v>
      </c>
      <c r="L43" s="16" t="str">
        <f>TEXT(WEEKDAY(DATE(Marzo!CalendarioAño,1,6),1),"ddd")</f>
        <v>mar</v>
      </c>
      <c r="M43" s="16" t="str">
        <f>TEXT(WEEKDAY(DATE(Marzo!CalendarioAño,1,7),1),"ddd")</f>
        <v>mié</v>
      </c>
      <c r="N43" s="16" t="str">
        <f>TEXT(WEEKDAY(DATE(Marzo!CalendarioAño,1,8),1),"ddd")</f>
        <v>jue</v>
      </c>
      <c r="O43" s="16" t="str">
        <f>TEXT(WEEKDAY(DATE(Marzo!CalendarioAño,1,9),1),"ddd")</f>
        <v>vie</v>
      </c>
      <c r="P43" s="16" t="str">
        <f>TEXT(WEEKDAY(DATE(Marzo!CalendarioAño,1,10),1),"ddd")</f>
        <v>sáb</v>
      </c>
      <c r="Q43" s="16" t="str">
        <f>TEXT(WEEKDAY(DATE(Marzo!CalendarioAño,1,4),1),"ddd")</f>
        <v>dom</v>
      </c>
      <c r="R43" s="16" t="str">
        <f>TEXT(WEEKDAY(DATE(Marzo!CalendarioAño,1,5),1),"ddd")</f>
        <v>lun</v>
      </c>
      <c r="S43" s="16" t="str">
        <f>TEXT(WEEKDAY(DATE(Marzo!CalendarioAño,1,6),1),"ddd")</f>
        <v>mar</v>
      </c>
      <c r="T43" s="16" t="str">
        <f>TEXT(WEEKDAY(DATE(Marzo!CalendarioAño,1,7),1),"ddd")</f>
        <v>mié</v>
      </c>
      <c r="U43" s="16" t="str">
        <f>TEXT(WEEKDAY(DATE(Marzo!CalendarioAño,1,8),1),"ddd")</f>
        <v>jue</v>
      </c>
      <c r="V43" s="16" t="str">
        <f>TEXT(WEEKDAY(DATE(Marzo!CalendarioAño,1,9),1),"ddd")</f>
        <v>vie</v>
      </c>
      <c r="W43" s="16" t="str">
        <f>TEXT(WEEKDAY(DATE(Marzo!CalendarioAño,1,10),1),"ddd")</f>
        <v>sáb</v>
      </c>
      <c r="X43" s="16" t="str">
        <f>TEXT(WEEKDAY(DATE(Marzo!CalendarioAño,1,4),1),"ddd")</f>
        <v>dom</v>
      </c>
      <c r="Y43" s="16" t="str">
        <f>TEXT(WEEKDAY(DATE(Marzo!CalendarioAño,1,5),1),"ddd")</f>
        <v>lun</v>
      </c>
      <c r="Z43" s="16" t="str">
        <f>TEXT(WEEKDAY(DATE(Marzo!CalendarioAño,1,6),1),"ddd")</f>
        <v>mar</v>
      </c>
      <c r="AA43" s="16" t="str">
        <f>TEXT(WEEKDAY(DATE(Marzo!CalendarioAño,1,7),1),"ddd")</f>
        <v>mié</v>
      </c>
      <c r="AB43" s="16" t="str">
        <f>TEXT(WEEKDAY(DATE(Marzo!CalendarioAño,1,8),1),"ddd")</f>
        <v>jue</v>
      </c>
      <c r="AC43" s="16" t="str">
        <f>TEXT(WEEKDAY(DATE(Marzo!CalendarioAño,1,9),1),"ddd")</f>
        <v>vie</v>
      </c>
      <c r="AD43" s="16" t="str">
        <f>TEXT(WEEKDAY(DATE(Marzo!CalendarioAño,1,10),1),"ddd")</f>
        <v>sáb</v>
      </c>
      <c r="AE43" s="16" t="str">
        <f>TEXT(WEEKDAY(DATE(Marzo!CalendarioAño,1,4),1),"ddd")</f>
        <v>dom</v>
      </c>
      <c r="AF43" s="16" t="str">
        <f>TEXT(WEEKDAY(DATE(Marzo!CalendarioAño,1,5),1),"ddd")</f>
        <v>lun</v>
      </c>
      <c r="AG43" s="16" t="str">
        <f>TEXT(WEEKDAY(DATE(Marzo!CalendarioAño,1,6),1),"ddd")</f>
        <v>mar</v>
      </c>
      <c r="AH43" s="30"/>
    </row>
    <row r="44" ht="30.0" customHeight="1">
      <c r="A44" s="17"/>
      <c r="B44" s="31" t="s">
        <v>14</v>
      </c>
      <c r="C44" s="70">
        <v>1.0</v>
      </c>
      <c r="D44" s="70">
        <v>2.0</v>
      </c>
      <c r="E44" s="70">
        <v>3.0</v>
      </c>
      <c r="F44" s="70">
        <v>4.0</v>
      </c>
      <c r="G44" s="70">
        <v>5.0</v>
      </c>
      <c r="H44" s="70">
        <v>6.0</v>
      </c>
      <c r="I44" s="70">
        <v>7.0</v>
      </c>
      <c r="J44" s="70">
        <v>8.0</v>
      </c>
      <c r="K44" s="70">
        <v>9.0</v>
      </c>
      <c r="L44" s="70">
        <v>10.0</v>
      </c>
      <c r="M44" s="70">
        <v>11.0</v>
      </c>
      <c r="N44" s="70">
        <v>12.0</v>
      </c>
      <c r="O44" s="70">
        <v>13.0</v>
      </c>
      <c r="P44" s="70">
        <v>14.0</v>
      </c>
      <c r="Q44" s="70">
        <v>15.0</v>
      </c>
      <c r="R44" s="70">
        <v>16.0</v>
      </c>
      <c r="S44" s="70">
        <v>17.0</v>
      </c>
      <c r="T44" s="70">
        <v>18.0</v>
      </c>
      <c r="U44" s="70">
        <v>19.0</v>
      </c>
      <c r="V44" s="70">
        <v>20.0</v>
      </c>
      <c r="W44" s="70">
        <v>21.0</v>
      </c>
      <c r="X44" s="70">
        <v>22.0</v>
      </c>
      <c r="Y44" s="70">
        <v>23.0</v>
      </c>
      <c r="Z44" s="70">
        <v>24.0</v>
      </c>
      <c r="AA44" s="70">
        <v>25.0</v>
      </c>
      <c r="AB44" s="70">
        <v>26.0</v>
      </c>
      <c r="AC44" s="70">
        <v>27.0</v>
      </c>
      <c r="AD44" s="70">
        <v>28.0</v>
      </c>
      <c r="AE44" s="70">
        <v>29.0</v>
      </c>
      <c r="AF44" s="70">
        <v>30.0</v>
      </c>
      <c r="AG44" s="70">
        <v>31.0</v>
      </c>
      <c r="AH44" s="19" t="s">
        <v>46</v>
      </c>
    </row>
    <row r="45" ht="30.0" customHeight="1">
      <c r="B45" s="40" t="s">
        <v>68</v>
      </c>
      <c r="C45" s="36"/>
      <c r="D45" s="36"/>
      <c r="E45" s="36"/>
      <c r="F45" s="10" t="s">
        <v>6</v>
      </c>
      <c r="G45" s="36"/>
      <c r="H45" s="10" t="s">
        <v>6</v>
      </c>
      <c r="I45" s="36"/>
      <c r="J45" s="36"/>
      <c r="K45" s="10" t="s">
        <v>6</v>
      </c>
      <c r="L45" s="36"/>
      <c r="M45" s="36"/>
      <c r="N45" s="36"/>
      <c r="O45" s="10" t="s">
        <v>6</v>
      </c>
      <c r="P45" s="36"/>
      <c r="Q45" s="36"/>
      <c r="R45" s="10" t="s">
        <v>6</v>
      </c>
      <c r="S45" s="36"/>
      <c r="T45" s="36"/>
      <c r="U45" s="36"/>
      <c r="V45" s="36"/>
      <c r="W45" s="36"/>
      <c r="X45" s="36"/>
      <c r="Y45" s="10" t="s">
        <v>6</v>
      </c>
      <c r="Z45" s="36"/>
      <c r="AA45" s="10" t="s">
        <v>6</v>
      </c>
      <c r="AB45" s="36"/>
      <c r="AC45" s="36"/>
      <c r="AD45" s="21"/>
      <c r="AE45" s="21"/>
      <c r="AF45" s="21"/>
      <c r="AG45" s="33"/>
      <c r="AH45" s="23"/>
    </row>
    <row r="46" ht="30.0" customHeight="1">
      <c r="B46" s="40" t="s">
        <v>69</v>
      </c>
      <c r="C46" s="61"/>
      <c r="D46" s="61"/>
      <c r="E46" s="10" t="s">
        <v>6</v>
      </c>
      <c r="F46" s="61"/>
      <c r="G46" s="10" t="s">
        <v>6</v>
      </c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10" t="s">
        <v>6</v>
      </c>
      <c r="Z46" s="61"/>
      <c r="AA46" s="61"/>
      <c r="AB46" s="61"/>
      <c r="AC46" s="61"/>
      <c r="AD46" s="33"/>
      <c r="AE46" s="22"/>
      <c r="AF46" s="33"/>
      <c r="AG46" s="22"/>
      <c r="AH46" s="23"/>
    </row>
    <row r="47" ht="30.0" customHeight="1">
      <c r="B47" s="32" t="s">
        <v>70</v>
      </c>
      <c r="C47" s="36"/>
      <c r="D47" s="36"/>
      <c r="E47" s="10" t="s">
        <v>6</v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21"/>
      <c r="AE47" s="33"/>
      <c r="AF47" s="21"/>
      <c r="AG47" s="22"/>
      <c r="AH47" s="23"/>
    </row>
    <row r="48" ht="30.0" customHeight="1">
      <c r="B48" s="32" t="s">
        <v>71</v>
      </c>
      <c r="C48" s="61"/>
      <c r="D48" s="61"/>
      <c r="E48" s="10" t="s">
        <v>6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33"/>
      <c r="AE48" s="21"/>
      <c r="AF48" s="33"/>
      <c r="AG48" s="22"/>
      <c r="AH48" s="23"/>
    </row>
    <row r="49" ht="30.0" customHeight="1">
      <c r="B49" s="32" t="s">
        <v>72</v>
      </c>
      <c r="C49" s="36"/>
      <c r="D49" s="36"/>
      <c r="E49" s="36"/>
      <c r="F49" s="10" t="s">
        <v>6</v>
      </c>
      <c r="G49" s="36"/>
      <c r="H49" s="36"/>
      <c r="I49" s="36"/>
      <c r="J49" s="36"/>
      <c r="K49" s="10" t="s">
        <v>6</v>
      </c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10" t="s">
        <v>6</v>
      </c>
      <c r="W49" s="36"/>
      <c r="X49" s="36"/>
      <c r="Y49" s="36"/>
      <c r="Z49" s="36"/>
      <c r="AA49" s="10" t="s">
        <v>6</v>
      </c>
      <c r="AB49" s="36"/>
      <c r="AC49" s="36"/>
      <c r="AD49" s="33"/>
      <c r="AE49" s="21"/>
      <c r="AF49" s="114" t="s">
        <v>292</v>
      </c>
      <c r="AG49" s="22"/>
      <c r="AH49" s="23"/>
    </row>
    <row r="50" ht="30.0" customHeight="1">
      <c r="B50" s="32" t="s">
        <v>73</v>
      </c>
      <c r="C50" s="61"/>
      <c r="D50" s="61"/>
      <c r="E50" s="61"/>
      <c r="F50" s="10" t="s">
        <v>6</v>
      </c>
      <c r="G50" s="10" t="s">
        <v>6</v>
      </c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10" t="s">
        <v>6</v>
      </c>
      <c r="V50" s="10" t="s">
        <v>6</v>
      </c>
      <c r="W50" s="61"/>
      <c r="X50" s="61"/>
      <c r="Y50" s="61"/>
      <c r="Z50" s="61"/>
      <c r="AA50" s="61"/>
      <c r="AB50" s="61"/>
      <c r="AC50" s="61"/>
      <c r="AD50" s="33"/>
      <c r="AE50" s="21"/>
      <c r="AF50" s="21"/>
      <c r="AG50" s="21"/>
      <c r="AH50" s="23"/>
    </row>
    <row r="51" ht="30.0" customHeight="1">
      <c r="B51" s="32" t="s">
        <v>74</v>
      </c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0" t="s">
        <v>6</v>
      </c>
      <c r="U51" s="36"/>
      <c r="V51" s="36"/>
      <c r="W51" s="36"/>
      <c r="X51" s="36"/>
      <c r="Y51" s="36"/>
      <c r="Z51" s="36"/>
      <c r="AA51" s="36"/>
      <c r="AB51" s="36"/>
      <c r="AC51" s="10" t="s">
        <v>6</v>
      </c>
      <c r="AD51" s="10" t="s">
        <v>6</v>
      </c>
      <c r="AE51" s="33"/>
      <c r="AF51" s="21"/>
      <c r="AG51" s="21"/>
      <c r="AH51" s="23"/>
    </row>
    <row r="52" ht="30.0" customHeight="1">
      <c r="B52" s="32" t="s">
        <v>75</v>
      </c>
      <c r="C52" s="61"/>
      <c r="D52" s="61"/>
      <c r="E52" s="10" t="s">
        <v>6</v>
      </c>
      <c r="F52" s="61"/>
      <c r="G52" s="10" t="s">
        <v>6</v>
      </c>
      <c r="H52" s="61"/>
      <c r="I52" s="61"/>
      <c r="J52" s="61"/>
      <c r="K52" s="10" t="s">
        <v>6</v>
      </c>
      <c r="L52" s="61"/>
      <c r="M52" s="61"/>
      <c r="N52" s="61"/>
      <c r="O52" s="10" t="s">
        <v>6</v>
      </c>
      <c r="P52" s="61"/>
      <c r="Q52" s="61"/>
      <c r="R52" s="61"/>
      <c r="S52" s="61"/>
      <c r="T52" s="10" t="s">
        <v>6</v>
      </c>
      <c r="U52" s="10" t="s">
        <v>6</v>
      </c>
      <c r="V52" s="61"/>
      <c r="W52" s="61"/>
      <c r="X52" s="61"/>
      <c r="Y52" s="61"/>
      <c r="Z52" s="61"/>
      <c r="AA52" s="61"/>
      <c r="AB52" s="61"/>
      <c r="AC52" s="10" t="s">
        <v>6</v>
      </c>
      <c r="AD52" s="33"/>
      <c r="AE52" s="21"/>
      <c r="AF52" s="21"/>
      <c r="AG52" s="21"/>
      <c r="AH52" s="23"/>
    </row>
    <row r="53" ht="30.0" customHeight="1">
      <c r="B53" s="32" t="s">
        <v>76</v>
      </c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21"/>
      <c r="AE53" s="21"/>
      <c r="AF53" s="21"/>
      <c r="AG53" s="21"/>
      <c r="AH53" s="23"/>
    </row>
    <row r="54" ht="30.0" customHeight="1">
      <c r="B54" s="40" t="s">
        <v>77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21"/>
      <c r="AE54" s="21"/>
      <c r="AF54" s="21"/>
      <c r="AG54" s="21"/>
      <c r="AH54" s="23"/>
    </row>
    <row r="55" ht="30.0" customHeight="1">
      <c r="B55" s="32" t="s">
        <v>78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21"/>
      <c r="AE55" s="21"/>
      <c r="AF55" s="21"/>
      <c r="AG55" s="33"/>
      <c r="AH55" s="23"/>
    </row>
    <row r="56" ht="30.0" customHeight="1">
      <c r="B56" s="32" t="s">
        <v>79</v>
      </c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10" t="s">
        <v>6</v>
      </c>
      <c r="Q56" s="61"/>
      <c r="R56" s="61"/>
      <c r="S56" s="61"/>
      <c r="T56" s="61"/>
      <c r="U56" s="61"/>
      <c r="V56" s="61"/>
      <c r="W56" s="10" t="s">
        <v>6</v>
      </c>
      <c r="X56" s="61"/>
      <c r="Y56" s="61"/>
      <c r="Z56" s="61"/>
      <c r="AA56" s="61"/>
      <c r="AB56" s="61"/>
      <c r="AC56" s="61"/>
      <c r="AD56" s="21"/>
      <c r="AE56" s="21"/>
      <c r="AF56" s="21"/>
      <c r="AG56" s="21"/>
      <c r="AH56" s="23"/>
    </row>
    <row r="57" ht="30.0" customHeight="1">
      <c r="B57" s="32" t="s">
        <v>80</v>
      </c>
      <c r="C57" s="36"/>
      <c r="D57" s="36"/>
      <c r="E57" s="36"/>
      <c r="F57" s="36"/>
      <c r="G57" s="10" t="s">
        <v>6</v>
      </c>
      <c r="H57" s="36"/>
      <c r="I57" s="36"/>
      <c r="J57" s="36"/>
      <c r="K57" s="10" t="s">
        <v>6</v>
      </c>
      <c r="L57" s="36"/>
      <c r="M57" s="36"/>
      <c r="N57" s="36"/>
      <c r="O57" s="36"/>
      <c r="P57" s="10" t="s">
        <v>6</v>
      </c>
      <c r="Q57" s="36"/>
      <c r="R57" s="36"/>
      <c r="S57" s="36"/>
      <c r="T57" s="36"/>
      <c r="U57" s="36"/>
      <c r="V57" s="36"/>
      <c r="W57" s="10" t="s">
        <v>6</v>
      </c>
      <c r="X57" s="36"/>
      <c r="Y57" s="36"/>
      <c r="Z57" s="36"/>
      <c r="AA57" s="36"/>
      <c r="AB57" s="36"/>
      <c r="AC57" s="36"/>
      <c r="AD57" s="10" t="s">
        <v>6</v>
      </c>
      <c r="AE57" s="21"/>
      <c r="AF57" s="21"/>
      <c r="AG57" s="21"/>
      <c r="AH57" s="23"/>
    </row>
    <row r="58" ht="30.0" customHeight="1">
      <c r="B58" s="32" t="s">
        <v>81</v>
      </c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21"/>
      <c r="AE58" s="21"/>
      <c r="AF58" s="21"/>
      <c r="AG58" s="21"/>
      <c r="AH58" s="23"/>
    </row>
    <row r="59" ht="30.0" customHeight="1">
      <c r="B59" s="32" t="s">
        <v>82</v>
      </c>
      <c r="C59" s="36"/>
      <c r="D59" s="36"/>
      <c r="E59" s="10" t="s">
        <v>6</v>
      </c>
      <c r="F59" s="36"/>
      <c r="G59" s="10" t="s">
        <v>6</v>
      </c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10" t="s">
        <v>6</v>
      </c>
      <c r="T59" s="36"/>
      <c r="U59" s="10" t="s">
        <v>6</v>
      </c>
      <c r="V59" s="36"/>
      <c r="W59" s="36"/>
      <c r="X59" s="36"/>
      <c r="Y59" s="36"/>
      <c r="Z59" s="36"/>
      <c r="AA59" s="36"/>
      <c r="AB59" s="10" t="s">
        <v>6</v>
      </c>
      <c r="AC59" s="36"/>
      <c r="AD59" s="21"/>
      <c r="AE59" s="21"/>
      <c r="AF59" s="21"/>
      <c r="AG59" s="10" t="s">
        <v>6</v>
      </c>
      <c r="AH59" s="23"/>
    </row>
    <row r="60" ht="30.0" customHeight="1">
      <c r="B60" s="32" t="s">
        <v>83</v>
      </c>
      <c r="C60" s="36"/>
      <c r="D60" s="36"/>
      <c r="E60" s="10" t="s">
        <v>6</v>
      </c>
      <c r="F60" s="36"/>
      <c r="G60" s="36"/>
      <c r="H60" s="36"/>
      <c r="I60" s="36"/>
      <c r="J60" s="36"/>
      <c r="K60" s="10" t="s">
        <v>6</v>
      </c>
      <c r="L60" s="36"/>
      <c r="M60" s="36"/>
      <c r="N60" s="36"/>
      <c r="O60" s="36"/>
      <c r="P60" s="36"/>
      <c r="Q60" s="36"/>
      <c r="R60" s="36"/>
      <c r="S60" s="10" t="s">
        <v>6</v>
      </c>
      <c r="T60" s="36"/>
      <c r="U60" s="10" t="s">
        <v>6</v>
      </c>
      <c r="V60" s="36"/>
      <c r="W60" s="36"/>
      <c r="X60" s="36"/>
      <c r="Y60" s="36"/>
      <c r="Z60" s="36"/>
      <c r="AA60" s="10" t="s">
        <v>6</v>
      </c>
      <c r="AB60" s="36"/>
      <c r="AC60" s="36"/>
      <c r="AD60" s="10" t="s">
        <v>6</v>
      </c>
      <c r="AE60" s="21"/>
      <c r="AF60" s="21"/>
      <c r="AG60" s="21"/>
      <c r="AH60" s="23"/>
    </row>
    <row r="61" ht="30.0" customHeight="1">
      <c r="B61" s="32" t="s">
        <v>84</v>
      </c>
      <c r="C61" s="61"/>
      <c r="D61" s="61"/>
      <c r="E61" s="61"/>
      <c r="F61" s="61"/>
      <c r="G61" s="10" t="s">
        <v>6</v>
      </c>
      <c r="H61" s="10" t="s">
        <v>6</v>
      </c>
      <c r="I61" s="61"/>
      <c r="J61" s="61"/>
      <c r="K61" s="61"/>
      <c r="L61" s="61"/>
      <c r="M61" s="61"/>
      <c r="N61" s="61"/>
      <c r="O61" s="61"/>
      <c r="P61" s="61"/>
      <c r="Q61" s="61"/>
      <c r="R61" s="10" t="s">
        <v>6</v>
      </c>
      <c r="S61" s="61"/>
      <c r="T61" s="61"/>
      <c r="U61" s="10" t="s">
        <v>6</v>
      </c>
      <c r="V61" s="61"/>
      <c r="W61" s="61"/>
      <c r="X61" s="61"/>
      <c r="Y61" s="61"/>
      <c r="Z61" s="61"/>
      <c r="AA61" s="10" t="s">
        <v>6</v>
      </c>
      <c r="AB61" s="61"/>
      <c r="AC61" s="61"/>
      <c r="AD61" s="25"/>
      <c r="AE61" s="25"/>
      <c r="AF61" s="25"/>
      <c r="AG61" s="10" t="s">
        <v>6</v>
      </c>
      <c r="AH61" s="25"/>
    </row>
    <row r="62" ht="30.0" customHeight="1">
      <c r="B62" s="32" t="s">
        <v>85</v>
      </c>
      <c r="C62" s="36"/>
      <c r="D62" s="36"/>
      <c r="E62" s="36"/>
      <c r="F62" s="10" t="s">
        <v>6</v>
      </c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10" t="s">
        <v>6</v>
      </c>
      <c r="T62" s="36"/>
      <c r="U62" s="36"/>
      <c r="V62" s="10" t="s">
        <v>6</v>
      </c>
      <c r="W62" s="36"/>
      <c r="X62" s="36"/>
      <c r="Y62" s="36"/>
      <c r="Z62" s="36"/>
      <c r="AA62" s="36"/>
      <c r="AB62" s="36"/>
      <c r="AC62" s="36"/>
      <c r="AD62" s="25"/>
      <c r="AE62" s="25"/>
      <c r="AF62" s="25"/>
      <c r="AG62" s="25"/>
      <c r="AH62" s="25"/>
    </row>
    <row r="63" ht="30.0" customHeight="1">
      <c r="B63" s="32" t="s">
        <v>86</v>
      </c>
      <c r="C63" s="61"/>
      <c r="D63" s="61"/>
      <c r="E63" s="10" t="s">
        <v>6</v>
      </c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25"/>
      <c r="AE63" s="25"/>
      <c r="AF63" s="25"/>
      <c r="AG63" s="25"/>
      <c r="AH63" s="25"/>
    </row>
    <row r="64" ht="30.0" customHeight="1">
      <c r="B64" s="32" t="s">
        <v>195</v>
      </c>
      <c r="C64" s="25"/>
      <c r="D64" s="25"/>
      <c r="E64" s="10" t="s">
        <v>6</v>
      </c>
      <c r="F64" s="10" t="s">
        <v>6</v>
      </c>
      <c r="G64" s="10" t="s">
        <v>6</v>
      </c>
      <c r="H64" s="10" t="s">
        <v>6</v>
      </c>
      <c r="I64" s="25"/>
      <c r="J64" s="25"/>
      <c r="K64" s="10" t="s">
        <v>6</v>
      </c>
      <c r="L64" s="25"/>
      <c r="M64" s="25"/>
      <c r="N64" s="25"/>
      <c r="O64" s="25"/>
      <c r="P64" s="25"/>
      <c r="Q64" s="25"/>
      <c r="R64" s="10" t="s">
        <v>6</v>
      </c>
      <c r="S64" s="10" t="s">
        <v>6</v>
      </c>
      <c r="T64" s="10" t="s">
        <v>6</v>
      </c>
      <c r="U64" s="25"/>
      <c r="V64" s="25"/>
      <c r="W64" s="25"/>
      <c r="X64" s="25"/>
      <c r="Y64" s="10" t="s">
        <v>6</v>
      </c>
      <c r="Z64" s="10" t="s">
        <v>6</v>
      </c>
      <c r="AA64" s="25"/>
      <c r="AB64" s="25"/>
      <c r="AC64" s="25"/>
      <c r="AD64" s="25"/>
      <c r="AE64" s="25"/>
      <c r="AF64" s="25"/>
      <c r="AG64" s="10" t="s">
        <v>6</v>
      </c>
      <c r="AH64" s="25"/>
    </row>
    <row r="65" ht="30.0" customHeight="1">
      <c r="B65" s="32" t="s">
        <v>114</v>
      </c>
      <c r="C65" s="25"/>
      <c r="D65" s="25"/>
      <c r="E65" s="25"/>
      <c r="F65" s="10" t="s">
        <v>6</v>
      </c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10" t="s">
        <v>6</v>
      </c>
      <c r="T65" s="25"/>
      <c r="U65" s="10" t="s">
        <v>6</v>
      </c>
      <c r="V65" s="25"/>
      <c r="W65" s="25"/>
      <c r="X65" s="25"/>
      <c r="Y65" s="25"/>
      <c r="Z65" s="10" t="s">
        <v>6</v>
      </c>
      <c r="AA65" s="25"/>
      <c r="AB65" s="10" t="s">
        <v>6</v>
      </c>
      <c r="AC65" s="25"/>
      <c r="AD65" s="25"/>
      <c r="AE65" s="25"/>
      <c r="AF65" s="25"/>
      <c r="AG65" s="10" t="s">
        <v>6</v>
      </c>
      <c r="AH65" s="25"/>
    </row>
    <row r="66" ht="30.0" customHeight="1">
      <c r="B66" s="32" t="s">
        <v>192</v>
      </c>
      <c r="C66" s="25"/>
      <c r="D66" s="25"/>
      <c r="E66" s="25"/>
      <c r="F66" s="25"/>
      <c r="G66" s="10" t="s">
        <v>6</v>
      </c>
      <c r="H66" s="25"/>
      <c r="I66" s="25"/>
      <c r="J66" s="25"/>
      <c r="K66" s="25"/>
      <c r="L66" s="25"/>
      <c r="M66" s="25"/>
      <c r="N66" s="25"/>
      <c r="O66" s="10" t="s">
        <v>6</v>
      </c>
      <c r="P66" s="10" t="s">
        <v>6</v>
      </c>
      <c r="Q66" s="25"/>
      <c r="R66" s="25"/>
      <c r="S66" s="10" t="s">
        <v>6</v>
      </c>
      <c r="T66" s="25"/>
      <c r="U66" s="25"/>
      <c r="V66" s="25"/>
      <c r="W66" s="10" t="s">
        <v>6</v>
      </c>
      <c r="X66" s="25"/>
      <c r="Y66" s="25"/>
      <c r="Z66" s="25"/>
      <c r="AA66" s="25"/>
      <c r="AB66" s="25"/>
      <c r="AC66" s="25"/>
      <c r="AD66" s="25"/>
      <c r="AE66" s="25"/>
      <c r="AF66" s="25"/>
      <c r="AG66" s="10"/>
      <c r="AH66" s="25"/>
    </row>
    <row r="67" ht="30.0" customHeight="1">
      <c r="B67" s="32" t="s">
        <v>194</v>
      </c>
      <c r="C67" s="25"/>
      <c r="D67" s="25"/>
      <c r="E67" s="25"/>
      <c r="F67" s="25"/>
      <c r="G67" s="25"/>
      <c r="H67" s="10" t="s">
        <v>6</v>
      </c>
      <c r="I67" s="25"/>
      <c r="J67" s="25"/>
      <c r="K67" s="25"/>
      <c r="L67" s="25"/>
      <c r="M67" s="25"/>
      <c r="N67" s="25"/>
      <c r="O67" s="25"/>
      <c r="P67" s="10" t="s">
        <v>6</v>
      </c>
      <c r="Q67" s="25"/>
      <c r="R67" s="25"/>
      <c r="S67" s="25"/>
      <c r="T67" s="25"/>
      <c r="U67" s="25"/>
      <c r="V67" s="10" t="s">
        <v>6</v>
      </c>
      <c r="W67" s="10" t="s">
        <v>6</v>
      </c>
      <c r="X67" s="25"/>
      <c r="Y67" s="25"/>
      <c r="Z67" s="25"/>
      <c r="AA67" s="25"/>
      <c r="AB67" s="25"/>
      <c r="AC67" s="10" t="s">
        <v>6</v>
      </c>
      <c r="AD67" s="10" t="s">
        <v>6</v>
      </c>
      <c r="AE67" s="25"/>
      <c r="AF67" s="25"/>
      <c r="AG67" s="25"/>
      <c r="AH67" s="25"/>
    </row>
    <row r="68" ht="30.0" customHeight="1">
      <c r="A68" s="44"/>
      <c r="B68" s="45" t="s">
        <v>193</v>
      </c>
      <c r="C68" s="38"/>
      <c r="D68" s="38"/>
      <c r="E68" s="38"/>
      <c r="F68" s="38"/>
      <c r="G68" s="38"/>
      <c r="H68" s="38"/>
      <c r="I68" s="38"/>
      <c r="J68" s="38"/>
      <c r="K68" s="38"/>
      <c r="L68" s="46" t="s">
        <v>6</v>
      </c>
      <c r="M68" s="38"/>
      <c r="N68" s="38"/>
      <c r="O68" s="38"/>
      <c r="P68" s="46" t="s">
        <v>6</v>
      </c>
      <c r="Q68" s="38"/>
      <c r="R68" s="38"/>
      <c r="S68" s="46" t="s">
        <v>6</v>
      </c>
      <c r="T68" s="38"/>
      <c r="U68" s="38"/>
      <c r="V68" s="38"/>
      <c r="W68" s="46" t="s">
        <v>6</v>
      </c>
      <c r="X68" s="38"/>
      <c r="Y68" s="38"/>
      <c r="Z68" s="46" t="s">
        <v>6</v>
      </c>
      <c r="AA68" s="38"/>
      <c r="AB68" s="38"/>
      <c r="AC68" s="38"/>
      <c r="AD68" s="38"/>
      <c r="AE68" s="38"/>
      <c r="AF68" s="38"/>
      <c r="AG68" s="46" t="s">
        <v>6</v>
      </c>
      <c r="AH68" s="38"/>
    </row>
    <row r="69" ht="30.0" customHeight="1">
      <c r="B69" s="32" t="s">
        <v>87</v>
      </c>
      <c r="C69" s="25"/>
      <c r="D69" s="25"/>
      <c r="E69" s="25"/>
      <c r="F69" s="25"/>
      <c r="G69" s="25"/>
      <c r="H69" s="10" t="s">
        <v>6</v>
      </c>
      <c r="I69" s="25"/>
      <c r="J69" s="25"/>
      <c r="K69" s="10" t="s">
        <v>6</v>
      </c>
      <c r="L69" s="25"/>
      <c r="M69" s="25"/>
      <c r="N69" s="25"/>
      <c r="O69" s="10" t="s">
        <v>6</v>
      </c>
      <c r="P69" s="25"/>
      <c r="Q69" s="25"/>
      <c r="R69" s="10" t="s">
        <v>6</v>
      </c>
      <c r="S69" s="25"/>
      <c r="T69" s="25"/>
      <c r="U69" s="25"/>
      <c r="V69" s="25"/>
      <c r="W69" s="10" t="s">
        <v>6</v>
      </c>
      <c r="X69" s="25"/>
      <c r="Y69" s="10" t="s">
        <v>6</v>
      </c>
      <c r="Z69" s="25"/>
      <c r="AA69" s="25"/>
      <c r="AB69" s="25"/>
      <c r="AC69" s="10" t="s">
        <v>6</v>
      </c>
      <c r="AD69" s="25"/>
      <c r="AE69" s="25"/>
      <c r="AF69" s="25"/>
      <c r="AG69" s="25"/>
      <c r="AH69" s="25"/>
    </row>
    <row r="70" ht="30.0" customHeight="1">
      <c r="B70" s="32" t="s">
        <v>275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10" t="s">
        <v>6</v>
      </c>
      <c r="Q70" s="25"/>
      <c r="R70" s="25"/>
      <c r="S70" s="25"/>
      <c r="T70" s="10" t="s">
        <v>6</v>
      </c>
      <c r="U70" s="25"/>
      <c r="V70" s="25"/>
      <c r="W70" s="10" t="s">
        <v>6</v>
      </c>
      <c r="X70" s="25"/>
      <c r="Y70" s="25"/>
      <c r="Z70" s="25"/>
      <c r="AA70" s="10" t="s">
        <v>6</v>
      </c>
      <c r="AB70" s="25"/>
      <c r="AC70" s="25"/>
      <c r="AD70" s="10" t="s">
        <v>6</v>
      </c>
      <c r="AE70" s="25"/>
      <c r="AF70" s="25"/>
      <c r="AG70" s="25"/>
      <c r="AH70" s="25"/>
    </row>
    <row r="71" ht="30.0" customHeight="1">
      <c r="B71" s="32" t="s">
        <v>276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10" t="s">
        <v>6</v>
      </c>
      <c r="T71" s="25"/>
      <c r="U71" s="10" t="s">
        <v>6</v>
      </c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10" t="s">
        <v>6</v>
      </c>
      <c r="AH71" s="25"/>
    </row>
    <row r="72" ht="30.0" customHeight="1">
      <c r="B72" s="32" t="s">
        <v>282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10" t="s">
        <v>6</v>
      </c>
      <c r="AE72" s="25"/>
      <c r="AF72" s="25"/>
      <c r="AG72" s="10" t="s">
        <v>6</v>
      </c>
      <c r="AH72" s="25"/>
    </row>
    <row r="73" ht="30.0" customHeight="1">
      <c r="B73" s="24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</row>
    <row r="74" ht="30.0" customHeight="1">
      <c r="B74" s="24" t="str">
        <f>Marzo!MonthName&amp;" Total"</f>
        <v>Marzo Total</v>
      </c>
      <c r="C74" s="25">
        <f>SUBTOTAL(103,Marzo!$C$7)</f>
        <v>0</v>
      </c>
      <c r="D74" s="25">
        <f>SUBTOTAL(103,Marzo!$D$7)</f>
        <v>0</v>
      </c>
      <c r="E74" s="25">
        <f>SUBTOTAL(103,Marzo!$E$7)</f>
        <v>0</v>
      </c>
      <c r="F74" s="25"/>
      <c r="G74" s="25">
        <f>SUBTOTAL(103,Marzo!$G$7)</f>
        <v>0</v>
      </c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</row>
    <row r="75" ht="30.0" customHeight="1">
      <c r="AH75" s="5"/>
    </row>
    <row r="76" ht="30.0" customHeight="1">
      <c r="B76" s="15" t="s">
        <v>291</v>
      </c>
      <c r="C76" s="27" t="s">
        <v>89</v>
      </c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39">
        <v>2026.0</v>
      </c>
    </row>
    <row r="77" ht="30.0" customHeight="1">
      <c r="B77" s="30"/>
      <c r="C77" s="16" t="str">
        <f>TEXT(WEEKDAY(DATE(Marzo!CalendarioAño,1,4),1),"ddd")</f>
        <v>dom</v>
      </c>
      <c r="D77" s="16" t="str">
        <f>TEXT(WEEKDAY(DATE(Marzo!CalendarioAño,1,5),1),"ddd")</f>
        <v>lun</v>
      </c>
      <c r="E77" s="16" t="str">
        <f>TEXT(WEEKDAY(DATE(Marzo!CalendarioAño,1,6),1),"ddd")</f>
        <v>mar</v>
      </c>
      <c r="F77" s="16" t="str">
        <f>TEXT(WEEKDAY(DATE(Marzo!CalendarioAño,1,7),1),"ddd")</f>
        <v>mié</v>
      </c>
      <c r="G77" s="16" t="str">
        <f>TEXT(WEEKDAY(DATE(Marzo!CalendarioAño,1,8),1),"ddd")</f>
        <v>jue</v>
      </c>
      <c r="H77" s="16" t="str">
        <f>TEXT(WEEKDAY(DATE(Marzo!CalendarioAño,1,9),1),"ddd")</f>
        <v>vie</v>
      </c>
      <c r="I77" s="16" t="str">
        <f>TEXT(WEEKDAY(DATE(Marzo!CalendarioAño,1,10),1),"ddd")</f>
        <v>sáb</v>
      </c>
      <c r="J77" s="16" t="str">
        <f>TEXT(WEEKDAY(DATE(Marzo!CalendarioAño,1,4),1),"ddd")</f>
        <v>dom</v>
      </c>
      <c r="K77" s="16" t="str">
        <f>TEXT(WEEKDAY(DATE(Marzo!CalendarioAño,1,5),1),"ddd")</f>
        <v>lun</v>
      </c>
      <c r="L77" s="16" t="str">
        <f>TEXT(WEEKDAY(DATE(Marzo!CalendarioAño,1,6),1),"ddd")</f>
        <v>mar</v>
      </c>
      <c r="M77" s="16" t="str">
        <f>TEXT(WEEKDAY(DATE(Marzo!CalendarioAño,1,7),1),"ddd")</f>
        <v>mié</v>
      </c>
      <c r="N77" s="16" t="str">
        <f>TEXT(WEEKDAY(DATE(Marzo!CalendarioAño,1,8),1),"ddd")</f>
        <v>jue</v>
      </c>
      <c r="O77" s="16" t="str">
        <f>TEXT(WEEKDAY(DATE(Marzo!CalendarioAño,1,9),1),"ddd")</f>
        <v>vie</v>
      </c>
      <c r="P77" s="16" t="str">
        <f>TEXT(WEEKDAY(DATE(Marzo!CalendarioAño,1,10),1),"ddd")</f>
        <v>sáb</v>
      </c>
      <c r="Q77" s="16" t="str">
        <f>TEXT(WEEKDAY(DATE(Marzo!CalendarioAño,1,4),1),"ddd")</f>
        <v>dom</v>
      </c>
      <c r="R77" s="16" t="str">
        <f>TEXT(WEEKDAY(DATE(Marzo!CalendarioAño,1,5),1),"ddd")</f>
        <v>lun</v>
      </c>
      <c r="S77" s="16" t="str">
        <f>TEXT(WEEKDAY(DATE(Marzo!CalendarioAño,1,6),1),"ddd")</f>
        <v>mar</v>
      </c>
      <c r="T77" s="16" t="str">
        <f>TEXT(WEEKDAY(DATE(Marzo!CalendarioAño,1,7),1),"ddd")</f>
        <v>mié</v>
      </c>
      <c r="U77" s="16" t="str">
        <f>TEXT(WEEKDAY(DATE(Marzo!CalendarioAño,1,8),1),"ddd")</f>
        <v>jue</v>
      </c>
      <c r="V77" s="16" t="str">
        <f>TEXT(WEEKDAY(DATE(Marzo!CalendarioAño,1,9),1),"ddd")</f>
        <v>vie</v>
      </c>
      <c r="W77" s="16" t="str">
        <f>TEXT(WEEKDAY(DATE(Marzo!CalendarioAño,1,10),1),"ddd")</f>
        <v>sáb</v>
      </c>
      <c r="X77" s="16" t="str">
        <f>TEXT(WEEKDAY(DATE(Marzo!CalendarioAño,1,4),1),"ddd")</f>
        <v>dom</v>
      </c>
      <c r="Y77" s="16" t="str">
        <f>TEXT(WEEKDAY(DATE(Marzo!CalendarioAño,1,5),1),"ddd")</f>
        <v>lun</v>
      </c>
      <c r="Z77" s="16" t="str">
        <f>TEXT(WEEKDAY(DATE(Marzo!CalendarioAño,1,6),1),"ddd")</f>
        <v>mar</v>
      </c>
      <c r="AA77" s="16" t="str">
        <f>TEXT(WEEKDAY(DATE(Marzo!CalendarioAño,1,7),1),"ddd")</f>
        <v>mié</v>
      </c>
      <c r="AB77" s="16" t="str">
        <f>TEXT(WEEKDAY(DATE(Marzo!CalendarioAño,1,8),1),"ddd")</f>
        <v>jue</v>
      </c>
      <c r="AC77" s="16" t="str">
        <f>TEXT(WEEKDAY(DATE(Marzo!CalendarioAño,1,9),1),"ddd")</f>
        <v>vie</v>
      </c>
      <c r="AD77" s="16" t="str">
        <f>TEXT(WEEKDAY(DATE(Marzo!CalendarioAño,1,10),1),"ddd")</f>
        <v>sáb</v>
      </c>
      <c r="AE77" s="16" t="str">
        <f>TEXT(WEEKDAY(DATE(Marzo!CalendarioAño,1,4),1),"ddd")</f>
        <v>dom</v>
      </c>
      <c r="AF77" s="16" t="str">
        <f>TEXT(WEEKDAY(DATE(Marzo!CalendarioAño,1,5),1),"ddd")</f>
        <v>lun</v>
      </c>
      <c r="AG77" s="16" t="str">
        <f>TEXT(WEEKDAY(DATE(Marzo!CalendarioAño,1,6),1),"ddd")</f>
        <v>mar</v>
      </c>
      <c r="AH77" s="30"/>
    </row>
    <row r="78" ht="30.0" customHeight="1">
      <c r="A78" s="17"/>
      <c r="B78" s="31" t="s">
        <v>14</v>
      </c>
      <c r="C78" s="70">
        <v>1.0</v>
      </c>
      <c r="D78" s="70">
        <v>2.0</v>
      </c>
      <c r="E78" s="70">
        <v>3.0</v>
      </c>
      <c r="F78" s="70">
        <v>4.0</v>
      </c>
      <c r="G78" s="70">
        <v>5.0</v>
      </c>
      <c r="H78" s="70">
        <v>6.0</v>
      </c>
      <c r="I78" s="70">
        <v>7.0</v>
      </c>
      <c r="J78" s="70">
        <v>8.0</v>
      </c>
      <c r="K78" s="70">
        <v>9.0</v>
      </c>
      <c r="L78" s="70">
        <v>10.0</v>
      </c>
      <c r="M78" s="70">
        <v>11.0</v>
      </c>
      <c r="N78" s="70">
        <v>12.0</v>
      </c>
      <c r="O78" s="70">
        <v>13.0</v>
      </c>
      <c r="P78" s="70">
        <v>14.0</v>
      </c>
      <c r="Q78" s="70">
        <v>15.0</v>
      </c>
      <c r="R78" s="70">
        <v>16.0</v>
      </c>
      <c r="S78" s="70">
        <v>17.0</v>
      </c>
      <c r="T78" s="70">
        <v>18.0</v>
      </c>
      <c r="U78" s="70">
        <v>19.0</v>
      </c>
      <c r="V78" s="70">
        <v>20.0</v>
      </c>
      <c r="W78" s="70">
        <v>21.0</v>
      </c>
      <c r="X78" s="70">
        <v>22.0</v>
      </c>
      <c r="Y78" s="70">
        <v>23.0</v>
      </c>
      <c r="Z78" s="70">
        <v>24.0</v>
      </c>
      <c r="AA78" s="70">
        <v>25.0</v>
      </c>
      <c r="AB78" s="70">
        <v>26.0</v>
      </c>
      <c r="AC78" s="70">
        <v>27.0</v>
      </c>
      <c r="AD78" s="70">
        <v>28.0</v>
      </c>
      <c r="AE78" s="70">
        <v>29.0</v>
      </c>
      <c r="AF78" s="70">
        <v>30.0</v>
      </c>
      <c r="AG78" s="70">
        <v>31.0</v>
      </c>
      <c r="AH78" s="19" t="s">
        <v>46</v>
      </c>
    </row>
    <row r="79" ht="30.0" customHeight="1">
      <c r="B79" s="40" t="s">
        <v>90</v>
      </c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3"/>
      <c r="AE79" s="21"/>
      <c r="AF79" s="33"/>
      <c r="AG79" s="21"/>
      <c r="AH79" s="23"/>
    </row>
    <row r="80" ht="30.0" customHeight="1">
      <c r="B80" s="40" t="s">
        <v>91</v>
      </c>
      <c r="C80" s="61"/>
      <c r="D80" s="61"/>
      <c r="E80" s="61"/>
      <c r="F80" s="61"/>
      <c r="G80" s="61"/>
      <c r="H80" s="61"/>
      <c r="I80" s="61"/>
      <c r="J80" s="61"/>
      <c r="K80" s="10" t="s">
        <v>6</v>
      </c>
      <c r="L80" s="61"/>
      <c r="M80" s="61"/>
      <c r="N80" s="61"/>
      <c r="O80" s="61"/>
      <c r="P80" s="61"/>
      <c r="Q80" s="61"/>
      <c r="R80" s="10" t="s">
        <v>6</v>
      </c>
      <c r="S80" s="10" t="s">
        <v>6</v>
      </c>
      <c r="T80" s="10" t="s">
        <v>6</v>
      </c>
      <c r="U80" s="61"/>
      <c r="V80" s="61"/>
      <c r="W80" s="61"/>
      <c r="X80" s="61"/>
      <c r="Y80" s="61"/>
      <c r="Z80" s="61"/>
      <c r="AA80" s="61"/>
      <c r="AB80" s="61"/>
      <c r="AC80" s="61"/>
      <c r="AD80" s="21"/>
      <c r="AE80" s="22"/>
      <c r="AF80" s="33"/>
      <c r="AG80" s="21"/>
      <c r="AH80" s="23"/>
    </row>
    <row r="81" ht="30.0" customHeight="1">
      <c r="B81" s="40" t="s">
        <v>92</v>
      </c>
      <c r="C81" s="36"/>
      <c r="D81" s="36"/>
      <c r="E81" s="36"/>
      <c r="F81" s="10" t="s">
        <v>6</v>
      </c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0" t="s">
        <v>6</v>
      </c>
      <c r="T81" s="36"/>
      <c r="U81" s="36"/>
      <c r="V81" s="36"/>
      <c r="W81" s="36"/>
      <c r="X81" s="36"/>
      <c r="Y81" s="36"/>
      <c r="Z81" s="36"/>
      <c r="AA81" s="10" t="s">
        <v>6</v>
      </c>
      <c r="AB81" s="10" t="s">
        <v>6</v>
      </c>
      <c r="AC81" s="36"/>
      <c r="AD81" s="21"/>
      <c r="AE81" s="22"/>
      <c r="AF81" s="33"/>
      <c r="AG81" s="22"/>
      <c r="AH81" s="23"/>
    </row>
    <row r="82" ht="30.0" customHeight="1">
      <c r="B82" s="40" t="s">
        <v>93</v>
      </c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33"/>
      <c r="AE82" s="22"/>
      <c r="AF82" s="33"/>
      <c r="AG82" s="22"/>
      <c r="AH82" s="23"/>
    </row>
    <row r="83" ht="30.0" customHeight="1">
      <c r="B83" s="32" t="s">
        <v>94</v>
      </c>
      <c r="C83" s="36"/>
      <c r="D83" s="36"/>
      <c r="E83" s="10" t="s">
        <v>6</v>
      </c>
      <c r="F83" s="36"/>
      <c r="G83" s="36"/>
      <c r="H83" s="36"/>
      <c r="I83" s="36"/>
      <c r="J83" s="36"/>
      <c r="K83" s="10" t="s">
        <v>6</v>
      </c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10" t="s">
        <v>6</v>
      </c>
      <c r="Z83" s="36"/>
      <c r="AA83" s="36"/>
      <c r="AB83" s="36"/>
      <c r="AC83" s="10" t="s">
        <v>6</v>
      </c>
      <c r="AD83" s="33"/>
      <c r="AE83" s="21"/>
      <c r="AF83" s="33"/>
      <c r="AG83" s="10" t="s">
        <v>6</v>
      </c>
      <c r="AH83" s="23"/>
    </row>
    <row r="84" ht="30.0" customHeight="1">
      <c r="B84" s="40" t="s">
        <v>95</v>
      </c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21"/>
      <c r="AE84" s="21"/>
      <c r="AF84" s="21"/>
      <c r="AG84" s="21"/>
      <c r="AH84" s="23"/>
    </row>
    <row r="85" ht="30.0" customHeight="1">
      <c r="B85" s="32" t="s">
        <v>96</v>
      </c>
      <c r="C85" s="36"/>
      <c r="D85" s="36"/>
      <c r="E85" s="10" t="s">
        <v>6</v>
      </c>
      <c r="F85" s="36"/>
      <c r="G85" s="36"/>
      <c r="H85" s="36"/>
      <c r="I85" s="36"/>
      <c r="J85" s="36"/>
      <c r="K85" s="36"/>
      <c r="L85" s="36"/>
      <c r="M85" s="36"/>
      <c r="N85" s="36"/>
      <c r="O85" s="10" t="s">
        <v>6</v>
      </c>
      <c r="P85" s="36"/>
      <c r="Q85" s="36"/>
      <c r="R85" s="36"/>
      <c r="S85" s="10" t="s">
        <v>6</v>
      </c>
      <c r="T85" s="36"/>
      <c r="U85" s="36"/>
      <c r="V85" s="10" t="s">
        <v>6</v>
      </c>
      <c r="W85" s="36"/>
      <c r="X85" s="36"/>
      <c r="Y85" s="36"/>
      <c r="Z85" s="10" t="s">
        <v>6</v>
      </c>
      <c r="AA85" s="36"/>
      <c r="AB85" s="36"/>
      <c r="AC85" s="10" t="s">
        <v>6</v>
      </c>
      <c r="AD85" s="33"/>
      <c r="AE85" s="21"/>
      <c r="AF85" s="21"/>
      <c r="AG85" s="21"/>
      <c r="AH85" s="23"/>
    </row>
    <row r="86" ht="30.0" customHeight="1">
      <c r="B86" s="32" t="s">
        <v>97</v>
      </c>
      <c r="C86" s="61"/>
      <c r="D86" s="61"/>
      <c r="E86" s="61"/>
      <c r="F86" s="10" t="s">
        <v>6</v>
      </c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33"/>
      <c r="AE86" s="21"/>
      <c r="AF86" s="33"/>
      <c r="AG86" s="21"/>
      <c r="AH86" s="23"/>
    </row>
    <row r="87" ht="30.0" customHeight="1">
      <c r="B87" s="32" t="s">
        <v>98</v>
      </c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21"/>
      <c r="AE87" s="21"/>
      <c r="AF87" s="21"/>
      <c r="AG87" s="21"/>
      <c r="AH87" s="23"/>
    </row>
    <row r="88" ht="30.0" customHeight="1">
      <c r="B88" s="32" t="s">
        <v>99</v>
      </c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21"/>
      <c r="AE88" s="21"/>
      <c r="AF88" s="21"/>
      <c r="AG88" s="21"/>
      <c r="AH88" s="23"/>
    </row>
    <row r="89" ht="30.0" customHeight="1">
      <c r="B89" s="32" t="s">
        <v>100</v>
      </c>
      <c r="C89" s="36"/>
      <c r="D89" s="36"/>
      <c r="E89" s="36"/>
      <c r="F89" s="36"/>
      <c r="G89" s="36"/>
      <c r="H89" s="10" t="s">
        <v>6</v>
      </c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0" t="s">
        <v>6</v>
      </c>
      <c r="T89" s="36"/>
      <c r="U89" s="36"/>
      <c r="V89" s="10" t="s">
        <v>6</v>
      </c>
      <c r="W89" s="36"/>
      <c r="X89" s="36"/>
      <c r="Y89" s="36"/>
      <c r="Z89" s="36"/>
      <c r="AA89" s="36"/>
      <c r="AB89" s="36"/>
      <c r="AC89" s="36"/>
      <c r="AD89" s="21"/>
      <c r="AE89" s="33"/>
      <c r="AF89" s="21"/>
      <c r="AG89" s="21"/>
      <c r="AH89" s="23"/>
    </row>
    <row r="90" ht="30.0" customHeight="1">
      <c r="B90" s="32" t="s">
        <v>101</v>
      </c>
      <c r="C90" s="61"/>
      <c r="D90" s="61"/>
      <c r="E90" s="61"/>
      <c r="F90" s="61"/>
      <c r="G90" s="61"/>
      <c r="H90" s="10" t="s">
        <v>6</v>
      </c>
      <c r="I90" s="61"/>
      <c r="J90" s="61"/>
      <c r="K90" s="61"/>
      <c r="L90" s="61"/>
      <c r="M90" s="61"/>
      <c r="N90" s="61"/>
      <c r="O90" s="10" t="s">
        <v>6</v>
      </c>
      <c r="P90" s="61"/>
      <c r="Q90" s="61"/>
      <c r="R90" s="10" t="s">
        <v>6</v>
      </c>
      <c r="S90" s="61"/>
      <c r="T90" s="61"/>
      <c r="U90" s="61"/>
      <c r="V90" s="61"/>
      <c r="W90" s="61"/>
      <c r="X90" s="61"/>
      <c r="Y90" s="10" t="s">
        <v>6</v>
      </c>
      <c r="Z90" s="61"/>
      <c r="AA90" s="10" t="s">
        <v>6</v>
      </c>
      <c r="AB90" s="61"/>
      <c r="AC90" s="61"/>
      <c r="AD90" s="33"/>
      <c r="AE90" s="21"/>
      <c r="AF90" s="10" t="s">
        <v>6</v>
      </c>
      <c r="AG90" s="21"/>
      <c r="AH90" s="23"/>
    </row>
    <row r="91" ht="30.0" customHeight="1">
      <c r="B91" s="32" t="s">
        <v>102</v>
      </c>
      <c r="C91" s="36"/>
      <c r="D91" s="36"/>
      <c r="E91" s="36"/>
      <c r="F91" s="36"/>
      <c r="G91" s="36"/>
      <c r="H91" s="10" t="s">
        <v>6</v>
      </c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10" t="s">
        <v>6</v>
      </c>
      <c r="W91" s="36"/>
      <c r="X91" s="36"/>
      <c r="Y91" s="36"/>
      <c r="Z91" s="36"/>
      <c r="AA91" s="36"/>
      <c r="AB91" s="36"/>
      <c r="AC91" s="36"/>
      <c r="AD91" s="21"/>
      <c r="AE91" s="33"/>
      <c r="AF91" s="21"/>
      <c r="AG91" s="21"/>
      <c r="AH91" s="23"/>
    </row>
    <row r="92" ht="30.0" customHeight="1">
      <c r="B92" s="32" t="s">
        <v>103</v>
      </c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10" t="s">
        <v>6</v>
      </c>
      <c r="Q92" s="61"/>
      <c r="R92" s="61"/>
      <c r="S92" s="61"/>
      <c r="T92" s="61"/>
      <c r="U92" s="61"/>
      <c r="V92" s="61"/>
      <c r="W92" s="10" t="s">
        <v>6</v>
      </c>
      <c r="X92" s="61"/>
      <c r="Y92" s="61"/>
      <c r="Z92" s="61"/>
      <c r="AA92" s="61"/>
      <c r="AB92" s="61"/>
      <c r="AC92" s="61"/>
      <c r="AD92" s="10" t="s">
        <v>6</v>
      </c>
      <c r="AE92" s="21"/>
      <c r="AF92" s="33"/>
      <c r="AG92" s="21"/>
      <c r="AH92" s="23"/>
    </row>
    <row r="93" ht="30.0" customHeight="1">
      <c r="A93" s="44"/>
      <c r="B93" s="45" t="s">
        <v>104</v>
      </c>
      <c r="C93" s="53"/>
      <c r="D93" s="53"/>
      <c r="E93" s="53"/>
      <c r="F93" s="53"/>
      <c r="G93" s="46" t="s">
        <v>6</v>
      </c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35"/>
      <c r="AE93" s="35"/>
      <c r="AF93" s="35"/>
      <c r="AG93" s="35"/>
      <c r="AH93" s="47"/>
    </row>
    <row r="94" ht="30.0" customHeight="1">
      <c r="B94" s="40" t="s">
        <v>106</v>
      </c>
      <c r="C94" s="61"/>
      <c r="D94" s="61"/>
      <c r="E94" s="61"/>
      <c r="F94" s="61"/>
      <c r="G94" s="10" t="s">
        <v>6</v>
      </c>
      <c r="H94" s="61"/>
      <c r="I94" s="61"/>
      <c r="J94" s="61"/>
      <c r="K94" s="61"/>
      <c r="L94" s="61"/>
      <c r="M94" s="61"/>
      <c r="N94" s="61"/>
      <c r="O94" s="61"/>
      <c r="P94" s="10" t="s">
        <v>6</v>
      </c>
      <c r="Q94" s="61"/>
      <c r="R94" s="61"/>
      <c r="S94" s="61"/>
      <c r="T94" s="61"/>
      <c r="U94" s="61"/>
      <c r="V94" s="61"/>
      <c r="W94" s="10" t="s">
        <v>6</v>
      </c>
      <c r="X94" s="61"/>
      <c r="Y94" s="61"/>
      <c r="Z94" s="61"/>
      <c r="AA94" s="61"/>
      <c r="AB94" s="10" t="s">
        <v>6</v>
      </c>
      <c r="AC94" s="61"/>
      <c r="AD94" s="21"/>
      <c r="AE94" s="21"/>
      <c r="AF94" s="21"/>
      <c r="AG94" s="21"/>
      <c r="AH94" s="23"/>
    </row>
    <row r="95" ht="30.0" customHeight="1">
      <c r="B95" s="40" t="s">
        <v>107</v>
      </c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10" t="s">
        <v>6</v>
      </c>
      <c r="Q95" s="36"/>
      <c r="R95" s="36"/>
      <c r="S95" s="36"/>
      <c r="T95" s="10" t="s">
        <v>6</v>
      </c>
      <c r="U95" s="36"/>
      <c r="V95" s="36"/>
      <c r="W95" s="10" t="s">
        <v>6</v>
      </c>
      <c r="X95" s="36"/>
      <c r="Y95" s="36"/>
      <c r="Z95" s="36"/>
      <c r="AA95" s="10" t="s">
        <v>6</v>
      </c>
      <c r="AB95" s="36"/>
      <c r="AC95" s="36"/>
      <c r="AD95" s="10" t="s">
        <v>6</v>
      </c>
      <c r="AE95" s="21"/>
      <c r="AF95" s="33"/>
      <c r="AG95" s="21"/>
      <c r="AH95" s="23"/>
    </row>
    <row r="96" ht="30.0" customHeight="1">
      <c r="B96" s="32" t="s">
        <v>108</v>
      </c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21"/>
      <c r="AE96" s="21"/>
      <c r="AF96" s="21"/>
      <c r="AG96" s="21"/>
      <c r="AH96" s="23"/>
    </row>
    <row r="97" ht="30.0" customHeight="1">
      <c r="B97" s="32" t="s">
        <v>109</v>
      </c>
      <c r="C97" s="61"/>
      <c r="D97" s="61"/>
      <c r="E97" s="10" t="s">
        <v>6</v>
      </c>
      <c r="F97" s="61"/>
      <c r="G97" s="10" t="s">
        <v>6</v>
      </c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10" t="s">
        <v>6</v>
      </c>
      <c r="T97" s="61"/>
      <c r="U97" s="10" t="s">
        <v>6</v>
      </c>
      <c r="V97" s="61"/>
      <c r="W97" s="61"/>
      <c r="X97" s="61"/>
      <c r="Y97" s="61"/>
      <c r="Z97" s="61"/>
      <c r="AA97" s="61"/>
      <c r="AB97" s="61"/>
      <c r="AC97" s="61"/>
      <c r="AD97" s="33"/>
      <c r="AE97" s="21"/>
      <c r="AF97" s="21"/>
      <c r="AG97" s="21"/>
      <c r="AH97" s="23"/>
    </row>
    <row r="98" ht="30.0" customHeight="1">
      <c r="B98" s="32" t="s">
        <v>110</v>
      </c>
      <c r="C98" s="36"/>
      <c r="D98" s="36"/>
      <c r="E98" s="10" t="s">
        <v>6</v>
      </c>
      <c r="F98" s="36"/>
      <c r="G98" s="10" t="s">
        <v>6</v>
      </c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10" t="s">
        <v>6</v>
      </c>
      <c r="T98" s="36"/>
      <c r="U98" s="10" t="s">
        <v>6</v>
      </c>
      <c r="V98" s="36"/>
      <c r="W98" s="36"/>
      <c r="X98" s="36"/>
      <c r="Y98" s="36"/>
      <c r="Z98" s="36"/>
      <c r="AA98" s="36"/>
      <c r="AB98" s="10" t="s">
        <v>6</v>
      </c>
      <c r="AC98" s="36"/>
      <c r="AD98" s="21"/>
      <c r="AE98" s="21"/>
      <c r="AF98" s="21"/>
      <c r="AG98" s="10" t="s">
        <v>6</v>
      </c>
      <c r="AH98" s="23"/>
    </row>
    <row r="99" ht="30.0" customHeight="1">
      <c r="B99" s="32" t="s">
        <v>111</v>
      </c>
      <c r="C99" s="61"/>
      <c r="D99" s="61"/>
      <c r="E99" s="10" t="s">
        <v>6</v>
      </c>
      <c r="F99" s="61"/>
      <c r="G99" s="10" t="s">
        <v>6</v>
      </c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33"/>
      <c r="AE99" s="33"/>
      <c r="AF99" s="21"/>
      <c r="AG99" s="21"/>
      <c r="AH99" s="23"/>
    </row>
    <row r="100" ht="30.0" customHeight="1">
      <c r="B100" s="32" t="s">
        <v>112</v>
      </c>
      <c r="C100" s="36"/>
      <c r="D100" s="36"/>
      <c r="E100" s="36"/>
      <c r="F100" s="10" t="s">
        <v>6</v>
      </c>
      <c r="G100" s="10" t="s">
        <v>6</v>
      </c>
      <c r="H100" s="36"/>
      <c r="I100" s="36"/>
      <c r="J100" s="36"/>
      <c r="K100" s="36"/>
      <c r="L100" s="36"/>
      <c r="M100" s="36"/>
      <c r="N100" s="36"/>
      <c r="O100" s="10" t="s">
        <v>6</v>
      </c>
      <c r="P100" s="36"/>
      <c r="Q100" s="36"/>
      <c r="R100" s="36"/>
      <c r="S100" s="10" t="s">
        <v>6</v>
      </c>
      <c r="T100" s="10" t="s">
        <v>6</v>
      </c>
      <c r="U100" s="36"/>
      <c r="V100" s="36"/>
      <c r="W100" s="36"/>
      <c r="X100" s="36"/>
      <c r="Y100" s="10" t="s">
        <v>6</v>
      </c>
      <c r="Z100" s="36"/>
      <c r="AA100" s="36"/>
      <c r="AB100" s="10" t="s">
        <v>6</v>
      </c>
      <c r="AC100" s="36"/>
      <c r="AD100" s="21"/>
      <c r="AE100" s="21"/>
      <c r="AF100" s="33"/>
      <c r="AG100" s="21"/>
      <c r="AH100" s="23"/>
    </row>
    <row r="101" ht="30.0" customHeight="1">
      <c r="B101" s="32" t="s">
        <v>198</v>
      </c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10" t="s">
        <v>6</v>
      </c>
      <c r="Q101" s="36"/>
      <c r="R101" s="36"/>
      <c r="S101" s="36"/>
      <c r="T101" s="36"/>
      <c r="U101" s="36"/>
      <c r="V101" s="10" t="s">
        <v>6</v>
      </c>
      <c r="W101" s="10" t="s">
        <v>6</v>
      </c>
      <c r="X101" s="36"/>
      <c r="Y101" s="36"/>
      <c r="Z101" s="36"/>
      <c r="AA101" s="10" t="s">
        <v>6</v>
      </c>
      <c r="AB101" s="36"/>
      <c r="AC101" s="36"/>
      <c r="AD101" s="10" t="s">
        <v>6</v>
      </c>
      <c r="AE101" s="33"/>
      <c r="AF101" s="21"/>
      <c r="AG101" s="33"/>
      <c r="AH101" s="23"/>
    </row>
    <row r="102" ht="30.0" customHeight="1">
      <c r="B102" s="32" t="s">
        <v>114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21"/>
      <c r="AE102" s="33"/>
      <c r="AF102" s="21"/>
      <c r="AG102" s="33"/>
      <c r="AH102" s="23"/>
    </row>
    <row r="103" ht="30.0" customHeight="1">
      <c r="A103" s="115"/>
      <c r="B103" s="116" t="s">
        <v>115</v>
      </c>
      <c r="C103" s="117"/>
      <c r="D103" s="117"/>
      <c r="E103" s="117"/>
      <c r="F103" s="117"/>
      <c r="G103" s="10" t="s">
        <v>6</v>
      </c>
      <c r="H103" s="117"/>
      <c r="I103" s="117"/>
      <c r="J103" s="117"/>
      <c r="K103" s="10" t="s">
        <v>6</v>
      </c>
      <c r="L103" s="117"/>
      <c r="M103" s="117"/>
      <c r="N103" s="117"/>
      <c r="O103" s="117"/>
      <c r="P103" s="117"/>
      <c r="Q103" s="117"/>
      <c r="R103" s="10" t="s">
        <v>6</v>
      </c>
      <c r="S103" s="117"/>
      <c r="T103" s="117"/>
      <c r="U103" s="117"/>
      <c r="V103" s="10" t="s">
        <v>6</v>
      </c>
      <c r="W103" s="117"/>
      <c r="X103" s="117"/>
      <c r="Y103" s="117"/>
      <c r="Z103" s="10" t="s">
        <v>6</v>
      </c>
      <c r="AA103" s="117"/>
      <c r="AB103" s="10" t="s">
        <v>6</v>
      </c>
      <c r="AC103" s="10" t="s">
        <v>6</v>
      </c>
      <c r="AD103" s="118"/>
      <c r="AE103" s="118"/>
      <c r="AF103" s="119"/>
      <c r="AG103" s="118"/>
      <c r="AH103" s="120"/>
    </row>
    <row r="104" ht="30.0" customHeight="1">
      <c r="B104" s="32" t="s">
        <v>116</v>
      </c>
      <c r="C104" s="61"/>
      <c r="D104" s="61"/>
      <c r="E104" s="10" t="s">
        <v>6</v>
      </c>
      <c r="F104" s="61"/>
      <c r="G104" s="10" t="s">
        <v>6</v>
      </c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10" t="s">
        <v>6</v>
      </c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21"/>
      <c r="AE104" s="33"/>
      <c r="AF104" s="21"/>
      <c r="AG104" s="33"/>
      <c r="AH104" s="23"/>
    </row>
    <row r="105" ht="30.0" customHeight="1">
      <c r="B105" s="32" t="s">
        <v>270</v>
      </c>
      <c r="C105" s="21"/>
      <c r="D105" s="21"/>
      <c r="E105" s="21"/>
      <c r="F105" s="21"/>
      <c r="G105" s="10" t="s">
        <v>6</v>
      </c>
      <c r="H105" s="21"/>
      <c r="I105" s="43"/>
      <c r="J105" s="43"/>
      <c r="K105" s="43"/>
      <c r="L105" s="10" t="s">
        <v>6</v>
      </c>
      <c r="M105" s="43"/>
      <c r="N105" s="21"/>
      <c r="O105" s="43"/>
      <c r="P105" s="43"/>
      <c r="Q105" s="43"/>
      <c r="R105" s="21"/>
      <c r="S105" s="10" t="s">
        <v>6</v>
      </c>
      <c r="T105" s="21"/>
      <c r="U105" s="10" t="s">
        <v>6</v>
      </c>
      <c r="V105" s="21"/>
      <c r="W105" s="21"/>
      <c r="X105" s="43"/>
      <c r="Y105" s="21"/>
      <c r="Z105" s="43"/>
      <c r="AA105" s="21"/>
      <c r="AB105" s="10" t="s">
        <v>6</v>
      </c>
      <c r="AC105" s="21"/>
      <c r="AD105" s="21"/>
      <c r="AE105" s="33"/>
      <c r="AF105" s="21"/>
      <c r="AG105" s="10" t="s">
        <v>6</v>
      </c>
      <c r="AH105" s="23"/>
    </row>
    <row r="106" ht="30.0" customHeight="1">
      <c r="B106" s="32" t="s">
        <v>227</v>
      </c>
      <c r="C106" s="21"/>
      <c r="D106" s="21"/>
      <c r="E106" s="21"/>
      <c r="F106" s="21"/>
      <c r="G106" s="21"/>
      <c r="H106" s="21"/>
      <c r="I106" s="43"/>
      <c r="J106" s="43"/>
      <c r="K106" s="43"/>
      <c r="L106" s="43"/>
      <c r="M106" s="43"/>
      <c r="N106" s="21"/>
      <c r="O106" s="10" t="s">
        <v>6</v>
      </c>
      <c r="P106" s="43"/>
      <c r="Q106" s="43"/>
      <c r="R106" s="10" t="s">
        <v>6</v>
      </c>
      <c r="S106" s="10" t="s">
        <v>6</v>
      </c>
      <c r="T106" s="10" t="s">
        <v>6</v>
      </c>
      <c r="U106" s="21"/>
      <c r="V106" s="21"/>
      <c r="W106" s="21"/>
      <c r="X106" s="43"/>
      <c r="Y106" s="21"/>
      <c r="Z106" s="43"/>
      <c r="AA106" s="21"/>
      <c r="AB106" s="21"/>
      <c r="AC106" s="21"/>
      <c r="AD106" s="21"/>
      <c r="AE106" s="33"/>
      <c r="AF106" s="21"/>
      <c r="AG106" s="21"/>
      <c r="AH106" s="23"/>
    </row>
    <row r="107" ht="30.0" customHeight="1">
      <c r="B107" s="32" t="s">
        <v>278</v>
      </c>
      <c r="C107" s="21"/>
      <c r="D107" s="21"/>
      <c r="E107" s="21"/>
      <c r="F107" s="21"/>
      <c r="G107" s="21"/>
      <c r="H107" s="21"/>
      <c r="I107" s="43"/>
      <c r="J107" s="43"/>
      <c r="K107" s="43"/>
      <c r="L107" s="43"/>
      <c r="M107" s="43"/>
      <c r="N107" s="21"/>
      <c r="O107" s="43"/>
      <c r="P107" s="43"/>
      <c r="Q107" s="43"/>
      <c r="R107" s="21"/>
      <c r="S107" s="43"/>
      <c r="T107" s="21"/>
      <c r="U107" s="10" t="s">
        <v>6</v>
      </c>
      <c r="V107" s="21"/>
      <c r="W107" s="10" t="s">
        <v>6</v>
      </c>
      <c r="X107" s="43"/>
      <c r="Y107" s="21"/>
      <c r="Z107" s="43"/>
      <c r="AA107" s="10" t="s">
        <v>6</v>
      </c>
      <c r="AB107" s="21"/>
      <c r="AC107" s="21"/>
      <c r="AD107" s="21"/>
      <c r="AE107" s="33"/>
      <c r="AF107" s="21"/>
      <c r="AG107" s="21"/>
      <c r="AH107" s="23"/>
    </row>
    <row r="108" ht="30.0" customHeight="1">
      <c r="B108" s="32" t="s">
        <v>269</v>
      </c>
      <c r="C108" s="21"/>
      <c r="D108" s="21"/>
      <c r="E108" s="21"/>
      <c r="F108" s="21"/>
      <c r="G108" s="21"/>
      <c r="H108" s="21"/>
      <c r="I108" s="43"/>
      <c r="J108" s="43"/>
      <c r="K108" s="43"/>
      <c r="L108" s="43"/>
      <c r="M108" s="43"/>
      <c r="N108" s="21"/>
      <c r="O108" s="43"/>
      <c r="P108" s="43"/>
      <c r="Q108" s="43"/>
      <c r="R108" s="21"/>
      <c r="S108" s="43"/>
      <c r="T108" s="21"/>
      <c r="U108" s="21"/>
      <c r="V108" s="21"/>
      <c r="W108" s="21"/>
      <c r="X108" s="43"/>
      <c r="Y108" s="21"/>
      <c r="Z108" s="43"/>
      <c r="AA108" s="21"/>
      <c r="AB108" s="10" t="s">
        <v>6</v>
      </c>
      <c r="AC108" s="21"/>
      <c r="AD108" s="21"/>
      <c r="AE108" s="33"/>
      <c r="AF108" s="21"/>
      <c r="AG108" s="21"/>
      <c r="AH108" s="23"/>
    </row>
    <row r="109" ht="30.0" customHeight="1">
      <c r="B109" s="20"/>
      <c r="C109" s="21"/>
      <c r="D109" s="21"/>
      <c r="E109" s="21"/>
      <c r="F109" s="21"/>
      <c r="G109" s="21"/>
      <c r="H109" s="21"/>
      <c r="I109" s="43"/>
      <c r="J109" s="43"/>
      <c r="K109" s="43"/>
      <c r="L109" s="43"/>
      <c r="M109" s="43"/>
      <c r="N109" s="21"/>
      <c r="O109" s="43"/>
      <c r="P109" s="43"/>
      <c r="Q109" s="43"/>
      <c r="R109" s="21"/>
      <c r="S109" s="43"/>
      <c r="T109" s="21"/>
      <c r="U109" s="21"/>
      <c r="V109" s="21"/>
      <c r="W109" s="21"/>
      <c r="X109" s="43"/>
      <c r="Y109" s="21"/>
      <c r="Z109" s="43"/>
      <c r="AA109" s="21"/>
      <c r="AB109" s="21"/>
      <c r="AC109" s="21"/>
      <c r="AD109" s="21"/>
      <c r="AE109" s="33"/>
      <c r="AF109" s="21"/>
      <c r="AG109" s="21"/>
      <c r="AH109" s="23"/>
    </row>
    <row r="110" ht="30.0" customHeight="1">
      <c r="B110" s="48" t="str">
        <f>Marzo!MonthName&amp;" Total"</f>
        <v>Marzo Total</v>
      </c>
      <c r="C110" s="25">
        <f>SUBTOTAL(103,Marzo!$C$7)</f>
        <v>0</v>
      </c>
      <c r="D110" s="25">
        <f>SUBTOTAL(103,Marzo!$D$7)</f>
        <v>0</v>
      </c>
      <c r="E110" s="25">
        <f>SUBTOTAL(103,Marzo!$E$7)</f>
        <v>0</v>
      </c>
      <c r="F110" s="25"/>
      <c r="G110" s="25">
        <f>SUBTOTAL(103,Marzo!$G$7)</f>
        <v>0</v>
      </c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</row>
    <row r="111" ht="30.0" customHeight="1">
      <c r="AH111" s="5"/>
    </row>
    <row r="112" ht="30.0" customHeight="1">
      <c r="B112" s="15" t="s">
        <v>291</v>
      </c>
      <c r="C112" s="27" t="s">
        <v>118</v>
      </c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39">
        <v>2026.0</v>
      </c>
    </row>
    <row r="113" ht="30.0" customHeight="1">
      <c r="B113" s="30"/>
      <c r="C113" s="16" t="str">
        <f>TEXT(WEEKDAY(DATE(Marzo!CalendarioAño,1,4),1),"ddd")</f>
        <v>dom</v>
      </c>
      <c r="D113" s="16" t="str">
        <f>TEXT(WEEKDAY(DATE(Marzo!CalendarioAño,1,5),1),"ddd")</f>
        <v>lun</v>
      </c>
      <c r="E113" s="16" t="str">
        <f>TEXT(WEEKDAY(DATE(Marzo!CalendarioAño,1,6),1),"ddd")</f>
        <v>mar</v>
      </c>
      <c r="F113" s="16" t="str">
        <f>TEXT(WEEKDAY(DATE(Marzo!CalendarioAño,1,7),1),"ddd")</f>
        <v>mié</v>
      </c>
      <c r="G113" s="16" t="str">
        <f>TEXT(WEEKDAY(DATE(Marzo!CalendarioAño,1,8),1),"ddd")</f>
        <v>jue</v>
      </c>
      <c r="H113" s="16" t="str">
        <f>TEXT(WEEKDAY(DATE(Marzo!CalendarioAño,1,9),1),"ddd")</f>
        <v>vie</v>
      </c>
      <c r="I113" s="16" t="str">
        <f>TEXT(WEEKDAY(DATE(Marzo!CalendarioAño,1,10),1),"ddd")</f>
        <v>sáb</v>
      </c>
      <c r="J113" s="16" t="str">
        <f>TEXT(WEEKDAY(DATE(Marzo!CalendarioAño,1,4),1),"ddd")</f>
        <v>dom</v>
      </c>
      <c r="K113" s="16" t="str">
        <f>TEXT(WEEKDAY(DATE(Marzo!CalendarioAño,1,5),1),"ddd")</f>
        <v>lun</v>
      </c>
      <c r="L113" s="16" t="str">
        <f>TEXT(WEEKDAY(DATE(Marzo!CalendarioAño,1,6),1),"ddd")</f>
        <v>mar</v>
      </c>
      <c r="M113" s="16" t="str">
        <f>TEXT(WEEKDAY(DATE(Marzo!CalendarioAño,1,7),1),"ddd")</f>
        <v>mié</v>
      </c>
      <c r="N113" s="16" t="str">
        <f>TEXT(WEEKDAY(DATE(Marzo!CalendarioAño,1,8),1),"ddd")</f>
        <v>jue</v>
      </c>
      <c r="O113" s="16" t="str">
        <f>TEXT(WEEKDAY(DATE(Marzo!CalendarioAño,1,9),1),"ddd")</f>
        <v>vie</v>
      </c>
      <c r="P113" s="16" t="str">
        <f>TEXT(WEEKDAY(DATE(Marzo!CalendarioAño,1,10),1),"ddd")</f>
        <v>sáb</v>
      </c>
      <c r="Q113" s="16" t="str">
        <f>TEXT(WEEKDAY(DATE(Marzo!CalendarioAño,1,4),1),"ddd")</f>
        <v>dom</v>
      </c>
      <c r="R113" s="16" t="str">
        <f>TEXT(WEEKDAY(DATE(Marzo!CalendarioAño,1,5),1),"ddd")</f>
        <v>lun</v>
      </c>
      <c r="S113" s="16" t="str">
        <f>TEXT(WEEKDAY(DATE(Marzo!CalendarioAño,1,6),1),"ddd")</f>
        <v>mar</v>
      </c>
      <c r="T113" s="16" t="str">
        <f>TEXT(WEEKDAY(DATE(Marzo!CalendarioAño,1,7),1),"ddd")</f>
        <v>mié</v>
      </c>
      <c r="U113" s="16" t="str">
        <f>TEXT(WEEKDAY(DATE(Marzo!CalendarioAño,1,8),1),"ddd")</f>
        <v>jue</v>
      </c>
      <c r="V113" s="16" t="str">
        <f>TEXT(WEEKDAY(DATE(Marzo!CalendarioAño,1,9),1),"ddd")</f>
        <v>vie</v>
      </c>
      <c r="W113" s="16" t="str">
        <f>TEXT(WEEKDAY(DATE(Marzo!CalendarioAño,1,10),1),"ddd")</f>
        <v>sáb</v>
      </c>
      <c r="X113" s="16" t="str">
        <f>TEXT(WEEKDAY(DATE(Marzo!CalendarioAño,1,4),1),"ddd")</f>
        <v>dom</v>
      </c>
      <c r="Y113" s="16" t="str">
        <f>TEXT(WEEKDAY(DATE(Marzo!CalendarioAño,1,5),1),"ddd")</f>
        <v>lun</v>
      </c>
      <c r="Z113" s="16" t="str">
        <f>TEXT(WEEKDAY(DATE(Marzo!CalendarioAño,1,6),1),"ddd")</f>
        <v>mar</v>
      </c>
      <c r="AA113" s="16" t="str">
        <f>TEXT(WEEKDAY(DATE(Marzo!CalendarioAño,1,7),1),"ddd")</f>
        <v>mié</v>
      </c>
      <c r="AB113" s="16" t="str">
        <f>TEXT(WEEKDAY(DATE(Marzo!CalendarioAño,1,8),1),"ddd")</f>
        <v>jue</v>
      </c>
      <c r="AC113" s="16" t="str">
        <f>TEXT(WEEKDAY(DATE(Marzo!CalendarioAño,1,9),1),"ddd")</f>
        <v>vie</v>
      </c>
      <c r="AD113" s="16" t="str">
        <f>TEXT(WEEKDAY(DATE(Marzo!CalendarioAño,1,10),1),"ddd")</f>
        <v>sáb</v>
      </c>
      <c r="AE113" s="16" t="str">
        <f>TEXT(WEEKDAY(DATE(Marzo!CalendarioAño,1,4),1),"ddd")</f>
        <v>dom</v>
      </c>
      <c r="AF113" s="16" t="str">
        <f>TEXT(WEEKDAY(DATE(Marzo!CalendarioAño,1,5),1),"ddd")</f>
        <v>lun</v>
      </c>
      <c r="AG113" s="16" t="str">
        <f>TEXT(WEEKDAY(DATE(Marzo!CalendarioAño,1,6),1),"ddd")</f>
        <v>mar</v>
      </c>
      <c r="AH113" s="30"/>
    </row>
    <row r="114" ht="30.0" customHeight="1">
      <c r="A114" s="17"/>
      <c r="B114" s="31" t="s">
        <v>14</v>
      </c>
      <c r="C114" s="70">
        <v>1.0</v>
      </c>
      <c r="D114" s="70">
        <v>2.0</v>
      </c>
      <c r="E114" s="70">
        <v>3.0</v>
      </c>
      <c r="F114" s="70">
        <v>4.0</v>
      </c>
      <c r="G114" s="70">
        <v>5.0</v>
      </c>
      <c r="H114" s="70">
        <v>6.0</v>
      </c>
      <c r="I114" s="70">
        <v>7.0</v>
      </c>
      <c r="J114" s="70">
        <v>8.0</v>
      </c>
      <c r="K114" s="70">
        <v>9.0</v>
      </c>
      <c r="L114" s="70">
        <v>10.0</v>
      </c>
      <c r="M114" s="70">
        <v>11.0</v>
      </c>
      <c r="N114" s="70">
        <v>12.0</v>
      </c>
      <c r="O114" s="70">
        <v>13.0</v>
      </c>
      <c r="P114" s="70">
        <v>14.0</v>
      </c>
      <c r="Q114" s="70">
        <v>15.0</v>
      </c>
      <c r="R114" s="70">
        <v>16.0</v>
      </c>
      <c r="S114" s="70">
        <v>17.0</v>
      </c>
      <c r="T114" s="70">
        <v>18.0</v>
      </c>
      <c r="U114" s="70">
        <v>19.0</v>
      </c>
      <c r="V114" s="70">
        <v>20.0</v>
      </c>
      <c r="W114" s="70">
        <v>21.0</v>
      </c>
      <c r="X114" s="70">
        <v>22.0</v>
      </c>
      <c r="Y114" s="70">
        <v>23.0</v>
      </c>
      <c r="Z114" s="70">
        <v>24.0</v>
      </c>
      <c r="AA114" s="70">
        <v>25.0</v>
      </c>
      <c r="AB114" s="70">
        <v>26.0</v>
      </c>
      <c r="AC114" s="70">
        <v>27.0</v>
      </c>
      <c r="AD114" s="70">
        <v>28.0</v>
      </c>
      <c r="AE114" s="70">
        <v>29.0</v>
      </c>
      <c r="AF114" s="70">
        <v>30.0</v>
      </c>
      <c r="AG114" s="70">
        <v>31.0</v>
      </c>
      <c r="AH114" s="19" t="s">
        <v>46</v>
      </c>
    </row>
    <row r="115" ht="30.0" customHeight="1">
      <c r="B115" s="32" t="s">
        <v>119</v>
      </c>
      <c r="C115" s="61"/>
      <c r="D115" s="61"/>
      <c r="E115" s="61"/>
      <c r="F115" s="10" t="s">
        <v>6</v>
      </c>
      <c r="G115" s="61"/>
      <c r="H115" s="61"/>
      <c r="I115" s="61"/>
      <c r="J115" s="61"/>
      <c r="K115" s="10" t="s">
        <v>6</v>
      </c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33"/>
      <c r="AE115" s="21"/>
      <c r="AF115" s="21"/>
      <c r="AG115" s="21"/>
      <c r="AH115" s="23"/>
    </row>
    <row r="116" ht="30.0" customHeight="1">
      <c r="B116" s="32" t="s">
        <v>120</v>
      </c>
      <c r="C116" s="36"/>
      <c r="D116" s="36"/>
      <c r="E116" s="10" t="s">
        <v>6</v>
      </c>
      <c r="F116" s="36"/>
      <c r="G116" s="10" t="s">
        <v>6</v>
      </c>
      <c r="H116" s="36"/>
      <c r="I116" s="36"/>
      <c r="J116" s="36"/>
      <c r="K116" s="10" t="s">
        <v>6</v>
      </c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21"/>
      <c r="AE116" s="21"/>
      <c r="AF116" s="33"/>
      <c r="AG116" s="21"/>
      <c r="AH116" s="23"/>
    </row>
    <row r="117" ht="30.0" customHeight="1">
      <c r="B117" s="32" t="s">
        <v>121</v>
      </c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10" t="s">
        <v>6</v>
      </c>
      <c r="U117" s="36"/>
      <c r="V117" s="36"/>
      <c r="W117" s="36"/>
      <c r="X117" s="36"/>
      <c r="Y117" s="36"/>
      <c r="Z117" s="36"/>
      <c r="AA117" s="36"/>
      <c r="AB117" s="36"/>
      <c r="AC117" s="36"/>
      <c r="AD117" s="21"/>
      <c r="AE117" s="21"/>
      <c r="AF117" s="33"/>
      <c r="AG117" s="21"/>
      <c r="AH117" s="23"/>
    </row>
    <row r="118" ht="30.0" customHeight="1">
      <c r="B118" s="32" t="s">
        <v>122</v>
      </c>
      <c r="C118" s="61"/>
      <c r="D118" s="61"/>
      <c r="E118" s="10" t="s">
        <v>6</v>
      </c>
      <c r="F118" s="10" t="s">
        <v>6</v>
      </c>
      <c r="G118" s="61"/>
      <c r="H118" s="10" t="s">
        <v>6</v>
      </c>
      <c r="I118" s="61"/>
      <c r="J118" s="61"/>
      <c r="K118" s="10" t="s">
        <v>6</v>
      </c>
      <c r="L118" s="61"/>
      <c r="M118" s="61"/>
      <c r="N118" s="61"/>
      <c r="O118" s="61"/>
      <c r="P118" s="61"/>
      <c r="Q118" s="61"/>
      <c r="R118" s="10" t="s">
        <v>6</v>
      </c>
      <c r="S118" s="10" t="s">
        <v>6</v>
      </c>
      <c r="T118" s="10" t="s">
        <v>6</v>
      </c>
      <c r="U118" s="61"/>
      <c r="V118" s="10" t="s">
        <v>6</v>
      </c>
      <c r="W118" s="61"/>
      <c r="X118" s="61"/>
      <c r="Y118" s="10" t="s">
        <v>6</v>
      </c>
      <c r="Z118" s="10" t="s">
        <v>6</v>
      </c>
      <c r="AA118" s="10" t="s">
        <v>6</v>
      </c>
      <c r="AB118" s="61"/>
      <c r="AC118" s="61"/>
      <c r="AD118" s="21"/>
      <c r="AE118" s="33"/>
      <c r="AF118" s="10" t="s">
        <v>6</v>
      </c>
      <c r="AG118" s="33"/>
      <c r="AH118" s="23"/>
    </row>
    <row r="119" ht="30.0" customHeight="1">
      <c r="B119" s="32" t="s">
        <v>123</v>
      </c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3"/>
      <c r="AE119" s="21"/>
      <c r="AF119" s="33"/>
      <c r="AG119" s="33"/>
      <c r="AH119" s="23"/>
    </row>
    <row r="120" ht="30.0" customHeight="1">
      <c r="B120" s="32" t="s">
        <v>124</v>
      </c>
      <c r="C120" s="61"/>
      <c r="D120" s="61"/>
      <c r="E120" s="10" t="s">
        <v>6</v>
      </c>
      <c r="F120" s="61"/>
      <c r="G120" s="10" t="s">
        <v>6</v>
      </c>
      <c r="H120" s="61"/>
      <c r="I120" s="61"/>
      <c r="J120" s="61"/>
      <c r="K120" s="61"/>
      <c r="L120" s="61"/>
      <c r="M120" s="61"/>
      <c r="N120" s="61"/>
      <c r="O120" s="10" t="s">
        <v>6</v>
      </c>
      <c r="P120" s="61"/>
      <c r="Q120" s="61"/>
      <c r="R120" s="61"/>
      <c r="S120" s="10" t="s">
        <v>6</v>
      </c>
      <c r="T120" s="61"/>
      <c r="U120" s="10" t="s">
        <v>6</v>
      </c>
      <c r="V120" s="61"/>
      <c r="W120" s="61"/>
      <c r="X120" s="61"/>
      <c r="Y120" s="61"/>
      <c r="Z120" s="10" t="s">
        <v>6</v>
      </c>
      <c r="AA120" s="61"/>
      <c r="AB120" s="10" t="s">
        <v>6</v>
      </c>
      <c r="AC120" s="61"/>
      <c r="AD120" s="21"/>
      <c r="AE120" s="21"/>
      <c r="AF120" s="33"/>
      <c r="AG120" s="21"/>
      <c r="AH120" s="23"/>
    </row>
    <row r="121" ht="30.0" customHeight="1">
      <c r="B121" s="32" t="s">
        <v>201</v>
      </c>
      <c r="C121" s="61"/>
      <c r="D121" s="61"/>
      <c r="E121" s="10" t="s">
        <v>6</v>
      </c>
      <c r="F121" s="61"/>
      <c r="G121" s="10" t="s">
        <v>6</v>
      </c>
      <c r="H121" s="61"/>
      <c r="I121" s="61"/>
      <c r="J121" s="61"/>
      <c r="K121" s="61"/>
      <c r="L121" s="10" t="s">
        <v>6</v>
      </c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33"/>
      <c r="AE121" s="21"/>
      <c r="AF121" s="33"/>
      <c r="AG121" s="21"/>
      <c r="AH121" s="23"/>
    </row>
    <row r="122" ht="30.0" customHeight="1">
      <c r="B122" s="32" t="s">
        <v>126</v>
      </c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21"/>
      <c r="AE122" s="21"/>
      <c r="AF122" s="33"/>
      <c r="AG122" s="21"/>
      <c r="AH122" s="23"/>
    </row>
    <row r="123" ht="30.0" customHeight="1">
      <c r="B123" s="32" t="s">
        <v>127</v>
      </c>
      <c r="C123" s="36"/>
      <c r="D123" s="36"/>
      <c r="E123" s="10" t="s">
        <v>6</v>
      </c>
      <c r="F123" s="10" t="s">
        <v>6</v>
      </c>
      <c r="G123" s="10" t="s">
        <v>6</v>
      </c>
      <c r="H123" s="36"/>
      <c r="I123" s="36"/>
      <c r="J123" s="36"/>
      <c r="K123" s="36"/>
      <c r="L123" s="36"/>
      <c r="M123" s="36"/>
      <c r="N123" s="36"/>
      <c r="O123" s="10" t="s">
        <v>6</v>
      </c>
      <c r="P123" s="36"/>
      <c r="Q123" s="36"/>
      <c r="R123" s="36"/>
      <c r="S123" s="10" t="s">
        <v>6</v>
      </c>
      <c r="T123" s="10" t="s">
        <v>6</v>
      </c>
      <c r="U123" s="10" t="s">
        <v>6</v>
      </c>
      <c r="V123" s="36"/>
      <c r="W123" s="36"/>
      <c r="X123" s="36"/>
      <c r="Y123" s="36"/>
      <c r="Z123" s="10" t="s">
        <v>6</v>
      </c>
      <c r="AA123" s="36"/>
      <c r="AB123" s="36"/>
      <c r="AC123" s="36"/>
      <c r="AD123" s="21"/>
      <c r="AE123" s="21"/>
      <c r="AF123" s="21"/>
      <c r="AG123" s="10" t="s">
        <v>6</v>
      </c>
      <c r="AH123" s="23"/>
    </row>
    <row r="124" ht="30.0" customHeight="1">
      <c r="A124" s="50"/>
      <c r="B124" s="51" t="s">
        <v>128</v>
      </c>
      <c r="C124" s="61"/>
      <c r="D124" s="61"/>
      <c r="E124" s="10" t="s">
        <v>6</v>
      </c>
      <c r="F124" s="61"/>
      <c r="G124" s="10" t="s">
        <v>6</v>
      </c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21"/>
      <c r="AE124" s="36"/>
      <c r="AF124" s="36"/>
      <c r="AG124" s="10" t="s">
        <v>6</v>
      </c>
      <c r="AH124" s="23"/>
    </row>
    <row r="125" ht="30.0" customHeight="1">
      <c r="A125" s="50"/>
      <c r="B125" s="51" t="s">
        <v>129</v>
      </c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10" t="s">
        <v>6</v>
      </c>
      <c r="Q125" s="36"/>
      <c r="R125" s="36"/>
      <c r="S125" s="36"/>
      <c r="T125" s="36"/>
      <c r="U125" s="36"/>
      <c r="V125" s="36"/>
      <c r="W125" s="10" t="s">
        <v>6</v>
      </c>
      <c r="X125" s="36"/>
      <c r="Y125" s="36"/>
      <c r="Z125" s="36"/>
      <c r="AA125" s="36"/>
      <c r="AB125" s="36"/>
      <c r="AC125" s="36"/>
      <c r="AD125" s="10" t="s">
        <v>6</v>
      </c>
      <c r="AE125" s="36"/>
      <c r="AF125" s="36"/>
      <c r="AG125" s="36"/>
      <c r="AH125" s="23"/>
    </row>
    <row r="126" ht="30.0" customHeight="1">
      <c r="A126" s="50"/>
      <c r="B126" s="51" t="s">
        <v>130</v>
      </c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21"/>
      <c r="AE126" s="36"/>
      <c r="AF126" s="36"/>
      <c r="AG126" s="36"/>
      <c r="AH126" s="23"/>
    </row>
    <row r="127" ht="30.0" customHeight="1">
      <c r="A127" s="50"/>
      <c r="B127" s="51" t="s">
        <v>131</v>
      </c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33"/>
      <c r="AE127" s="36"/>
      <c r="AF127" s="36"/>
      <c r="AG127" s="36"/>
      <c r="AH127" s="23"/>
    </row>
    <row r="128" ht="30.0" customHeight="1">
      <c r="A128" s="50"/>
      <c r="B128" s="51" t="s">
        <v>132</v>
      </c>
      <c r="C128" s="61"/>
      <c r="D128" s="61"/>
      <c r="E128" s="10" t="s">
        <v>6</v>
      </c>
      <c r="F128" s="61"/>
      <c r="G128" s="10" t="s">
        <v>6</v>
      </c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33"/>
      <c r="AE128" s="36"/>
      <c r="AF128" s="33"/>
      <c r="AG128" s="36"/>
      <c r="AH128" s="23"/>
    </row>
    <row r="129" ht="30.0" customHeight="1">
      <c r="A129" s="50"/>
      <c r="B129" s="51" t="s">
        <v>133</v>
      </c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21"/>
      <c r="AE129" s="36"/>
      <c r="AF129" s="36"/>
      <c r="AG129" s="36"/>
      <c r="AH129" s="23"/>
    </row>
    <row r="130" ht="30.0" customHeight="1">
      <c r="A130" s="50"/>
      <c r="B130" s="51" t="s">
        <v>134</v>
      </c>
      <c r="C130" s="36"/>
      <c r="D130" s="36"/>
      <c r="E130" s="36"/>
      <c r="F130" s="10" t="s">
        <v>6</v>
      </c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10" t="s">
        <v>6</v>
      </c>
      <c r="S130" s="10" t="s">
        <v>6</v>
      </c>
      <c r="T130" s="36"/>
      <c r="U130" s="36"/>
      <c r="V130" s="36"/>
      <c r="W130" s="36"/>
      <c r="X130" s="36"/>
      <c r="Y130" s="36"/>
      <c r="Z130" s="36"/>
      <c r="AA130" s="36"/>
      <c r="AB130" s="10" t="s">
        <v>6</v>
      </c>
      <c r="AC130" s="36"/>
      <c r="AD130" s="21"/>
      <c r="AE130" s="36"/>
      <c r="AF130" s="10" t="s">
        <v>6</v>
      </c>
      <c r="AG130" s="36"/>
      <c r="AH130" s="23"/>
    </row>
    <row r="131" ht="30.0" customHeight="1">
      <c r="A131" s="50"/>
      <c r="B131" s="51" t="s">
        <v>135</v>
      </c>
      <c r="C131" s="61"/>
      <c r="D131" s="61"/>
      <c r="E131" s="61"/>
      <c r="F131" s="61"/>
      <c r="G131" s="10" t="s">
        <v>6</v>
      </c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10" t="s">
        <v>6</v>
      </c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21"/>
      <c r="AE131" s="36"/>
      <c r="AF131" s="10" t="s">
        <v>6</v>
      </c>
      <c r="AG131" s="36"/>
      <c r="AH131" s="23"/>
    </row>
    <row r="132" ht="30.0" customHeight="1">
      <c r="A132" s="50"/>
      <c r="B132" s="51" t="s">
        <v>136</v>
      </c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3"/>
      <c r="AE132" s="36"/>
      <c r="AF132" s="36"/>
      <c r="AG132" s="36"/>
      <c r="AH132" s="23"/>
    </row>
    <row r="133" ht="30.0" customHeight="1">
      <c r="A133" s="50"/>
      <c r="B133" s="51" t="s">
        <v>137</v>
      </c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21"/>
      <c r="AE133" s="36"/>
      <c r="AF133" s="33"/>
      <c r="AG133" s="36"/>
      <c r="AH133" s="23"/>
    </row>
    <row r="134" ht="30.0" customHeight="1">
      <c r="A134" s="50"/>
      <c r="B134" s="51" t="s">
        <v>203</v>
      </c>
      <c r="C134" s="36"/>
      <c r="D134" s="36"/>
      <c r="E134" s="10" t="s">
        <v>6</v>
      </c>
      <c r="F134" s="36"/>
      <c r="G134" s="10" t="s">
        <v>6</v>
      </c>
      <c r="H134" s="36"/>
      <c r="I134" s="36"/>
      <c r="J134" s="36"/>
      <c r="K134" s="52"/>
      <c r="L134" s="43"/>
      <c r="M134" s="43"/>
      <c r="N134" s="36"/>
      <c r="O134" s="43"/>
      <c r="P134" s="43"/>
      <c r="Q134" s="36"/>
      <c r="R134" s="36"/>
      <c r="S134" s="10" t="s">
        <v>6</v>
      </c>
      <c r="T134" s="43"/>
      <c r="U134" s="10" t="s">
        <v>6</v>
      </c>
      <c r="V134" s="36"/>
      <c r="W134" s="36"/>
      <c r="X134" s="36"/>
      <c r="Y134" s="36"/>
      <c r="Z134" s="10" t="s">
        <v>6</v>
      </c>
      <c r="AA134" s="43"/>
      <c r="AB134" s="10" t="s">
        <v>6</v>
      </c>
      <c r="AC134" s="36"/>
      <c r="AD134" s="36"/>
      <c r="AE134" s="36"/>
      <c r="AF134" s="33"/>
      <c r="AG134" s="36"/>
      <c r="AH134" s="23"/>
    </row>
    <row r="135" ht="30.0" customHeight="1">
      <c r="A135" s="50"/>
      <c r="B135" s="51" t="s">
        <v>200</v>
      </c>
      <c r="C135" s="36"/>
      <c r="D135" s="36"/>
      <c r="E135" s="36"/>
      <c r="F135" s="10" t="s">
        <v>6</v>
      </c>
      <c r="G135" s="36"/>
      <c r="H135" s="10" t="s">
        <v>6</v>
      </c>
      <c r="I135" s="36"/>
      <c r="J135" s="36"/>
      <c r="K135" s="52"/>
      <c r="L135" s="43"/>
      <c r="M135" s="43"/>
      <c r="N135" s="36"/>
      <c r="O135" s="10" t="s">
        <v>6</v>
      </c>
      <c r="P135" s="43"/>
      <c r="Q135" s="36"/>
      <c r="R135" s="10" t="s">
        <v>6</v>
      </c>
      <c r="S135" s="36"/>
      <c r="T135" s="43"/>
      <c r="U135" s="36"/>
      <c r="V135" s="36"/>
      <c r="W135" s="36"/>
      <c r="X135" s="36"/>
      <c r="Y135" s="10" t="s">
        <v>6</v>
      </c>
      <c r="Z135" s="36"/>
      <c r="AA135" s="43"/>
      <c r="AB135" s="36"/>
      <c r="AC135" s="36"/>
      <c r="AD135" s="36"/>
      <c r="AE135" s="36"/>
      <c r="AF135" s="10" t="s">
        <v>6</v>
      </c>
      <c r="AG135" s="36"/>
      <c r="AH135" s="23"/>
    </row>
    <row r="136" ht="30.0" customHeight="1">
      <c r="A136" s="50"/>
      <c r="B136" s="51" t="s">
        <v>139</v>
      </c>
      <c r="C136" s="36"/>
      <c r="D136" s="36"/>
      <c r="E136" s="36"/>
      <c r="F136" s="36"/>
      <c r="G136" s="36"/>
      <c r="H136" s="36"/>
      <c r="I136" s="36"/>
      <c r="J136" s="36"/>
      <c r="K136" s="10" t="s">
        <v>6</v>
      </c>
      <c r="L136" s="43"/>
      <c r="M136" s="43"/>
      <c r="N136" s="36"/>
      <c r="O136" s="43"/>
      <c r="P136" s="10" t="s">
        <v>6</v>
      </c>
      <c r="Q136" s="36"/>
      <c r="R136" s="10" t="s">
        <v>6</v>
      </c>
      <c r="S136" s="36"/>
      <c r="T136" s="10" t="s">
        <v>6</v>
      </c>
      <c r="U136" s="36"/>
      <c r="V136" s="36"/>
      <c r="W136" s="36"/>
      <c r="X136" s="36"/>
      <c r="Y136" s="10" t="s">
        <v>6</v>
      </c>
      <c r="Z136" s="36"/>
      <c r="AA136" s="10" t="s">
        <v>6</v>
      </c>
      <c r="AB136" s="36"/>
      <c r="AC136" s="36"/>
      <c r="AD136" s="36"/>
      <c r="AE136" s="36"/>
      <c r="AF136" s="10" t="s">
        <v>6</v>
      </c>
      <c r="AG136" s="36"/>
      <c r="AH136" s="23"/>
    </row>
    <row r="137" ht="30.0" customHeight="1">
      <c r="A137" s="50"/>
      <c r="B137" s="51" t="s">
        <v>105</v>
      </c>
      <c r="C137" s="36"/>
      <c r="D137" s="36"/>
      <c r="E137" s="36"/>
      <c r="F137" s="36"/>
      <c r="G137" s="36"/>
      <c r="H137" s="36"/>
      <c r="I137" s="36"/>
      <c r="J137" s="36"/>
      <c r="K137" s="52"/>
      <c r="L137" s="43"/>
      <c r="M137" s="43"/>
      <c r="N137" s="36"/>
      <c r="O137" s="10" t="s">
        <v>6</v>
      </c>
      <c r="P137" s="43"/>
      <c r="Q137" s="36"/>
      <c r="R137" s="36"/>
      <c r="S137" s="36"/>
      <c r="T137" s="43"/>
      <c r="U137" s="36"/>
      <c r="V137" s="36"/>
      <c r="W137" s="36"/>
      <c r="X137" s="36"/>
      <c r="Y137" s="36"/>
      <c r="Z137" s="36"/>
      <c r="AA137" s="43"/>
      <c r="AB137" s="36"/>
      <c r="AC137" s="36"/>
      <c r="AD137" s="36"/>
      <c r="AE137" s="36"/>
      <c r="AF137" s="33"/>
      <c r="AG137" s="36"/>
      <c r="AH137" s="23"/>
    </row>
    <row r="138" ht="30.0" customHeight="1">
      <c r="A138" s="50"/>
      <c r="B138" s="51" t="s">
        <v>117</v>
      </c>
      <c r="C138" s="36"/>
      <c r="D138" s="36"/>
      <c r="E138" s="36"/>
      <c r="F138" s="36"/>
      <c r="G138" s="36"/>
      <c r="H138" s="36"/>
      <c r="I138" s="36"/>
      <c r="J138" s="36"/>
      <c r="K138" s="52"/>
      <c r="L138" s="43"/>
      <c r="M138" s="43"/>
      <c r="N138" s="36"/>
      <c r="O138" s="43"/>
      <c r="P138" s="10" t="s">
        <v>6</v>
      </c>
      <c r="Q138" s="36"/>
      <c r="R138" s="36"/>
      <c r="S138" s="36"/>
      <c r="T138" s="43"/>
      <c r="U138" s="36"/>
      <c r="V138" s="36"/>
      <c r="W138" s="36"/>
      <c r="X138" s="36"/>
      <c r="Y138" s="36"/>
      <c r="Z138" s="36"/>
      <c r="AA138" s="43"/>
      <c r="AB138" s="36"/>
      <c r="AC138" s="36"/>
      <c r="AD138" s="10" t="s">
        <v>6</v>
      </c>
      <c r="AE138" s="36"/>
      <c r="AF138" s="33"/>
      <c r="AG138" s="36"/>
      <c r="AH138" s="23"/>
    </row>
    <row r="139" ht="30.0" customHeight="1">
      <c r="A139" s="50"/>
      <c r="B139" s="51"/>
      <c r="C139" s="36"/>
      <c r="D139" s="36"/>
      <c r="E139" s="36"/>
      <c r="F139" s="36"/>
      <c r="G139" s="36"/>
      <c r="H139" s="36"/>
      <c r="I139" s="36"/>
      <c r="J139" s="36"/>
      <c r="K139" s="52"/>
      <c r="L139" s="43"/>
      <c r="M139" s="43"/>
      <c r="N139" s="36"/>
      <c r="O139" s="43"/>
      <c r="P139" s="43"/>
      <c r="Q139" s="36"/>
      <c r="R139" s="36"/>
      <c r="S139" s="36"/>
      <c r="T139" s="43"/>
      <c r="U139" s="36"/>
      <c r="V139" s="36"/>
      <c r="W139" s="36"/>
      <c r="X139" s="36"/>
      <c r="Y139" s="36"/>
      <c r="Z139" s="36"/>
      <c r="AA139" s="43"/>
      <c r="AB139" s="36"/>
      <c r="AC139" s="36"/>
      <c r="AD139" s="36"/>
      <c r="AE139" s="36"/>
      <c r="AF139" s="33"/>
      <c r="AG139" s="36"/>
      <c r="AH139" s="23"/>
    </row>
    <row r="140" ht="30.0" customHeight="1">
      <c r="A140" s="50"/>
      <c r="B140" s="51"/>
      <c r="C140" s="36"/>
      <c r="D140" s="36"/>
      <c r="E140" s="36"/>
      <c r="F140" s="36"/>
      <c r="G140" s="36"/>
      <c r="H140" s="36"/>
      <c r="I140" s="36"/>
      <c r="J140" s="36"/>
      <c r="K140" s="52"/>
      <c r="L140" s="43"/>
      <c r="M140" s="43"/>
      <c r="N140" s="36"/>
      <c r="O140" s="43"/>
      <c r="P140" s="43"/>
      <c r="Q140" s="36"/>
      <c r="R140" s="36"/>
      <c r="S140" s="36"/>
      <c r="T140" s="43"/>
      <c r="U140" s="36"/>
      <c r="V140" s="36"/>
      <c r="W140" s="36"/>
      <c r="X140" s="36"/>
      <c r="Y140" s="36"/>
      <c r="Z140" s="36"/>
      <c r="AA140" s="43"/>
      <c r="AB140" s="36"/>
      <c r="AC140" s="36"/>
      <c r="AD140" s="36"/>
      <c r="AE140" s="36"/>
      <c r="AF140" s="33"/>
      <c r="AG140" s="36"/>
      <c r="AH140" s="23"/>
    </row>
    <row r="141" ht="30.0" customHeight="1">
      <c r="B141" s="48" t="str">
        <f>Marzo!MonthName&amp;" Total"</f>
        <v>Marzo Total</v>
      </c>
      <c r="C141" s="25">
        <f>SUBTOTAL(103,Marzo!$C$7)</f>
        <v>0</v>
      </c>
      <c r="D141" s="25">
        <f>SUBTOTAL(103,Marzo!$D$7)</f>
        <v>0</v>
      </c>
      <c r="E141" s="25">
        <f>SUBTOTAL(103,Marzo!$E$7)</f>
        <v>0</v>
      </c>
      <c r="F141" s="25"/>
      <c r="G141" s="25"/>
      <c r="H141" s="25">
        <f>SUBTOTAL(103,Marzo!$H$7)</f>
        <v>0</v>
      </c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</row>
    <row r="142" ht="30.0" customHeight="1">
      <c r="AH142" s="5"/>
    </row>
    <row r="143" ht="30.0" customHeight="1">
      <c r="B143" s="15" t="s">
        <v>291</v>
      </c>
      <c r="C143" s="27" t="s">
        <v>140</v>
      </c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39">
        <v>2026.0</v>
      </c>
    </row>
    <row r="144" ht="30.0" customHeight="1">
      <c r="B144" s="30"/>
      <c r="C144" s="16" t="str">
        <f>TEXT(WEEKDAY(DATE(Marzo!CalendarioAño,1,4),1),"ddd")</f>
        <v>dom</v>
      </c>
      <c r="D144" s="16" t="str">
        <f>TEXT(WEEKDAY(DATE(Marzo!CalendarioAño,1,5),1),"ddd")</f>
        <v>lun</v>
      </c>
      <c r="E144" s="16" t="str">
        <f>TEXT(WEEKDAY(DATE(Marzo!CalendarioAño,1,6),1),"ddd")</f>
        <v>mar</v>
      </c>
      <c r="F144" s="16" t="str">
        <f>TEXT(WEEKDAY(DATE(Marzo!CalendarioAño,1,7),1),"ddd")</f>
        <v>mié</v>
      </c>
      <c r="G144" s="16" t="str">
        <f>TEXT(WEEKDAY(DATE(Marzo!CalendarioAño,1,8),1),"ddd")</f>
        <v>jue</v>
      </c>
      <c r="H144" s="16" t="str">
        <f>TEXT(WEEKDAY(DATE(Marzo!CalendarioAño,1,9),1),"ddd")</f>
        <v>vie</v>
      </c>
      <c r="I144" s="16" t="str">
        <f>TEXT(WEEKDAY(DATE(Marzo!CalendarioAño,1,10),1),"ddd")</f>
        <v>sáb</v>
      </c>
      <c r="J144" s="16" t="str">
        <f>TEXT(WEEKDAY(DATE(Marzo!CalendarioAño,1,4),1),"ddd")</f>
        <v>dom</v>
      </c>
      <c r="K144" s="16" t="str">
        <f>TEXT(WEEKDAY(DATE(Marzo!CalendarioAño,1,5),1),"ddd")</f>
        <v>lun</v>
      </c>
      <c r="L144" s="16" t="str">
        <f>TEXT(WEEKDAY(DATE(Marzo!CalendarioAño,1,6),1),"ddd")</f>
        <v>mar</v>
      </c>
      <c r="M144" s="16" t="str">
        <f>TEXT(WEEKDAY(DATE(Marzo!CalendarioAño,1,7),1),"ddd")</f>
        <v>mié</v>
      </c>
      <c r="N144" s="16" t="str">
        <f>TEXT(WEEKDAY(DATE(Marzo!CalendarioAño,1,8),1),"ddd")</f>
        <v>jue</v>
      </c>
      <c r="O144" s="16" t="str">
        <f>TEXT(WEEKDAY(DATE(Marzo!CalendarioAño,1,9),1),"ddd")</f>
        <v>vie</v>
      </c>
      <c r="P144" s="16" t="str">
        <f>TEXT(WEEKDAY(DATE(Marzo!CalendarioAño,1,10),1),"ddd")</f>
        <v>sáb</v>
      </c>
      <c r="Q144" s="16" t="str">
        <f>TEXT(WEEKDAY(DATE(Marzo!CalendarioAño,1,4),1),"ddd")</f>
        <v>dom</v>
      </c>
      <c r="R144" s="16" t="str">
        <f>TEXT(WEEKDAY(DATE(Marzo!CalendarioAño,1,5),1),"ddd")</f>
        <v>lun</v>
      </c>
      <c r="S144" s="16" t="str">
        <f>TEXT(WEEKDAY(DATE(Marzo!CalendarioAño,1,6),1),"ddd")</f>
        <v>mar</v>
      </c>
      <c r="T144" s="16" t="str">
        <f>TEXT(WEEKDAY(DATE(Marzo!CalendarioAño,1,7),1),"ddd")</f>
        <v>mié</v>
      </c>
      <c r="U144" s="16" t="str">
        <f>TEXT(WEEKDAY(DATE(Marzo!CalendarioAño,1,8),1),"ddd")</f>
        <v>jue</v>
      </c>
      <c r="V144" s="16" t="str">
        <f>TEXT(WEEKDAY(DATE(Marzo!CalendarioAño,1,9),1),"ddd")</f>
        <v>vie</v>
      </c>
      <c r="W144" s="16" t="str">
        <f>TEXT(WEEKDAY(DATE(Marzo!CalendarioAño,1,10),1),"ddd")</f>
        <v>sáb</v>
      </c>
      <c r="X144" s="16" t="str">
        <f>TEXT(WEEKDAY(DATE(Marzo!CalendarioAño,1,4),1),"ddd")</f>
        <v>dom</v>
      </c>
      <c r="Y144" s="16" t="str">
        <f>TEXT(WEEKDAY(DATE(Marzo!CalendarioAño,1,5),1),"ddd")</f>
        <v>lun</v>
      </c>
      <c r="Z144" s="16" t="str">
        <f>TEXT(WEEKDAY(DATE(Marzo!CalendarioAño,1,6),1),"ddd")</f>
        <v>mar</v>
      </c>
      <c r="AA144" s="16" t="str">
        <f>TEXT(WEEKDAY(DATE(Marzo!CalendarioAño,1,7),1),"ddd")</f>
        <v>mié</v>
      </c>
      <c r="AB144" s="16" t="str">
        <f>TEXT(WEEKDAY(DATE(Marzo!CalendarioAño,1,8),1),"ddd")</f>
        <v>jue</v>
      </c>
      <c r="AC144" s="16" t="str">
        <f>TEXT(WEEKDAY(DATE(Marzo!CalendarioAño,1,9),1),"ddd")</f>
        <v>vie</v>
      </c>
      <c r="AD144" s="16" t="str">
        <f>TEXT(WEEKDAY(DATE(Marzo!CalendarioAño,1,10),1),"ddd")</f>
        <v>sáb</v>
      </c>
      <c r="AE144" s="16" t="str">
        <f>TEXT(WEEKDAY(DATE(Marzo!CalendarioAño,1,4),1),"ddd")</f>
        <v>dom</v>
      </c>
      <c r="AF144" s="16" t="str">
        <f>TEXT(WEEKDAY(DATE(Marzo!CalendarioAño,1,5),1),"ddd")</f>
        <v>lun</v>
      </c>
      <c r="AG144" s="16" t="str">
        <f>TEXT(WEEKDAY(DATE(Marzo!CalendarioAño,1,6),1),"ddd")</f>
        <v>mar</v>
      </c>
      <c r="AH144" s="30"/>
    </row>
    <row r="145" ht="30.0" customHeight="1">
      <c r="A145" s="17"/>
      <c r="B145" s="31" t="s">
        <v>14</v>
      </c>
      <c r="C145" s="70">
        <v>1.0</v>
      </c>
      <c r="D145" s="70">
        <v>2.0</v>
      </c>
      <c r="E145" s="70">
        <v>3.0</v>
      </c>
      <c r="F145" s="70">
        <v>4.0</v>
      </c>
      <c r="G145" s="70">
        <v>5.0</v>
      </c>
      <c r="H145" s="70">
        <v>6.0</v>
      </c>
      <c r="I145" s="70">
        <v>7.0</v>
      </c>
      <c r="J145" s="70">
        <v>8.0</v>
      </c>
      <c r="K145" s="70">
        <v>9.0</v>
      </c>
      <c r="L145" s="70">
        <v>10.0</v>
      </c>
      <c r="M145" s="70">
        <v>11.0</v>
      </c>
      <c r="N145" s="70">
        <v>12.0</v>
      </c>
      <c r="O145" s="70">
        <v>13.0</v>
      </c>
      <c r="P145" s="70">
        <v>14.0</v>
      </c>
      <c r="Q145" s="70">
        <v>15.0</v>
      </c>
      <c r="R145" s="70">
        <v>16.0</v>
      </c>
      <c r="S145" s="70">
        <v>17.0</v>
      </c>
      <c r="T145" s="70">
        <v>18.0</v>
      </c>
      <c r="U145" s="70">
        <v>19.0</v>
      </c>
      <c r="V145" s="70">
        <v>20.0</v>
      </c>
      <c r="W145" s="70">
        <v>21.0</v>
      </c>
      <c r="X145" s="70">
        <v>22.0</v>
      </c>
      <c r="Y145" s="70">
        <v>23.0</v>
      </c>
      <c r="Z145" s="70">
        <v>24.0</v>
      </c>
      <c r="AA145" s="70">
        <v>25.0</v>
      </c>
      <c r="AB145" s="70">
        <v>26.0</v>
      </c>
      <c r="AC145" s="70">
        <v>27.0</v>
      </c>
      <c r="AD145" s="70">
        <v>28.0</v>
      </c>
      <c r="AE145" s="70">
        <v>29.0</v>
      </c>
      <c r="AF145" s="70">
        <v>30.0</v>
      </c>
      <c r="AG145" s="70">
        <v>31.0</v>
      </c>
      <c r="AH145" s="19" t="s">
        <v>46</v>
      </c>
    </row>
    <row r="146" ht="30.0" customHeight="1">
      <c r="B146" s="40" t="s">
        <v>141</v>
      </c>
      <c r="C146" s="61"/>
      <c r="D146" s="61"/>
      <c r="E146" s="61"/>
      <c r="F146" s="61"/>
      <c r="G146" s="10" t="s">
        <v>6</v>
      </c>
      <c r="H146" s="61"/>
      <c r="I146" s="61"/>
      <c r="J146" s="61"/>
      <c r="K146" s="10" t="s">
        <v>6</v>
      </c>
      <c r="L146" s="61"/>
      <c r="M146" s="61"/>
      <c r="N146" s="61"/>
      <c r="O146" s="61"/>
      <c r="P146" s="61"/>
      <c r="Q146" s="61"/>
      <c r="R146" s="10" t="s">
        <v>6</v>
      </c>
      <c r="S146" s="61"/>
      <c r="T146" s="10" t="s">
        <v>6</v>
      </c>
      <c r="U146" s="61"/>
      <c r="V146" s="61"/>
      <c r="W146" s="61"/>
      <c r="X146" s="61"/>
      <c r="Y146" s="10" t="s">
        <v>6</v>
      </c>
      <c r="Z146" s="61"/>
      <c r="AA146" s="61"/>
      <c r="AB146" s="61"/>
      <c r="AC146" s="61"/>
      <c r="AD146" s="33"/>
      <c r="AE146" s="21"/>
      <c r="AF146" s="33"/>
      <c r="AG146" s="21"/>
      <c r="AH146" s="23"/>
    </row>
    <row r="147" ht="30.0" customHeight="1">
      <c r="B147" s="32" t="s">
        <v>142</v>
      </c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10" t="s">
        <v>6</v>
      </c>
      <c r="AD147" s="21"/>
      <c r="AE147" s="21"/>
      <c r="AF147" s="21"/>
      <c r="AG147" s="21"/>
      <c r="AH147" s="23"/>
    </row>
    <row r="148" ht="30.0" customHeight="1">
      <c r="B148" s="32" t="s">
        <v>143</v>
      </c>
      <c r="C148" s="36"/>
      <c r="D148" s="36"/>
      <c r="E148" s="10" t="s">
        <v>6</v>
      </c>
      <c r="F148" s="36"/>
      <c r="G148" s="10" t="s">
        <v>6</v>
      </c>
      <c r="H148" s="36"/>
      <c r="I148" s="36"/>
      <c r="J148" s="36"/>
      <c r="K148" s="36"/>
      <c r="L148" s="36"/>
      <c r="M148" s="36"/>
      <c r="N148" s="36"/>
      <c r="O148" s="10" t="s">
        <v>6</v>
      </c>
      <c r="P148" s="36"/>
      <c r="Q148" s="36"/>
      <c r="R148" s="36"/>
      <c r="S148" s="10" t="s">
        <v>6</v>
      </c>
      <c r="T148" s="10" t="s">
        <v>6</v>
      </c>
      <c r="U148" s="36"/>
      <c r="V148" s="10" t="s">
        <v>6</v>
      </c>
      <c r="W148" s="36"/>
      <c r="X148" s="36"/>
      <c r="Y148" s="10" t="s">
        <v>6</v>
      </c>
      <c r="Z148" s="36"/>
      <c r="AA148" s="10" t="s">
        <v>6</v>
      </c>
      <c r="AB148" s="36"/>
      <c r="AC148" s="36"/>
      <c r="AD148" s="21"/>
      <c r="AE148" s="21"/>
      <c r="AF148" s="10" t="s">
        <v>6</v>
      </c>
      <c r="AG148" s="33"/>
      <c r="AH148" s="23"/>
    </row>
    <row r="149" ht="30.0" customHeight="1">
      <c r="B149" s="32" t="s">
        <v>144</v>
      </c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21"/>
      <c r="AE149" s="21"/>
      <c r="AF149" s="21"/>
      <c r="AG149" s="33"/>
      <c r="AH149" s="23"/>
    </row>
    <row r="150" ht="30.0" customHeight="1">
      <c r="B150" s="32" t="s">
        <v>145</v>
      </c>
      <c r="C150" s="36"/>
      <c r="D150" s="36"/>
      <c r="E150" s="36"/>
      <c r="F150" s="10" t="s">
        <v>6</v>
      </c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10" t="s">
        <v>6</v>
      </c>
      <c r="T150" s="36"/>
      <c r="U150" s="36"/>
      <c r="V150" s="36"/>
      <c r="W150" s="36"/>
      <c r="X150" s="36"/>
      <c r="Y150" s="36"/>
      <c r="Z150" s="36"/>
      <c r="AA150" s="10" t="s">
        <v>6</v>
      </c>
      <c r="AB150" s="10" t="s">
        <v>6</v>
      </c>
      <c r="AC150" s="36"/>
      <c r="AD150" s="33"/>
      <c r="AE150" s="21"/>
      <c r="AF150" s="33"/>
      <c r="AG150" s="21"/>
      <c r="AH150" s="23"/>
    </row>
    <row r="151" ht="30.0" customHeight="1">
      <c r="B151" s="40" t="s">
        <v>146</v>
      </c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21"/>
      <c r="AE151" s="21"/>
      <c r="AF151" s="33"/>
      <c r="AG151" s="21"/>
      <c r="AH151" s="23"/>
    </row>
    <row r="152" ht="30.0" customHeight="1">
      <c r="B152" s="32" t="s">
        <v>147</v>
      </c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33"/>
      <c r="AE152" s="21"/>
      <c r="AF152" s="21"/>
      <c r="AG152" s="21"/>
      <c r="AH152" s="23"/>
    </row>
    <row r="153" ht="30.0" customHeight="1">
      <c r="B153" s="32" t="s">
        <v>148</v>
      </c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21"/>
      <c r="AE153" s="21"/>
      <c r="AF153" s="33"/>
      <c r="AG153" s="33"/>
      <c r="AH153" s="23"/>
    </row>
    <row r="154" ht="30.0" customHeight="1">
      <c r="B154" s="32" t="s">
        <v>149</v>
      </c>
      <c r="C154" s="36"/>
      <c r="D154" s="36"/>
      <c r="E154" s="10" t="s">
        <v>6</v>
      </c>
      <c r="F154" s="36"/>
      <c r="G154" s="36"/>
      <c r="H154" s="36"/>
      <c r="I154" s="36"/>
      <c r="J154" s="36"/>
      <c r="K154" s="10" t="s">
        <v>6</v>
      </c>
      <c r="L154" s="36"/>
      <c r="M154" s="36"/>
      <c r="N154" s="36"/>
      <c r="O154" s="10" t="s">
        <v>6</v>
      </c>
      <c r="P154" s="36"/>
      <c r="Q154" s="36"/>
      <c r="R154" s="36"/>
      <c r="S154" s="10" t="s">
        <v>6</v>
      </c>
      <c r="T154" s="10" t="s">
        <v>6</v>
      </c>
      <c r="U154" s="36"/>
      <c r="V154" s="36"/>
      <c r="W154" s="36"/>
      <c r="X154" s="36"/>
      <c r="Y154" s="36"/>
      <c r="Z154" s="36"/>
      <c r="AA154" s="10" t="s">
        <v>6</v>
      </c>
      <c r="AB154" s="10" t="s">
        <v>6</v>
      </c>
      <c r="AC154" s="36"/>
      <c r="AD154" s="21"/>
      <c r="AE154" s="21"/>
      <c r="AF154" s="21"/>
      <c r="AG154" s="41" t="s">
        <v>293</v>
      </c>
      <c r="AH154" s="23"/>
    </row>
    <row r="155" ht="30.0" customHeight="1">
      <c r="B155" s="32" t="s">
        <v>150</v>
      </c>
      <c r="C155" s="61"/>
      <c r="D155" s="61"/>
      <c r="E155" s="61"/>
      <c r="F155" s="10" t="s">
        <v>6</v>
      </c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10" t="s">
        <v>6</v>
      </c>
      <c r="U155" s="61"/>
      <c r="V155" s="61"/>
      <c r="W155" s="10" t="s">
        <v>6</v>
      </c>
      <c r="X155" s="61"/>
      <c r="Y155" s="61"/>
      <c r="Z155" s="61"/>
      <c r="AA155" s="10" t="s">
        <v>6</v>
      </c>
      <c r="AB155" s="61"/>
      <c r="AC155" s="10" t="s">
        <v>6</v>
      </c>
      <c r="AD155" s="21"/>
      <c r="AE155" s="21"/>
      <c r="AF155" s="21"/>
      <c r="AG155" s="21"/>
      <c r="AH155" s="23"/>
    </row>
    <row r="156" ht="30.0" customHeight="1">
      <c r="B156" s="32" t="s">
        <v>151</v>
      </c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3"/>
      <c r="AE156" s="21"/>
      <c r="AF156" s="21"/>
      <c r="AG156" s="21"/>
      <c r="AH156" s="23"/>
    </row>
    <row r="157" ht="30.0" customHeight="1">
      <c r="B157" s="32" t="s">
        <v>152</v>
      </c>
      <c r="C157" s="61"/>
      <c r="D157" s="61"/>
      <c r="E157" s="61"/>
      <c r="F157" s="61"/>
      <c r="G157" s="61"/>
      <c r="H157" s="61"/>
      <c r="I157" s="61"/>
      <c r="J157" s="61"/>
      <c r="K157" s="10" t="s">
        <v>6</v>
      </c>
      <c r="L157" s="61"/>
      <c r="M157" s="61"/>
      <c r="N157" s="61"/>
      <c r="O157" s="61"/>
      <c r="P157" s="61"/>
      <c r="Q157" s="61"/>
      <c r="R157" s="61"/>
      <c r="S157" s="10" t="s">
        <v>6</v>
      </c>
      <c r="T157" s="10" t="s">
        <v>6</v>
      </c>
      <c r="U157" s="61"/>
      <c r="V157" s="61"/>
      <c r="W157" s="61"/>
      <c r="X157" s="61"/>
      <c r="Y157" s="10" t="s">
        <v>6</v>
      </c>
      <c r="Z157" s="61"/>
      <c r="AA157" s="61"/>
      <c r="AB157" s="61"/>
      <c r="AC157" s="61"/>
      <c r="AD157" s="21"/>
      <c r="AE157" s="21"/>
      <c r="AF157" s="21"/>
      <c r="AG157" s="21"/>
      <c r="AH157" s="23"/>
    </row>
    <row r="158" ht="30.0" customHeight="1">
      <c r="B158" s="32" t="s">
        <v>153</v>
      </c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10" t="s">
        <v>6</v>
      </c>
      <c r="AC158" s="61"/>
      <c r="AD158" s="33"/>
      <c r="AE158" s="21"/>
      <c r="AF158" s="21"/>
      <c r="AG158" s="21"/>
      <c r="AH158" s="23"/>
    </row>
    <row r="159" ht="30.0" customHeight="1">
      <c r="B159" s="32" t="s">
        <v>105</v>
      </c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33"/>
      <c r="AE159" s="21"/>
      <c r="AF159" s="21"/>
      <c r="AG159" s="21"/>
      <c r="AH159" s="23"/>
    </row>
    <row r="160" ht="30.0" customHeight="1">
      <c r="B160" s="32" t="s">
        <v>154</v>
      </c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21"/>
      <c r="AE160" s="21"/>
      <c r="AF160" s="21"/>
      <c r="AG160" s="21"/>
      <c r="AH160" s="23"/>
    </row>
    <row r="161" ht="30.0" customHeight="1">
      <c r="B161" s="32" t="s">
        <v>155</v>
      </c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10" t="s">
        <v>6</v>
      </c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10" t="s">
        <v>6</v>
      </c>
      <c r="AE161" s="21"/>
      <c r="AF161" s="21"/>
      <c r="AG161" s="21"/>
      <c r="AH161" s="23"/>
    </row>
    <row r="162" ht="30.0" customHeight="1">
      <c r="B162" s="32" t="s">
        <v>156</v>
      </c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21"/>
      <c r="AE162" s="25"/>
      <c r="AF162" s="25"/>
      <c r="AG162" s="25"/>
      <c r="AH162" s="25"/>
    </row>
    <row r="163" ht="30.0" customHeight="1">
      <c r="B163" s="32" t="s">
        <v>157</v>
      </c>
      <c r="C163" s="36"/>
      <c r="D163" s="36"/>
      <c r="E163" s="10" t="s">
        <v>6</v>
      </c>
      <c r="F163" s="36"/>
      <c r="G163" s="36"/>
      <c r="H163" s="10" t="s">
        <v>6</v>
      </c>
      <c r="I163" s="36"/>
      <c r="J163" s="36"/>
      <c r="K163" s="10" t="s">
        <v>6</v>
      </c>
      <c r="L163" s="36"/>
      <c r="M163" s="36"/>
      <c r="N163" s="36"/>
      <c r="O163" s="36"/>
      <c r="P163" s="10" t="s">
        <v>6</v>
      </c>
      <c r="Q163" s="36"/>
      <c r="R163" s="36"/>
      <c r="S163" s="36"/>
      <c r="T163" s="36"/>
      <c r="U163" s="36"/>
      <c r="V163" s="10" t="s">
        <v>6</v>
      </c>
      <c r="W163" s="10" t="s">
        <v>6</v>
      </c>
      <c r="X163" s="36"/>
      <c r="Y163" s="36"/>
      <c r="Z163" s="36"/>
      <c r="AA163" s="36"/>
      <c r="AB163" s="36"/>
      <c r="AC163" s="36"/>
      <c r="AD163" s="10" t="s">
        <v>6</v>
      </c>
      <c r="AE163" s="25"/>
      <c r="AF163" s="25"/>
      <c r="AG163" s="25"/>
      <c r="AH163" s="25"/>
    </row>
    <row r="164" ht="30.0" customHeight="1">
      <c r="B164" s="32" t="s">
        <v>158</v>
      </c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21"/>
      <c r="AE164" s="25"/>
      <c r="AF164" s="25"/>
      <c r="AG164" s="25"/>
      <c r="AH164" s="25"/>
    </row>
    <row r="165" ht="30.0" customHeight="1">
      <c r="B165" s="32" t="s">
        <v>205</v>
      </c>
      <c r="C165" s="25"/>
      <c r="D165" s="25"/>
      <c r="E165" s="10" t="s">
        <v>6</v>
      </c>
      <c r="F165" s="10" t="s">
        <v>6</v>
      </c>
      <c r="G165" s="25"/>
      <c r="H165" s="10" t="s">
        <v>6</v>
      </c>
      <c r="I165" s="25"/>
      <c r="J165" s="25"/>
      <c r="K165" s="25"/>
      <c r="L165" s="25"/>
      <c r="M165" s="25"/>
      <c r="N165" s="25"/>
      <c r="O165" s="25"/>
      <c r="P165" s="25"/>
      <c r="Q165" s="25"/>
      <c r="R165" s="10" t="s">
        <v>6</v>
      </c>
      <c r="S165" s="25"/>
      <c r="T165" s="10" t="s">
        <v>6</v>
      </c>
      <c r="U165" s="25"/>
      <c r="V165" s="25"/>
      <c r="W165" s="25"/>
      <c r="X165" s="25"/>
      <c r="Y165" s="10" t="s">
        <v>6</v>
      </c>
      <c r="Z165" s="25"/>
      <c r="AA165" s="10" t="s">
        <v>6</v>
      </c>
      <c r="AB165" s="25"/>
      <c r="AC165" s="10" t="s">
        <v>6</v>
      </c>
      <c r="AD165" s="25"/>
      <c r="AE165" s="25"/>
      <c r="AF165" s="10" t="s">
        <v>6</v>
      </c>
      <c r="AG165" s="25"/>
      <c r="AH165" s="25"/>
    </row>
    <row r="166" ht="30.0" customHeight="1">
      <c r="B166" s="32" t="s">
        <v>244</v>
      </c>
      <c r="C166" s="25"/>
      <c r="D166" s="25"/>
      <c r="E166" s="25"/>
      <c r="F166" s="10" t="s">
        <v>6</v>
      </c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10" t="s">
        <v>6</v>
      </c>
      <c r="U166" s="25"/>
      <c r="V166" s="25"/>
      <c r="W166" s="25"/>
      <c r="X166" s="25"/>
      <c r="Y166" s="25"/>
      <c r="Z166" s="25"/>
      <c r="AA166" s="10" t="s">
        <v>6</v>
      </c>
      <c r="AB166" s="25"/>
      <c r="AC166" s="25"/>
      <c r="AD166" s="25"/>
      <c r="AE166" s="25"/>
      <c r="AF166" s="25"/>
      <c r="AG166" s="25"/>
      <c r="AH166" s="25"/>
    </row>
    <row r="167" ht="30.0" customHeight="1">
      <c r="B167" s="32" t="s">
        <v>245</v>
      </c>
      <c r="C167" s="25"/>
      <c r="D167" s="25"/>
      <c r="E167" s="25"/>
      <c r="F167" s="10" t="s">
        <v>6</v>
      </c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10" t="s">
        <v>6</v>
      </c>
      <c r="U167" s="25"/>
      <c r="V167" s="25"/>
      <c r="W167" s="25"/>
      <c r="X167" s="25"/>
      <c r="Y167" s="25"/>
      <c r="Z167" s="25"/>
      <c r="AA167" s="10" t="s">
        <v>6</v>
      </c>
      <c r="AB167" s="25"/>
      <c r="AC167" s="25"/>
      <c r="AD167" s="25"/>
      <c r="AE167" s="25"/>
      <c r="AF167" s="25"/>
      <c r="AG167" s="25"/>
      <c r="AH167" s="25"/>
    </row>
    <row r="168" ht="30.0" customHeight="1">
      <c r="B168" s="32" t="s">
        <v>159</v>
      </c>
      <c r="C168" s="25"/>
      <c r="D168" s="25"/>
      <c r="E168" s="25"/>
      <c r="F168" s="10" t="s">
        <v>6</v>
      </c>
      <c r="G168" s="10" t="s">
        <v>6</v>
      </c>
      <c r="H168" s="25"/>
      <c r="I168" s="25"/>
      <c r="J168" s="25"/>
      <c r="K168" s="10" t="s">
        <v>6</v>
      </c>
      <c r="L168" s="25"/>
      <c r="M168" s="25"/>
      <c r="N168" s="25"/>
      <c r="O168" s="25"/>
      <c r="P168" s="25"/>
      <c r="Q168" s="25"/>
      <c r="R168" s="10" t="s">
        <v>6</v>
      </c>
      <c r="S168" s="25"/>
      <c r="T168" s="25"/>
      <c r="U168" s="25"/>
      <c r="V168" s="25"/>
      <c r="W168" s="25"/>
      <c r="X168" s="25"/>
      <c r="Y168" s="10" t="s">
        <v>6</v>
      </c>
      <c r="Z168" s="25"/>
      <c r="AA168" s="25"/>
      <c r="AB168" s="10" t="s">
        <v>6</v>
      </c>
      <c r="AC168" s="25"/>
      <c r="AD168" s="25"/>
      <c r="AE168" s="25"/>
      <c r="AF168" s="10" t="s">
        <v>6</v>
      </c>
      <c r="AG168" s="25"/>
      <c r="AH168" s="25"/>
    </row>
    <row r="169" ht="30.0" customHeight="1">
      <c r="B169" s="32" t="s">
        <v>242</v>
      </c>
      <c r="C169" s="25"/>
      <c r="D169" s="25"/>
      <c r="E169" s="25"/>
      <c r="F169" s="25"/>
      <c r="G169" s="25"/>
      <c r="H169" s="25"/>
      <c r="I169" s="25"/>
      <c r="J169" s="25"/>
      <c r="K169" s="10" t="s">
        <v>6</v>
      </c>
      <c r="L169" s="25"/>
      <c r="M169" s="25"/>
      <c r="N169" s="25"/>
      <c r="O169" s="25"/>
      <c r="P169" s="25"/>
      <c r="Q169" s="25"/>
      <c r="R169" s="10" t="s">
        <v>6</v>
      </c>
      <c r="S169" s="10" t="s">
        <v>6</v>
      </c>
      <c r="T169" s="10" t="s">
        <v>6</v>
      </c>
      <c r="U169" s="10" t="s">
        <v>6</v>
      </c>
      <c r="V169" s="25"/>
      <c r="W169" s="25"/>
      <c r="X169" s="25"/>
      <c r="Y169" s="10" t="s">
        <v>6</v>
      </c>
      <c r="Z169" s="10" t="s">
        <v>6</v>
      </c>
      <c r="AA169" s="10" t="s">
        <v>6</v>
      </c>
      <c r="AB169" s="25"/>
      <c r="AC169" s="25"/>
      <c r="AD169" s="25"/>
      <c r="AE169" s="25"/>
      <c r="AF169" s="10" t="s">
        <v>6</v>
      </c>
      <c r="AG169" s="10" t="s">
        <v>6</v>
      </c>
      <c r="AH169" s="25"/>
    </row>
    <row r="170" ht="30.0" customHeight="1">
      <c r="B170" s="32" t="s">
        <v>274</v>
      </c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10" t="s">
        <v>6</v>
      </c>
      <c r="P170" s="25"/>
      <c r="Q170" s="25"/>
      <c r="R170" s="25"/>
      <c r="S170" s="10" t="s">
        <v>6</v>
      </c>
      <c r="T170" s="10" t="s">
        <v>6</v>
      </c>
      <c r="U170" s="10" t="s">
        <v>6</v>
      </c>
      <c r="V170" s="10" t="s">
        <v>6</v>
      </c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</row>
    <row r="171" ht="30.0" customHeight="1">
      <c r="B171" s="32" t="s">
        <v>130</v>
      </c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10" t="s">
        <v>6</v>
      </c>
      <c r="Q171" s="25"/>
      <c r="R171" s="25"/>
      <c r="S171" s="25"/>
      <c r="T171" s="25"/>
      <c r="U171" s="25"/>
      <c r="V171" s="25"/>
      <c r="W171" s="10" t="s">
        <v>6</v>
      </c>
      <c r="X171" s="25"/>
      <c r="Y171" s="25"/>
      <c r="Z171" s="25"/>
      <c r="AA171" s="25"/>
      <c r="AB171" s="25"/>
      <c r="AC171" s="25"/>
      <c r="AD171" s="10" t="s">
        <v>6</v>
      </c>
      <c r="AE171" s="25"/>
      <c r="AF171" s="25"/>
      <c r="AG171" s="25"/>
      <c r="AH171" s="25"/>
    </row>
    <row r="172" ht="30.0" customHeight="1">
      <c r="B172" s="32" t="s">
        <v>138</v>
      </c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10" t="s">
        <v>6</v>
      </c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</row>
    <row r="173" ht="30.0" customHeight="1">
      <c r="B173" s="32" t="s">
        <v>280</v>
      </c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10" t="s">
        <v>6</v>
      </c>
      <c r="X173" s="25"/>
      <c r="Y173" s="25"/>
      <c r="Z173" s="25"/>
      <c r="AA173" s="25"/>
      <c r="AB173" s="25"/>
      <c r="AC173" s="25"/>
      <c r="AD173" s="10" t="s">
        <v>6</v>
      </c>
      <c r="AE173" s="25"/>
      <c r="AF173" s="25"/>
      <c r="AG173" s="25"/>
      <c r="AH173" s="25"/>
    </row>
    <row r="174" ht="30.0" customHeight="1">
      <c r="B174" s="32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</row>
    <row r="175" ht="30.0" customHeight="1">
      <c r="B175" s="48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</row>
    <row r="176" ht="30.0" customHeight="1">
      <c r="B176" s="48" t="str">
        <f>Marzo!MonthName&amp;" Total"</f>
        <v>Marzo Total</v>
      </c>
      <c r="C176" s="25">
        <f>SUBTOTAL(103,Marzo!$C$7)</f>
        <v>0</v>
      </c>
      <c r="D176" s="25">
        <f>SUBTOTAL(103,Marzo!$D$7)</f>
        <v>0</v>
      </c>
      <c r="E176" s="25">
        <f>SUBTOTAL(103,Marzo!$E$7)</f>
        <v>0</v>
      </c>
      <c r="F176" s="25"/>
      <c r="G176" s="25"/>
      <c r="H176" s="25">
        <f>SUBTOTAL(103,Marzo!$H$7)</f>
        <v>0</v>
      </c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>
        <f>SUBTOTAL(103,Marzo!$AE$7)</f>
        <v>0</v>
      </c>
      <c r="AF176" s="25">
        <f>SUBTOTAL(103,Marzo!$AF$7)</f>
        <v>0</v>
      </c>
      <c r="AG176" s="25">
        <f>SUBTOTAL(103,Marzo!$AG$7)</f>
        <v>0</v>
      </c>
      <c r="AH176" s="25">
        <f>SUM(C176:AG176)</f>
        <v>0</v>
      </c>
    </row>
    <row r="177" ht="30.0" customHeight="1">
      <c r="AH177" s="5"/>
    </row>
    <row r="178" ht="30.0" customHeight="1">
      <c r="B178" s="15" t="s">
        <v>291</v>
      </c>
      <c r="C178" s="27" t="s">
        <v>160</v>
      </c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39">
        <v>2026.0</v>
      </c>
    </row>
    <row r="179" ht="30.0" customHeight="1">
      <c r="B179" s="30"/>
      <c r="C179" s="16" t="str">
        <f>TEXT(WEEKDAY(DATE(Marzo!CalendarioAño,1,4),1),"ddd")</f>
        <v>dom</v>
      </c>
      <c r="D179" s="16" t="str">
        <f>TEXT(WEEKDAY(DATE(Marzo!CalendarioAño,1,5),1),"ddd")</f>
        <v>lun</v>
      </c>
      <c r="E179" s="16" t="str">
        <f>TEXT(WEEKDAY(DATE(Marzo!CalendarioAño,1,6),1),"ddd")</f>
        <v>mar</v>
      </c>
      <c r="F179" s="16" t="str">
        <f>TEXT(WEEKDAY(DATE(Marzo!CalendarioAño,1,7),1),"ddd")</f>
        <v>mié</v>
      </c>
      <c r="G179" s="16" t="str">
        <f>TEXT(WEEKDAY(DATE(Marzo!CalendarioAño,1,8),1),"ddd")</f>
        <v>jue</v>
      </c>
      <c r="H179" s="16" t="str">
        <f>TEXT(WEEKDAY(DATE(Marzo!CalendarioAño,1,9),1),"ddd")</f>
        <v>vie</v>
      </c>
      <c r="I179" s="16" t="str">
        <f>TEXT(WEEKDAY(DATE(Marzo!CalendarioAño,1,10),1),"ddd")</f>
        <v>sáb</v>
      </c>
      <c r="J179" s="16" t="str">
        <f>TEXT(WEEKDAY(DATE(Marzo!CalendarioAño,1,4),1),"ddd")</f>
        <v>dom</v>
      </c>
      <c r="K179" s="16" t="str">
        <f>TEXT(WEEKDAY(DATE(Marzo!CalendarioAño,1,5),1),"ddd")</f>
        <v>lun</v>
      </c>
      <c r="L179" s="16" t="str">
        <f>TEXT(WEEKDAY(DATE(Marzo!CalendarioAño,1,6),1),"ddd")</f>
        <v>mar</v>
      </c>
      <c r="M179" s="16" t="str">
        <f>TEXT(WEEKDAY(DATE(Marzo!CalendarioAño,1,7),1),"ddd")</f>
        <v>mié</v>
      </c>
      <c r="N179" s="16" t="str">
        <f>TEXT(WEEKDAY(DATE(Marzo!CalendarioAño,1,8),1),"ddd")</f>
        <v>jue</v>
      </c>
      <c r="O179" s="16" t="str">
        <f>TEXT(WEEKDAY(DATE(Marzo!CalendarioAño,1,9),1),"ddd")</f>
        <v>vie</v>
      </c>
      <c r="P179" s="16" t="str">
        <f>TEXT(WEEKDAY(DATE(Marzo!CalendarioAño,1,10),1),"ddd")</f>
        <v>sáb</v>
      </c>
      <c r="Q179" s="16" t="str">
        <f>TEXT(WEEKDAY(DATE(Marzo!CalendarioAño,1,4),1),"ddd")</f>
        <v>dom</v>
      </c>
      <c r="R179" s="16" t="str">
        <f>TEXT(WEEKDAY(DATE(Marzo!CalendarioAño,1,5),1),"ddd")</f>
        <v>lun</v>
      </c>
      <c r="S179" s="16" t="str">
        <f>TEXT(WEEKDAY(DATE(Marzo!CalendarioAño,1,6),1),"ddd")</f>
        <v>mar</v>
      </c>
      <c r="T179" s="16" t="str">
        <f>TEXT(WEEKDAY(DATE(Marzo!CalendarioAño,1,7),1),"ddd")</f>
        <v>mié</v>
      </c>
      <c r="U179" s="16" t="str">
        <f>TEXT(WEEKDAY(DATE(Marzo!CalendarioAño,1,8),1),"ddd")</f>
        <v>jue</v>
      </c>
      <c r="V179" s="16" t="str">
        <f>TEXT(WEEKDAY(DATE(Marzo!CalendarioAño,1,9),1),"ddd")</f>
        <v>vie</v>
      </c>
      <c r="W179" s="16" t="str">
        <f>TEXT(WEEKDAY(DATE(Marzo!CalendarioAño,1,10),1),"ddd")</f>
        <v>sáb</v>
      </c>
      <c r="X179" s="16" t="str">
        <f>TEXT(WEEKDAY(DATE(Marzo!CalendarioAño,1,4),1),"ddd")</f>
        <v>dom</v>
      </c>
      <c r="Y179" s="16" t="str">
        <f>TEXT(WEEKDAY(DATE(Marzo!CalendarioAño,1,5),1),"ddd")</f>
        <v>lun</v>
      </c>
      <c r="Z179" s="16" t="str">
        <f>TEXT(WEEKDAY(DATE(Marzo!CalendarioAño,1,6),1),"ddd")</f>
        <v>mar</v>
      </c>
      <c r="AA179" s="16" t="str">
        <f>TEXT(WEEKDAY(DATE(Marzo!CalendarioAño,1,7),1),"ddd")</f>
        <v>mié</v>
      </c>
      <c r="AB179" s="16" t="str">
        <f>TEXT(WEEKDAY(DATE(Marzo!CalendarioAño,1,8),1),"ddd")</f>
        <v>jue</v>
      </c>
      <c r="AC179" s="16" t="str">
        <f>TEXT(WEEKDAY(DATE(Marzo!CalendarioAño,1,9),1),"ddd")</f>
        <v>vie</v>
      </c>
      <c r="AD179" s="16" t="str">
        <f>TEXT(WEEKDAY(DATE(Marzo!CalendarioAño,1,10),1),"ddd")</f>
        <v>sáb</v>
      </c>
      <c r="AE179" s="16" t="str">
        <f>TEXT(WEEKDAY(DATE(Marzo!CalendarioAño,1,4),1),"ddd")</f>
        <v>dom</v>
      </c>
      <c r="AF179" s="16" t="str">
        <f>TEXT(WEEKDAY(DATE(Marzo!CalendarioAño,1,5),1),"ddd")</f>
        <v>lun</v>
      </c>
      <c r="AG179" s="16" t="str">
        <f>TEXT(WEEKDAY(DATE(Marzo!CalendarioAño,1,6),1),"ddd")</f>
        <v>mar</v>
      </c>
      <c r="AH179" s="30"/>
    </row>
    <row r="180" ht="30.0" customHeight="1">
      <c r="A180" s="17"/>
      <c r="B180" s="31" t="s">
        <v>14</v>
      </c>
      <c r="C180" s="70">
        <v>1.0</v>
      </c>
      <c r="D180" s="70">
        <v>2.0</v>
      </c>
      <c r="E180" s="70">
        <v>3.0</v>
      </c>
      <c r="F180" s="70">
        <v>4.0</v>
      </c>
      <c r="G180" s="70">
        <v>5.0</v>
      </c>
      <c r="H180" s="70">
        <v>6.0</v>
      </c>
      <c r="I180" s="70">
        <v>7.0</v>
      </c>
      <c r="J180" s="70">
        <v>8.0</v>
      </c>
      <c r="K180" s="70">
        <v>9.0</v>
      </c>
      <c r="L180" s="70">
        <v>10.0</v>
      </c>
      <c r="M180" s="70">
        <v>11.0</v>
      </c>
      <c r="N180" s="70">
        <v>12.0</v>
      </c>
      <c r="O180" s="70">
        <v>13.0</v>
      </c>
      <c r="P180" s="70">
        <v>14.0</v>
      </c>
      <c r="Q180" s="70">
        <v>15.0</v>
      </c>
      <c r="R180" s="70">
        <v>16.0</v>
      </c>
      <c r="S180" s="70">
        <v>17.0</v>
      </c>
      <c r="T180" s="70">
        <v>18.0</v>
      </c>
      <c r="U180" s="70">
        <v>19.0</v>
      </c>
      <c r="V180" s="70">
        <v>20.0</v>
      </c>
      <c r="W180" s="70">
        <v>21.0</v>
      </c>
      <c r="X180" s="70">
        <v>22.0</v>
      </c>
      <c r="Y180" s="70">
        <v>23.0</v>
      </c>
      <c r="Z180" s="70">
        <v>24.0</v>
      </c>
      <c r="AA180" s="70">
        <v>25.0</v>
      </c>
      <c r="AB180" s="70">
        <v>26.0</v>
      </c>
      <c r="AC180" s="70">
        <v>27.0</v>
      </c>
      <c r="AD180" s="70">
        <v>28.0</v>
      </c>
      <c r="AE180" s="70">
        <v>29.0</v>
      </c>
      <c r="AF180" s="70">
        <v>30.0</v>
      </c>
      <c r="AG180" s="70">
        <v>31.0</v>
      </c>
      <c r="AH180" s="19" t="s">
        <v>46</v>
      </c>
    </row>
    <row r="181" ht="30.0" customHeight="1">
      <c r="B181" s="32" t="s">
        <v>161</v>
      </c>
      <c r="C181" s="61"/>
      <c r="D181" s="61"/>
      <c r="E181" s="61"/>
      <c r="F181" s="10" t="s">
        <v>6</v>
      </c>
      <c r="G181" s="10" t="s">
        <v>6</v>
      </c>
      <c r="H181" s="10" t="s">
        <v>6</v>
      </c>
      <c r="I181" s="61"/>
      <c r="J181" s="61"/>
      <c r="K181" s="10" t="s">
        <v>6</v>
      </c>
      <c r="L181" s="61"/>
      <c r="M181" s="61"/>
      <c r="N181" s="61"/>
      <c r="O181" s="10" t="s">
        <v>6</v>
      </c>
      <c r="P181" s="10" t="s">
        <v>6</v>
      </c>
      <c r="Q181" s="61"/>
      <c r="R181" s="10" t="s">
        <v>6</v>
      </c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33"/>
      <c r="AE181" s="21"/>
      <c r="AF181" s="33"/>
      <c r="AG181" s="21"/>
      <c r="AH181" s="23"/>
    </row>
    <row r="182" ht="30.0" customHeight="1">
      <c r="B182" s="40" t="s">
        <v>162</v>
      </c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21"/>
      <c r="AE182" s="21"/>
      <c r="AF182" s="33"/>
      <c r="AG182" s="21"/>
      <c r="AH182" s="23"/>
    </row>
    <row r="183" ht="30.0" customHeight="1">
      <c r="B183" s="40" t="s">
        <v>163</v>
      </c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21"/>
      <c r="AE183" s="21"/>
      <c r="AF183" s="33"/>
      <c r="AG183" s="21"/>
      <c r="AH183" s="23"/>
    </row>
    <row r="184" ht="30.0" customHeight="1">
      <c r="B184" s="32" t="s">
        <v>164</v>
      </c>
      <c r="C184" s="61"/>
      <c r="D184" s="61"/>
      <c r="E184" s="61"/>
      <c r="F184" s="61"/>
      <c r="G184" s="10" t="s">
        <v>6</v>
      </c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33"/>
      <c r="AE184" s="21"/>
      <c r="AF184" s="21"/>
      <c r="AG184" s="21"/>
      <c r="AH184" s="23"/>
    </row>
    <row r="185" ht="30.0" customHeight="1">
      <c r="B185" s="32" t="s">
        <v>165</v>
      </c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33"/>
      <c r="AE185" s="21"/>
      <c r="AF185" s="21"/>
      <c r="AG185" s="21"/>
      <c r="AH185" s="23"/>
    </row>
    <row r="186" ht="30.0" customHeight="1">
      <c r="B186" s="32" t="s">
        <v>166</v>
      </c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10" t="s">
        <v>6</v>
      </c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21"/>
      <c r="AE186" s="21"/>
      <c r="AF186" s="21"/>
      <c r="AG186" s="21"/>
      <c r="AH186" s="23"/>
    </row>
    <row r="187" ht="30.0" customHeight="1">
      <c r="B187" s="32" t="s">
        <v>167</v>
      </c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21"/>
      <c r="AE187" s="21"/>
      <c r="AF187" s="21"/>
      <c r="AG187" s="21"/>
      <c r="AH187" s="23"/>
    </row>
    <row r="188" ht="30.0" customHeight="1">
      <c r="B188" s="32" t="s">
        <v>168</v>
      </c>
      <c r="C188" s="61"/>
      <c r="D188" s="61"/>
      <c r="E188" s="61"/>
      <c r="F188" s="10" t="s">
        <v>6</v>
      </c>
      <c r="G188" s="61"/>
      <c r="H188" s="10" t="s">
        <v>6</v>
      </c>
      <c r="I188" s="61"/>
      <c r="J188" s="61"/>
      <c r="K188" s="10" t="s">
        <v>6</v>
      </c>
      <c r="L188" s="61"/>
      <c r="M188" s="61"/>
      <c r="N188" s="61"/>
      <c r="O188" s="61"/>
      <c r="P188" s="61"/>
      <c r="Q188" s="61"/>
      <c r="R188" s="10" t="s">
        <v>6</v>
      </c>
      <c r="S188" s="61"/>
      <c r="T188" s="10" t="s">
        <v>6</v>
      </c>
      <c r="U188" s="61"/>
      <c r="V188" s="10" t="s">
        <v>6</v>
      </c>
      <c r="W188" s="61"/>
      <c r="X188" s="61"/>
      <c r="Y188" s="10" t="s">
        <v>6</v>
      </c>
      <c r="Z188" s="61"/>
      <c r="AA188" s="10" t="s">
        <v>6</v>
      </c>
      <c r="AB188" s="61"/>
      <c r="AC188" s="61"/>
      <c r="AD188" s="21"/>
      <c r="AE188" s="21"/>
      <c r="AF188" s="10" t="s">
        <v>6</v>
      </c>
      <c r="AG188" s="21"/>
      <c r="AH188" s="23"/>
    </row>
    <row r="189" ht="30.0" customHeight="1">
      <c r="B189" s="32" t="s">
        <v>169</v>
      </c>
      <c r="C189" s="36"/>
      <c r="D189" s="36"/>
      <c r="E189" s="36"/>
      <c r="F189" s="10" t="s">
        <v>6</v>
      </c>
      <c r="G189" s="36"/>
      <c r="H189" s="10" t="s">
        <v>6</v>
      </c>
      <c r="I189" s="36"/>
      <c r="J189" s="36"/>
      <c r="K189" s="10" t="s">
        <v>6</v>
      </c>
      <c r="L189" s="36"/>
      <c r="M189" s="36"/>
      <c r="N189" s="36"/>
      <c r="O189" s="36"/>
      <c r="P189" s="36"/>
      <c r="Q189" s="36"/>
      <c r="R189" s="10" t="s">
        <v>6</v>
      </c>
      <c r="S189" s="10" t="s">
        <v>6</v>
      </c>
      <c r="T189" s="10" t="s">
        <v>6</v>
      </c>
      <c r="U189" s="36"/>
      <c r="V189" s="36"/>
      <c r="W189" s="36"/>
      <c r="X189" s="36"/>
      <c r="Y189" s="36"/>
      <c r="Z189" s="36"/>
      <c r="AA189" s="36"/>
      <c r="AB189" s="36"/>
      <c r="AC189" s="36"/>
      <c r="AD189" s="33"/>
      <c r="AE189" s="21"/>
      <c r="AF189" s="21"/>
      <c r="AG189" s="21"/>
      <c r="AH189" s="23"/>
    </row>
    <row r="190" ht="30.0" customHeight="1">
      <c r="B190" s="32" t="s">
        <v>170</v>
      </c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21"/>
      <c r="AE190" s="21"/>
      <c r="AF190" s="21"/>
      <c r="AG190" s="21"/>
      <c r="AH190" s="23"/>
    </row>
    <row r="191" ht="30.0" customHeight="1">
      <c r="B191" s="32" t="s">
        <v>206</v>
      </c>
      <c r="C191" s="21"/>
      <c r="D191" s="21"/>
      <c r="E191" s="21"/>
      <c r="F191" s="10" t="s">
        <v>6</v>
      </c>
      <c r="G191" s="21"/>
      <c r="H191" s="21"/>
      <c r="I191" s="21"/>
      <c r="J191" s="21"/>
      <c r="K191" s="21"/>
      <c r="L191" s="21"/>
      <c r="M191" s="33"/>
      <c r="N191" s="21"/>
      <c r="O191" s="21"/>
      <c r="P191" s="21"/>
      <c r="Q191" s="21"/>
      <c r="R191" s="10" t="s">
        <v>6</v>
      </c>
      <c r="S191" s="21"/>
      <c r="T191" s="33"/>
      <c r="U191" s="21"/>
      <c r="V191" s="21"/>
      <c r="W191" s="21"/>
      <c r="X191" s="21"/>
      <c r="Y191" s="21"/>
      <c r="Z191" s="21"/>
      <c r="AA191" s="21"/>
      <c r="AB191" s="10" t="s">
        <v>6</v>
      </c>
      <c r="AC191" s="21"/>
      <c r="AD191" s="21"/>
      <c r="AE191" s="21"/>
      <c r="AF191" s="21"/>
      <c r="AG191" s="10" t="s">
        <v>6</v>
      </c>
      <c r="AH191" s="23"/>
    </row>
    <row r="192" ht="30.0" customHeight="1">
      <c r="B192" s="32" t="s">
        <v>207</v>
      </c>
      <c r="C192" s="21"/>
      <c r="D192" s="21"/>
      <c r="E192" s="21"/>
      <c r="F192" s="10" t="s">
        <v>6</v>
      </c>
      <c r="G192" s="21"/>
      <c r="H192" s="10" t="s">
        <v>6</v>
      </c>
      <c r="I192" s="21"/>
      <c r="J192" s="21"/>
      <c r="K192" s="21"/>
      <c r="L192" s="21"/>
      <c r="M192" s="33"/>
      <c r="N192" s="21"/>
      <c r="O192" s="10" t="s">
        <v>6</v>
      </c>
      <c r="P192" s="21"/>
      <c r="Q192" s="21"/>
      <c r="R192" s="21"/>
      <c r="S192" s="21"/>
      <c r="T192" s="10" t="s">
        <v>6</v>
      </c>
      <c r="U192" s="21"/>
      <c r="V192" s="10" t="s">
        <v>6</v>
      </c>
      <c r="W192" s="21"/>
      <c r="X192" s="21"/>
      <c r="Y192" s="21"/>
      <c r="Z192" s="21"/>
      <c r="AA192" s="10" t="s">
        <v>6</v>
      </c>
      <c r="AB192" s="21"/>
      <c r="AC192" s="10" t="s">
        <v>6</v>
      </c>
      <c r="AD192" s="21"/>
      <c r="AE192" s="21"/>
      <c r="AF192" s="21"/>
      <c r="AG192" s="21"/>
      <c r="AH192" s="23"/>
    </row>
    <row r="193" ht="30.0" customHeight="1">
      <c r="B193" s="32" t="s">
        <v>208</v>
      </c>
      <c r="C193" s="21"/>
      <c r="D193" s="21"/>
      <c r="E193" s="21"/>
      <c r="F193" s="21"/>
      <c r="G193" s="10" t="s">
        <v>6</v>
      </c>
      <c r="H193" s="21"/>
      <c r="I193" s="21"/>
      <c r="J193" s="21"/>
      <c r="K193" s="21"/>
      <c r="L193" s="21"/>
      <c r="M193" s="33"/>
      <c r="N193" s="21"/>
      <c r="O193" s="10" t="s">
        <v>6</v>
      </c>
      <c r="P193" s="21"/>
      <c r="Q193" s="21"/>
      <c r="R193" s="10" t="s">
        <v>6</v>
      </c>
      <c r="S193" s="21"/>
      <c r="T193" s="33"/>
      <c r="U193" s="10" t="s">
        <v>6</v>
      </c>
      <c r="V193" s="21"/>
      <c r="W193" s="21"/>
      <c r="X193" s="21"/>
      <c r="Y193" s="21"/>
      <c r="Z193" s="21"/>
      <c r="AA193" s="21"/>
      <c r="AB193" s="10" t="s">
        <v>6</v>
      </c>
      <c r="AC193" s="21"/>
      <c r="AD193" s="10" t="s">
        <v>6</v>
      </c>
      <c r="AE193" s="21"/>
      <c r="AF193" s="21"/>
      <c r="AG193" s="10" t="s">
        <v>6</v>
      </c>
      <c r="AH193" s="23"/>
    </row>
    <row r="194" ht="30.0" customHeight="1">
      <c r="B194" s="32" t="s">
        <v>283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33"/>
      <c r="N194" s="21"/>
      <c r="O194" s="21"/>
      <c r="P194" s="21"/>
      <c r="Q194" s="21"/>
      <c r="R194" s="21"/>
      <c r="S194" s="21"/>
      <c r="T194" s="33"/>
      <c r="U194" s="21"/>
      <c r="V194" s="21"/>
      <c r="W194" s="21"/>
      <c r="X194" s="21"/>
      <c r="Y194" s="21"/>
      <c r="Z194" s="21"/>
      <c r="AA194" s="21"/>
      <c r="AB194" s="21"/>
      <c r="AC194" s="21"/>
      <c r="AD194" s="10" t="s">
        <v>6</v>
      </c>
      <c r="AE194" s="21"/>
      <c r="AF194" s="10" t="s">
        <v>6</v>
      </c>
      <c r="AG194" s="21"/>
      <c r="AH194" s="23"/>
    </row>
    <row r="195" ht="30.0" customHeight="1">
      <c r="B195" s="20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33"/>
      <c r="N195" s="21"/>
      <c r="O195" s="21"/>
      <c r="P195" s="21"/>
      <c r="Q195" s="21"/>
      <c r="R195" s="21"/>
      <c r="S195" s="21"/>
      <c r="T195" s="33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3"/>
    </row>
    <row r="196" ht="30.0" customHeight="1">
      <c r="B196" s="48" t="str">
        <f>Marzo!MonthName&amp;" Total"</f>
        <v>Marzo Total</v>
      </c>
      <c r="C196" s="25">
        <f>SUBTOTAL(103,Marzo!$C$7)</f>
        <v>0</v>
      </c>
      <c r="D196" s="25">
        <f>SUBTOTAL(103,Marzo!$D$7)</f>
        <v>0</v>
      </c>
      <c r="E196" s="25">
        <f>SUBTOTAL(103,Marzo!$E$7)</f>
        <v>0</v>
      </c>
      <c r="F196" s="25"/>
      <c r="G196" s="25"/>
      <c r="H196" s="25">
        <f>SUBTOTAL(103,Marzo!$H$7)</f>
        <v>0</v>
      </c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>
        <f>SUBTOTAL(103,Marzo!$Y$7)</f>
        <v>0</v>
      </c>
      <c r="Z196" s="25">
        <f>SUBTOTAL(103,Marzo!$Z$7)</f>
        <v>0</v>
      </c>
      <c r="AA196" s="25">
        <f>SUBTOTAL(103,Marzo!$AA$7)</f>
        <v>0</v>
      </c>
      <c r="AB196" s="25">
        <f>SUBTOTAL(103,Marzo!$AB$7)</f>
        <v>0</v>
      </c>
      <c r="AC196" s="25">
        <f>SUBTOTAL(103,Marzo!$AC$7)</f>
        <v>0</v>
      </c>
      <c r="AD196" s="25">
        <f>SUBTOTAL(103,Marzo!$AD$7)</f>
        <v>0</v>
      </c>
      <c r="AE196" s="25">
        <f>SUBTOTAL(103,Marzo!$AE$7)</f>
        <v>0</v>
      </c>
      <c r="AF196" s="25">
        <f>SUBTOTAL(103,Marzo!$AF$7)</f>
        <v>0</v>
      </c>
      <c r="AG196" s="25">
        <f>SUBTOTAL(103,Marzo!$AG$7)</f>
        <v>0</v>
      </c>
      <c r="AH196" s="25">
        <f>SUM(C196:AG196)</f>
        <v>0</v>
      </c>
    </row>
    <row r="197" ht="30.0" customHeight="1">
      <c r="AH197" s="5"/>
    </row>
    <row r="198" ht="30.0" customHeight="1">
      <c r="A198" s="50"/>
      <c r="B198" s="15" t="s">
        <v>291</v>
      </c>
      <c r="C198" s="27" t="s">
        <v>171</v>
      </c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39">
        <v>2026.0</v>
      </c>
    </row>
    <row r="199" ht="30.0" customHeight="1">
      <c r="A199" s="50"/>
      <c r="B199" s="56"/>
      <c r="C199" s="16" t="str">
        <f>TEXT(WEEKDAY(DATE(Marzo!CalendarioAño,1,4),1),"ddd")</f>
        <v>dom</v>
      </c>
      <c r="D199" s="16" t="str">
        <f>TEXT(WEEKDAY(DATE(Marzo!CalendarioAño,1,5),1),"ddd")</f>
        <v>lun</v>
      </c>
      <c r="E199" s="16" t="str">
        <f>TEXT(WEEKDAY(DATE(Marzo!CalendarioAño,1,6),1),"ddd")</f>
        <v>mar</v>
      </c>
      <c r="F199" s="16" t="str">
        <f>TEXT(WEEKDAY(DATE(Marzo!CalendarioAño,1,7),1),"ddd")</f>
        <v>mié</v>
      </c>
      <c r="G199" s="16" t="str">
        <f>TEXT(WEEKDAY(DATE(Marzo!CalendarioAño,1,8),1),"ddd")</f>
        <v>jue</v>
      </c>
      <c r="H199" s="16" t="str">
        <f>TEXT(WEEKDAY(DATE(Marzo!CalendarioAño,1,9),1),"ddd")</f>
        <v>vie</v>
      </c>
      <c r="I199" s="16" t="str">
        <f>TEXT(WEEKDAY(DATE(Marzo!CalendarioAño,1,10),1),"ddd")</f>
        <v>sáb</v>
      </c>
      <c r="J199" s="16" t="str">
        <f>TEXT(WEEKDAY(DATE(Marzo!CalendarioAño,1,4),1),"ddd")</f>
        <v>dom</v>
      </c>
      <c r="K199" s="16" t="str">
        <f>TEXT(WEEKDAY(DATE(Marzo!CalendarioAño,1,5),1),"ddd")</f>
        <v>lun</v>
      </c>
      <c r="L199" s="16" t="str">
        <f>TEXT(WEEKDAY(DATE(Marzo!CalendarioAño,1,6),1),"ddd")</f>
        <v>mar</v>
      </c>
      <c r="M199" s="16" t="str">
        <f>TEXT(WEEKDAY(DATE(Marzo!CalendarioAño,1,7),1),"ddd")</f>
        <v>mié</v>
      </c>
      <c r="N199" s="16" t="str">
        <f>TEXT(WEEKDAY(DATE(Marzo!CalendarioAño,1,8),1),"ddd")</f>
        <v>jue</v>
      </c>
      <c r="O199" s="16" t="str">
        <f>TEXT(WEEKDAY(DATE(Marzo!CalendarioAño,1,9),1),"ddd")</f>
        <v>vie</v>
      </c>
      <c r="P199" s="16" t="str">
        <f>TEXT(WEEKDAY(DATE(Marzo!CalendarioAño,1,10),1),"ddd")</f>
        <v>sáb</v>
      </c>
      <c r="Q199" s="16" t="str">
        <f>TEXT(WEEKDAY(DATE(Marzo!CalendarioAño,1,4),1),"ddd")</f>
        <v>dom</v>
      </c>
      <c r="R199" s="16" t="str">
        <f>TEXT(WEEKDAY(DATE(Marzo!CalendarioAño,1,5),1),"ddd")</f>
        <v>lun</v>
      </c>
      <c r="S199" s="16" t="str">
        <f>TEXT(WEEKDAY(DATE(Marzo!CalendarioAño,1,6),1),"ddd")</f>
        <v>mar</v>
      </c>
      <c r="T199" s="16" t="str">
        <f>TEXT(WEEKDAY(DATE(Marzo!CalendarioAño,1,7),1),"ddd")</f>
        <v>mié</v>
      </c>
      <c r="U199" s="16" t="str">
        <f>TEXT(WEEKDAY(DATE(Marzo!CalendarioAño,1,8),1),"ddd")</f>
        <v>jue</v>
      </c>
      <c r="V199" s="16" t="str">
        <f>TEXT(WEEKDAY(DATE(Marzo!CalendarioAño,1,9),1),"ddd")</f>
        <v>vie</v>
      </c>
      <c r="W199" s="16" t="str">
        <f>TEXT(WEEKDAY(DATE(Marzo!CalendarioAño,1,10),1),"ddd")</f>
        <v>sáb</v>
      </c>
      <c r="X199" s="16" t="str">
        <f>TEXT(WEEKDAY(DATE(Marzo!CalendarioAño,1,4),1),"ddd")</f>
        <v>dom</v>
      </c>
      <c r="Y199" s="16" t="str">
        <f>TEXT(WEEKDAY(DATE(Marzo!CalendarioAño,1,5),1),"ddd")</f>
        <v>lun</v>
      </c>
      <c r="Z199" s="16" t="str">
        <f>TEXT(WEEKDAY(DATE(Marzo!CalendarioAño,1,6),1),"ddd")</f>
        <v>mar</v>
      </c>
      <c r="AA199" s="16" t="str">
        <f>TEXT(WEEKDAY(DATE(Marzo!CalendarioAño,1,7),1),"ddd")</f>
        <v>mié</v>
      </c>
      <c r="AB199" s="16" t="str">
        <f>TEXT(WEEKDAY(DATE(Marzo!CalendarioAño,1,8),1),"ddd")</f>
        <v>jue</v>
      </c>
      <c r="AC199" s="16" t="str">
        <f>TEXT(WEEKDAY(DATE(Marzo!CalendarioAño,1,9),1),"ddd")</f>
        <v>vie</v>
      </c>
      <c r="AD199" s="16" t="str">
        <f>TEXT(WEEKDAY(DATE(Marzo!CalendarioAño,1,10),1),"ddd")</f>
        <v>sáb</v>
      </c>
      <c r="AE199" s="16" t="str">
        <f>TEXT(WEEKDAY(DATE(Marzo!CalendarioAño,1,4),1),"ddd")</f>
        <v>dom</v>
      </c>
      <c r="AF199" s="16" t="str">
        <f>TEXT(WEEKDAY(DATE(Marzo!CalendarioAño,1,5),1),"ddd")</f>
        <v>lun</v>
      </c>
      <c r="AG199" s="16" t="str">
        <f>TEXT(WEEKDAY(DATE(Marzo!CalendarioAño,1,6),1),"ddd")</f>
        <v>mar</v>
      </c>
      <c r="AH199" s="57"/>
    </row>
    <row r="200" ht="30.0" customHeight="1">
      <c r="A200" s="18"/>
      <c r="B200" s="31" t="s">
        <v>14</v>
      </c>
      <c r="C200" s="70">
        <v>1.0</v>
      </c>
      <c r="D200" s="70">
        <v>2.0</v>
      </c>
      <c r="E200" s="70">
        <v>3.0</v>
      </c>
      <c r="F200" s="70">
        <v>4.0</v>
      </c>
      <c r="G200" s="70">
        <v>5.0</v>
      </c>
      <c r="H200" s="70">
        <v>6.0</v>
      </c>
      <c r="I200" s="70">
        <v>7.0</v>
      </c>
      <c r="J200" s="70">
        <v>8.0</v>
      </c>
      <c r="K200" s="70">
        <v>9.0</v>
      </c>
      <c r="L200" s="70">
        <v>10.0</v>
      </c>
      <c r="M200" s="70">
        <v>11.0</v>
      </c>
      <c r="N200" s="70">
        <v>12.0</v>
      </c>
      <c r="O200" s="70">
        <v>13.0</v>
      </c>
      <c r="P200" s="70">
        <v>14.0</v>
      </c>
      <c r="Q200" s="70">
        <v>15.0</v>
      </c>
      <c r="R200" s="70">
        <v>16.0</v>
      </c>
      <c r="S200" s="70">
        <v>17.0</v>
      </c>
      <c r="T200" s="70">
        <v>18.0</v>
      </c>
      <c r="U200" s="70">
        <v>19.0</v>
      </c>
      <c r="V200" s="70">
        <v>20.0</v>
      </c>
      <c r="W200" s="70">
        <v>21.0</v>
      </c>
      <c r="X200" s="70">
        <v>22.0</v>
      </c>
      <c r="Y200" s="70">
        <v>23.0</v>
      </c>
      <c r="Z200" s="70">
        <v>24.0</v>
      </c>
      <c r="AA200" s="70">
        <v>25.0</v>
      </c>
      <c r="AB200" s="70">
        <v>26.0</v>
      </c>
      <c r="AC200" s="70">
        <v>27.0</v>
      </c>
      <c r="AD200" s="70">
        <v>28.0</v>
      </c>
      <c r="AE200" s="70">
        <v>29.0</v>
      </c>
      <c r="AF200" s="70">
        <v>30.0</v>
      </c>
      <c r="AG200" s="70">
        <v>31.0</v>
      </c>
      <c r="AH200" s="19" t="s">
        <v>46</v>
      </c>
    </row>
    <row r="201" ht="30.0" customHeight="1">
      <c r="A201" s="50"/>
      <c r="B201" s="58" t="s">
        <v>172</v>
      </c>
      <c r="C201" s="61"/>
      <c r="D201" s="61"/>
      <c r="E201" s="61"/>
      <c r="F201" s="10" t="s">
        <v>6</v>
      </c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10" t="s">
        <v>6</v>
      </c>
      <c r="U201" s="61"/>
      <c r="V201" s="61"/>
      <c r="W201" s="61"/>
      <c r="X201" s="61"/>
      <c r="Y201" s="10" t="s">
        <v>6</v>
      </c>
      <c r="Z201" s="61"/>
      <c r="AA201" s="10" t="s">
        <v>6</v>
      </c>
      <c r="AB201" s="61"/>
      <c r="AC201" s="61"/>
      <c r="AD201" s="33"/>
      <c r="AE201" s="33"/>
      <c r="AF201" s="10" t="s">
        <v>6</v>
      </c>
      <c r="AG201" s="33"/>
      <c r="AH201" s="59"/>
    </row>
    <row r="202" ht="30.0" customHeight="1">
      <c r="A202" s="50"/>
      <c r="B202" s="60" t="s">
        <v>173</v>
      </c>
      <c r="C202" s="36"/>
      <c r="D202" s="36"/>
      <c r="E202" s="36"/>
      <c r="F202" s="36"/>
      <c r="G202" s="36"/>
      <c r="H202" s="10" t="s">
        <v>6</v>
      </c>
      <c r="I202" s="36"/>
      <c r="J202" s="36"/>
      <c r="K202" s="36"/>
      <c r="L202" s="36"/>
      <c r="M202" s="36"/>
      <c r="N202" s="36"/>
      <c r="O202" s="10" t="s">
        <v>6</v>
      </c>
      <c r="P202" s="36"/>
      <c r="Q202" s="36"/>
      <c r="R202" s="10" t="s">
        <v>6</v>
      </c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10" t="s">
        <v>6</v>
      </c>
      <c r="AD202" s="21"/>
      <c r="AE202" s="61"/>
      <c r="AF202" s="61"/>
      <c r="AG202" s="61"/>
      <c r="AH202" s="59"/>
    </row>
    <row r="203" ht="30.0" customHeight="1">
      <c r="A203" s="50"/>
      <c r="B203" s="58" t="s">
        <v>174</v>
      </c>
      <c r="C203" s="36"/>
      <c r="D203" s="36"/>
      <c r="E203" s="36"/>
      <c r="F203" s="10" t="s">
        <v>6</v>
      </c>
      <c r="G203" s="36"/>
      <c r="H203" s="36"/>
      <c r="I203" s="36"/>
      <c r="J203" s="36"/>
      <c r="K203" s="36"/>
      <c r="L203" s="36"/>
      <c r="M203" s="36"/>
      <c r="N203" s="36"/>
      <c r="O203" s="10" t="s">
        <v>6</v>
      </c>
      <c r="P203" s="10" t="s">
        <v>6</v>
      </c>
      <c r="Q203" s="36"/>
      <c r="R203" s="36"/>
      <c r="S203" s="36"/>
      <c r="T203" s="10" t="s">
        <v>6</v>
      </c>
      <c r="U203" s="36"/>
      <c r="V203" s="36"/>
      <c r="W203" s="36"/>
      <c r="X203" s="36"/>
      <c r="Y203" s="36"/>
      <c r="Z203" s="36"/>
      <c r="AA203" s="36"/>
      <c r="AB203" s="36"/>
      <c r="AC203" s="10" t="s">
        <v>6</v>
      </c>
      <c r="AD203" s="10" t="s">
        <v>6</v>
      </c>
      <c r="AE203" s="36"/>
      <c r="AF203" s="36"/>
      <c r="AG203" s="36"/>
      <c r="AH203" s="59"/>
    </row>
    <row r="204" ht="30.0" customHeight="1">
      <c r="A204" s="50"/>
      <c r="B204" s="60" t="s">
        <v>175</v>
      </c>
      <c r="C204" s="61"/>
      <c r="D204" s="61"/>
      <c r="E204" s="61"/>
      <c r="F204" s="10" t="s">
        <v>6</v>
      </c>
      <c r="G204" s="61"/>
      <c r="H204" s="10" t="s">
        <v>6</v>
      </c>
      <c r="I204" s="61"/>
      <c r="J204" s="61"/>
      <c r="K204" s="10" t="s">
        <v>6</v>
      </c>
      <c r="L204" s="61"/>
      <c r="M204" s="61"/>
      <c r="N204" s="61"/>
      <c r="O204" s="61"/>
      <c r="P204" s="61"/>
      <c r="Q204" s="61"/>
      <c r="R204" s="10" t="s">
        <v>6</v>
      </c>
      <c r="S204" s="61"/>
      <c r="T204" s="10" t="s">
        <v>6</v>
      </c>
      <c r="U204" s="61"/>
      <c r="V204" s="61"/>
      <c r="W204" s="10" t="s">
        <v>6</v>
      </c>
      <c r="X204" s="61"/>
      <c r="Y204" s="10" t="s">
        <v>6</v>
      </c>
      <c r="Z204" s="61"/>
      <c r="AA204" s="10" t="s">
        <v>6</v>
      </c>
      <c r="AB204" s="61"/>
      <c r="AC204" s="61"/>
      <c r="AD204" s="33"/>
      <c r="AE204" s="61"/>
      <c r="AF204" s="10" t="s">
        <v>6</v>
      </c>
      <c r="AG204" s="61"/>
      <c r="AH204" s="59"/>
    </row>
    <row r="205" ht="30.0" customHeight="1">
      <c r="A205" s="50"/>
      <c r="B205" s="60" t="s">
        <v>176</v>
      </c>
      <c r="C205" s="36"/>
      <c r="D205" s="36"/>
      <c r="E205" s="36"/>
      <c r="F205" s="36"/>
      <c r="G205" s="36"/>
      <c r="H205" s="36"/>
      <c r="I205" s="36"/>
      <c r="J205" s="36"/>
      <c r="K205" s="10" t="s">
        <v>6</v>
      </c>
      <c r="L205" s="36"/>
      <c r="M205" s="36"/>
      <c r="N205" s="36"/>
      <c r="O205" s="10" t="s">
        <v>6</v>
      </c>
      <c r="P205" s="10" t="s">
        <v>6</v>
      </c>
      <c r="Q205" s="36"/>
      <c r="R205" s="36"/>
      <c r="S205" s="36"/>
      <c r="T205" s="10" t="s">
        <v>6</v>
      </c>
      <c r="U205" s="36"/>
      <c r="V205" s="36"/>
      <c r="W205" s="36"/>
      <c r="X205" s="36"/>
      <c r="Y205" s="10" t="s">
        <v>6</v>
      </c>
      <c r="Z205" s="36"/>
      <c r="AA205" s="36"/>
      <c r="AB205" s="36"/>
      <c r="AC205" s="36"/>
      <c r="AD205" s="10" t="s">
        <v>6</v>
      </c>
      <c r="AE205" s="61"/>
      <c r="AF205" s="10" t="s">
        <v>6</v>
      </c>
      <c r="AG205" s="61"/>
      <c r="AH205" s="59"/>
    </row>
    <row r="206" ht="30.0" customHeight="1">
      <c r="A206" s="50"/>
      <c r="B206" s="58" t="s">
        <v>177</v>
      </c>
      <c r="C206" s="36"/>
      <c r="D206" s="36"/>
      <c r="E206" s="10" t="s">
        <v>6</v>
      </c>
      <c r="F206" s="10" t="s">
        <v>6</v>
      </c>
      <c r="G206" s="36"/>
      <c r="H206" s="10" t="s">
        <v>6</v>
      </c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21"/>
      <c r="AE206" s="36"/>
      <c r="AF206" s="36"/>
      <c r="AG206" s="36"/>
      <c r="AH206" s="59"/>
    </row>
    <row r="207" ht="30.0" customHeight="1">
      <c r="A207" s="50"/>
      <c r="B207" s="58" t="s">
        <v>178</v>
      </c>
      <c r="C207" s="61"/>
      <c r="D207" s="61"/>
      <c r="E207" s="10" t="s">
        <v>6</v>
      </c>
      <c r="F207" s="10" t="s">
        <v>6</v>
      </c>
      <c r="G207" s="61"/>
      <c r="H207" s="10" t="s">
        <v>6</v>
      </c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21"/>
      <c r="AE207" s="36"/>
      <c r="AF207" s="36"/>
      <c r="AG207" s="36"/>
      <c r="AH207" s="59"/>
    </row>
    <row r="208" ht="30.0" customHeight="1">
      <c r="A208" s="50"/>
      <c r="B208" s="58" t="s">
        <v>209</v>
      </c>
      <c r="C208" s="36"/>
      <c r="D208" s="36"/>
      <c r="E208" s="36"/>
      <c r="F208" s="10" t="s">
        <v>6</v>
      </c>
      <c r="G208" s="36"/>
      <c r="H208" s="10" t="s">
        <v>6</v>
      </c>
      <c r="I208" s="36"/>
      <c r="J208" s="36"/>
      <c r="K208" s="36"/>
      <c r="L208" s="36"/>
      <c r="M208" s="36"/>
      <c r="N208" s="36"/>
      <c r="O208" s="10" t="s">
        <v>6</v>
      </c>
      <c r="P208" s="36"/>
      <c r="Q208" s="36"/>
      <c r="R208" s="10" t="s">
        <v>6</v>
      </c>
      <c r="S208" s="36"/>
      <c r="T208" s="36"/>
      <c r="U208" s="36"/>
      <c r="V208" s="36"/>
      <c r="W208" s="36"/>
      <c r="X208" s="36"/>
      <c r="Y208" s="10" t="s">
        <v>6</v>
      </c>
      <c r="Z208" s="36"/>
      <c r="AA208" s="36"/>
      <c r="AB208" s="36"/>
      <c r="AC208" s="10" t="s">
        <v>6</v>
      </c>
      <c r="AD208" s="33"/>
      <c r="AE208" s="36"/>
      <c r="AF208" s="10" t="s">
        <v>6</v>
      </c>
      <c r="AG208" s="36"/>
      <c r="AH208" s="59"/>
    </row>
    <row r="209" ht="30.0" customHeight="1">
      <c r="A209" s="50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3"/>
      <c r="AE209" s="36"/>
      <c r="AF209" s="36"/>
      <c r="AG209" s="36"/>
      <c r="AH209" s="59"/>
    </row>
    <row r="210" ht="30.0" customHeight="1">
      <c r="A210" s="50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3"/>
      <c r="AE210" s="36"/>
      <c r="AF210" s="36"/>
      <c r="AG210" s="36"/>
      <c r="AH210" s="59"/>
    </row>
    <row r="211" ht="30.0" customHeight="1">
      <c r="A211" s="50"/>
      <c r="B211" s="62" t="str">
        <f>Marzo!MonthName&amp;" Total"</f>
        <v>Marzo Total</v>
      </c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21"/>
      <c r="AE211" s="63">
        <f>SUBTOTAL(103,Marzo!$AE$7)</f>
        <v>0</v>
      </c>
      <c r="AF211" s="63">
        <f>SUBTOTAL(103,Marzo!$AF$7)</f>
        <v>0</v>
      </c>
      <c r="AG211" s="63">
        <f>SUBTOTAL(103,Marzo!$AG$7)</f>
        <v>0</v>
      </c>
      <c r="AH211" s="65"/>
    </row>
    <row r="212" ht="30.0" customHeight="1">
      <c r="AH212" s="5"/>
    </row>
    <row r="213" ht="30.0" customHeight="1">
      <c r="A213" s="50"/>
      <c r="B213" s="15" t="s">
        <v>291</v>
      </c>
      <c r="C213" s="27" t="s">
        <v>179</v>
      </c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39">
        <v>2026.0</v>
      </c>
    </row>
    <row r="214" ht="30.0" customHeight="1">
      <c r="A214" s="50"/>
      <c r="B214" s="56"/>
      <c r="C214" s="16" t="str">
        <f>TEXT(WEEKDAY(DATE(Marzo!CalendarioAño,1,4),1),"ddd")</f>
        <v>dom</v>
      </c>
      <c r="D214" s="16" t="str">
        <f>TEXT(WEEKDAY(DATE(Marzo!CalendarioAño,1,5),1),"ddd")</f>
        <v>lun</v>
      </c>
      <c r="E214" s="16" t="str">
        <f>TEXT(WEEKDAY(DATE(Marzo!CalendarioAño,1,6),1),"ddd")</f>
        <v>mar</v>
      </c>
      <c r="F214" s="16" t="str">
        <f>TEXT(WEEKDAY(DATE(Marzo!CalendarioAño,1,7),1),"ddd")</f>
        <v>mié</v>
      </c>
      <c r="G214" s="16" t="str">
        <f>TEXT(WEEKDAY(DATE(Marzo!CalendarioAño,1,8),1),"ddd")</f>
        <v>jue</v>
      </c>
      <c r="H214" s="16" t="str">
        <f>TEXT(WEEKDAY(DATE(Marzo!CalendarioAño,1,9),1),"ddd")</f>
        <v>vie</v>
      </c>
      <c r="I214" s="16" t="str">
        <f>TEXT(WEEKDAY(DATE(Marzo!CalendarioAño,1,10),1),"ddd")</f>
        <v>sáb</v>
      </c>
      <c r="J214" s="16" t="str">
        <f>TEXT(WEEKDAY(DATE(Marzo!CalendarioAño,1,4),1),"ddd")</f>
        <v>dom</v>
      </c>
      <c r="K214" s="16" t="str">
        <f>TEXT(WEEKDAY(DATE(Marzo!CalendarioAño,1,5),1),"ddd")</f>
        <v>lun</v>
      </c>
      <c r="L214" s="16" t="str">
        <f>TEXT(WEEKDAY(DATE(Marzo!CalendarioAño,1,6),1),"ddd")</f>
        <v>mar</v>
      </c>
      <c r="M214" s="16" t="str">
        <f>TEXT(WEEKDAY(DATE(Marzo!CalendarioAño,1,7),1),"ddd")</f>
        <v>mié</v>
      </c>
      <c r="N214" s="16" t="str">
        <f>TEXT(WEEKDAY(DATE(Marzo!CalendarioAño,1,8),1),"ddd")</f>
        <v>jue</v>
      </c>
      <c r="O214" s="16" t="str">
        <f>TEXT(WEEKDAY(DATE(Marzo!CalendarioAño,1,9),1),"ddd")</f>
        <v>vie</v>
      </c>
      <c r="P214" s="16" t="str">
        <f>TEXT(WEEKDAY(DATE(Marzo!CalendarioAño,1,10),1),"ddd")</f>
        <v>sáb</v>
      </c>
      <c r="Q214" s="16" t="str">
        <f>TEXT(WEEKDAY(DATE(Marzo!CalendarioAño,1,4),1),"ddd")</f>
        <v>dom</v>
      </c>
      <c r="R214" s="16" t="str">
        <f>TEXT(WEEKDAY(DATE(Marzo!CalendarioAño,1,5),1),"ddd")</f>
        <v>lun</v>
      </c>
      <c r="S214" s="16" t="str">
        <f>TEXT(WEEKDAY(DATE(Marzo!CalendarioAño,1,6),1),"ddd")</f>
        <v>mar</v>
      </c>
      <c r="T214" s="16" t="str">
        <f>TEXT(WEEKDAY(DATE(Marzo!CalendarioAño,1,7),1),"ddd")</f>
        <v>mié</v>
      </c>
      <c r="U214" s="16" t="str">
        <f>TEXT(WEEKDAY(DATE(Marzo!CalendarioAño,1,8),1),"ddd")</f>
        <v>jue</v>
      </c>
      <c r="V214" s="16" t="str">
        <f>TEXT(WEEKDAY(DATE(Marzo!CalendarioAño,1,9),1),"ddd")</f>
        <v>vie</v>
      </c>
      <c r="W214" s="16" t="str">
        <f>TEXT(WEEKDAY(DATE(Marzo!CalendarioAño,1,10),1),"ddd")</f>
        <v>sáb</v>
      </c>
      <c r="X214" s="16" t="str">
        <f>TEXT(WEEKDAY(DATE(Marzo!CalendarioAño,1,4),1),"ddd")</f>
        <v>dom</v>
      </c>
      <c r="Y214" s="16" t="str">
        <f>TEXT(WEEKDAY(DATE(Marzo!CalendarioAño,1,5),1),"ddd")</f>
        <v>lun</v>
      </c>
      <c r="Z214" s="16" t="str">
        <f>TEXT(WEEKDAY(DATE(Marzo!CalendarioAño,1,6),1),"ddd")</f>
        <v>mar</v>
      </c>
      <c r="AA214" s="16" t="str">
        <f>TEXT(WEEKDAY(DATE(Marzo!CalendarioAño,1,7),1),"ddd")</f>
        <v>mié</v>
      </c>
      <c r="AB214" s="16" t="str">
        <f>TEXT(WEEKDAY(DATE(Marzo!CalendarioAño,1,8),1),"ddd")</f>
        <v>jue</v>
      </c>
      <c r="AC214" s="16" t="str">
        <f>TEXT(WEEKDAY(DATE(Marzo!CalendarioAño,1,9),1),"ddd")</f>
        <v>vie</v>
      </c>
      <c r="AD214" s="16" t="str">
        <f>TEXT(WEEKDAY(DATE(Marzo!CalendarioAño,1,10),1),"ddd")</f>
        <v>sáb</v>
      </c>
      <c r="AE214" s="16" t="str">
        <f>TEXT(WEEKDAY(DATE(Marzo!CalendarioAño,1,4),1),"ddd")</f>
        <v>dom</v>
      </c>
      <c r="AF214" s="16" t="str">
        <f>TEXT(WEEKDAY(DATE(Marzo!CalendarioAño,1,5),1),"ddd")</f>
        <v>lun</v>
      </c>
      <c r="AG214" s="16" t="str">
        <f>TEXT(WEEKDAY(DATE(Marzo!CalendarioAño,1,6),1),"ddd")</f>
        <v>mar</v>
      </c>
      <c r="AH214" s="57"/>
    </row>
    <row r="215" ht="30.0" customHeight="1">
      <c r="A215" s="18"/>
      <c r="B215" s="31" t="s">
        <v>14</v>
      </c>
      <c r="C215" s="70">
        <v>1.0</v>
      </c>
      <c r="D215" s="70">
        <v>2.0</v>
      </c>
      <c r="E215" s="70">
        <v>3.0</v>
      </c>
      <c r="F215" s="70">
        <v>4.0</v>
      </c>
      <c r="G215" s="70">
        <v>5.0</v>
      </c>
      <c r="H215" s="70">
        <v>6.0</v>
      </c>
      <c r="I215" s="70">
        <v>7.0</v>
      </c>
      <c r="J215" s="70">
        <v>8.0</v>
      </c>
      <c r="K215" s="70">
        <v>9.0</v>
      </c>
      <c r="L215" s="70">
        <v>10.0</v>
      </c>
      <c r="M215" s="70">
        <v>11.0</v>
      </c>
      <c r="N215" s="70">
        <v>12.0</v>
      </c>
      <c r="O215" s="70">
        <v>13.0</v>
      </c>
      <c r="P215" s="70">
        <v>14.0</v>
      </c>
      <c r="Q215" s="70">
        <v>15.0</v>
      </c>
      <c r="R215" s="70">
        <v>16.0</v>
      </c>
      <c r="S215" s="70">
        <v>17.0</v>
      </c>
      <c r="T215" s="70">
        <v>18.0</v>
      </c>
      <c r="U215" s="70">
        <v>19.0</v>
      </c>
      <c r="V215" s="70">
        <v>20.0</v>
      </c>
      <c r="W215" s="70">
        <v>21.0</v>
      </c>
      <c r="X215" s="70">
        <v>22.0</v>
      </c>
      <c r="Y215" s="70">
        <v>23.0</v>
      </c>
      <c r="Z215" s="70">
        <v>24.0</v>
      </c>
      <c r="AA215" s="70">
        <v>25.0</v>
      </c>
      <c r="AB215" s="70">
        <v>26.0</v>
      </c>
      <c r="AC215" s="70">
        <v>27.0</v>
      </c>
      <c r="AD215" s="70">
        <v>28.0</v>
      </c>
      <c r="AE215" s="70">
        <v>29.0</v>
      </c>
      <c r="AF215" s="70">
        <v>30.0</v>
      </c>
      <c r="AG215" s="70">
        <v>31.0</v>
      </c>
      <c r="AH215" s="19" t="s">
        <v>46</v>
      </c>
    </row>
    <row r="216" ht="30.0" customHeight="1">
      <c r="A216" s="50"/>
      <c r="B216" s="58" t="s">
        <v>180</v>
      </c>
      <c r="C216" s="61"/>
      <c r="D216" s="61"/>
      <c r="E216" s="10" t="s">
        <v>6</v>
      </c>
      <c r="F216" s="61"/>
      <c r="G216" s="10" t="s">
        <v>6</v>
      </c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33"/>
      <c r="AE216" s="36"/>
      <c r="AF216" s="36"/>
      <c r="AG216" s="36"/>
      <c r="AH216" s="59"/>
    </row>
    <row r="217" ht="30.0" customHeight="1">
      <c r="A217" s="50"/>
      <c r="B217" s="58" t="s">
        <v>272</v>
      </c>
      <c r="C217" s="61"/>
      <c r="D217" s="61"/>
      <c r="E217" s="10" t="s">
        <v>6</v>
      </c>
      <c r="F217" s="61"/>
      <c r="G217" s="10" t="s">
        <v>6</v>
      </c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10" t="s">
        <v>6</v>
      </c>
      <c r="T217" s="61"/>
      <c r="U217" s="10" t="s">
        <v>6</v>
      </c>
      <c r="V217" s="61"/>
      <c r="W217" s="61"/>
      <c r="X217" s="61"/>
      <c r="Y217" s="61"/>
      <c r="Z217" s="10" t="s">
        <v>6</v>
      </c>
      <c r="AA217" s="61"/>
      <c r="AB217" s="10" t="s">
        <v>6</v>
      </c>
      <c r="AC217" s="61"/>
      <c r="AD217" s="21"/>
      <c r="AE217" s="33"/>
      <c r="AF217" s="33"/>
      <c r="AG217" s="10" t="s">
        <v>6</v>
      </c>
      <c r="AH217" s="59"/>
    </row>
    <row r="218" ht="30.0" customHeight="1">
      <c r="A218" s="50"/>
      <c r="B218" s="58" t="s">
        <v>271</v>
      </c>
      <c r="C218" s="61"/>
      <c r="D218" s="61"/>
      <c r="E218" s="10" t="s">
        <v>6</v>
      </c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10" t="s">
        <v>6</v>
      </c>
      <c r="T218" s="61"/>
      <c r="U218" s="10" t="s">
        <v>6</v>
      </c>
      <c r="V218" s="61"/>
      <c r="W218" s="61"/>
      <c r="X218" s="61"/>
      <c r="Y218" s="61"/>
      <c r="Z218" s="10" t="s">
        <v>6</v>
      </c>
      <c r="AA218" s="61"/>
      <c r="AB218" s="10" t="s">
        <v>6</v>
      </c>
      <c r="AC218" s="61"/>
      <c r="AD218" s="21"/>
      <c r="AE218" s="33"/>
      <c r="AF218" s="33"/>
      <c r="AG218" s="10" t="s">
        <v>6</v>
      </c>
      <c r="AH218" s="59"/>
    </row>
    <row r="219" ht="30.0" customHeight="1">
      <c r="A219" s="50"/>
      <c r="B219" s="60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3"/>
      <c r="AE219" s="61"/>
      <c r="AF219" s="61"/>
      <c r="AG219" s="61"/>
      <c r="AH219" s="59"/>
    </row>
    <row r="220" ht="30.0" customHeight="1">
      <c r="A220" s="50"/>
      <c r="B220" s="61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3"/>
      <c r="AE220" s="61"/>
      <c r="AF220" s="61"/>
      <c r="AG220" s="61"/>
      <c r="AH220" s="59"/>
    </row>
    <row r="221" ht="30.0" customHeight="1">
      <c r="A221" s="50"/>
      <c r="B221" s="62" t="str">
        <f>Marzo!MonthName&amp;" Total"</f>
        <v>Marzo Total</v>
      </c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0" t="s">
        <v>292</v>
      </c>
      <c r="AB221" s="61"/>
      <c r="AC221" s="61"/>
      <c r="AD221" s="21"/>
      <c r="AE221" s="63">
        <f>SUBTOTAL(103,Marzo!$AE$7)</f>
        <v>0</v>
      </c>
      <c r="AF221" s="63">
        <f>SUBTOTAL(103,Marzo!$AF$7)</f>
        <v>0</v>
      </c>
      <c r="AG221" s="63">
        <f>SUBTOTAL(103,Marzo!$AG$7)</f>
        <v>0</v>
      </c>
      <c r="AH221" s="65"/>
    </row>
    <row r="222" ht="30.0" customHeight="1">
      <c r="AH222" s="5"/>
    </row>
    <row r="223" ht="30.0" customHeight="1">
      <c r="A223" s="50"/>
      <c r="B223" s="15" t="s">
        <v>291</v>
      </c>
      <c r="C223" s="27" t="s">
        <v>294</v>
      </c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39">
        <v>2026.0</v>
      </c>
    </row>
    <row r="224" ht="30.0" customHeight="1">
      <c r="A224" s="50"/>
      <c r="B224" s="56"/>
      <c r="C224" s="16" t="str">
        <f>TEXT(WEEKDAY(DATE(Marzo!CalendarioAño,1,4),1),"ddd")</f>
        <v>dom</v>
      </c>
      <c r="D224" s="16" t="str">
        <f>TEXT(WEEKDAY(DATE(Marzo!CalendarioAño,1,5),1),"ddd")</f>
        <v>lun</v>
      </c>
      <c r="E224" s="16" t="str">
        <f>TEXT(WEEKDAY(DATE(Marzo!CalendarioAño,1,6),1),"ddd")</f>
        <v>mar</v>
      </c>
      <c r="F224" s="16" t="str">
        <f>TEXT(WEEKDAY(DATE(Marzo!CalendarioAño,1,7),1),"ddd")</f>
        <v>mié</v>
      </c>
      <c r="G224" s="16" t="str">
        <f>TEXT(WEEKDAY(DATE(Marzo!CalendarioAño,1,8),1),"ddd")</f>
        <v>jue</v>
      </c>
      <c r="H224" s="16" t="str">
        <f>TEXT(WEEKDAY(DATE(Marzo!CalendarioAño,1,9),1),"ddd")</f>
        <v>vie</v>
      </c>
      <c r="I224" s="16" t="str">
        <f>TEXT(WEEKDAY(DATE(Marzo!CalendarioAño,1,10),1),"ddd")</f>
        <v>sáb</v>
      </c>
      <c r="J224" s="16" t="str">
        <f>TEXT(WEEKDAY(DATE(Marzo!CalendarioAño,1,4),1),"ddd")</f>
        <v>dom</v>
      </c>
      <c r="K224" s="16" t="str">
        <f>TEXT(WEEKDAY(DATE(Marzo!CalendarioAño,1,5),1),"ddd")</f>
        <v>lun</v>
      </c>
      <c r="L224" s="16" t="str">
        <f>TEXT(WEEKDAY(DATE(Marzo!CalendarioAño,1,6),1),"ddd")</f>
        <v>mar</v>
      </c>
      <c r="M224" s="16" t="str">
        <f>TEXT(WEEKDAY(DATE(Marzo!CalendarioAño,1,7),1),"ddd")</f>
        <v>mié</v>
      </c>
      <c r="N224" s="16" t="str">
        <f>TEXT(WEEKDAY(DATE(Marzo!CalendarioAño,1,8),1),"ddd")</f>
        <v>jue</v>
      </c>
      <c r="O224" s="16" t="str">
        <f>TEXT(WEEKDAY(DATE(Marzo!CalendarioAño,1,9),1),"ddd")</f>
        <v>vie</v>
      </c>
      <c r="P224" s="16" t="str">
        <f>TEXT(WEEKDAY(DATE(Marzo!CalendarioAño,1,10),1),"ddd")</f>
        <v>sáb</v>
      </c>
      <c r="Q224" s="16" t="str">
        <f>TEXT(WEEKDAY(DATE(Marzo!CalendarioAño,1,4),1),"ddd")</f>
        <v>dom</v>
      </c>
      <c r="R224" s="16" t="str">
        <f>TEXT(WEEKDAY(DATE(Marzo!CalendarioAño,1,5),1),"ddd")</f>
        <v>lun</v>
      </c>
      <c r="S224" s="16" t="str">
        <f>TEXT(WEEKDAY(DATE(Marzo!CalendarioAño,1,6),1),"ddd")</f>
        <v>mar</v>
      </c>
      <c r="T224" s="16" t="str">
        <f>TEXT(WEEKDAY(DATE(Marzo!CalendarioAño,1,7),1),"ddd")</f>
        <v>mié</v>
      </c>
      <c r="U224" s="16" t="str">
        <f>TEXT(WEEKDAY(DATE(Marzo!CalendarioAño,1,8),1),"ddd")</f>
        <v>jue</v>
      </c>
      <c r="V224" s="16" t="str">
        <f>TEXT(WEEKDAY(DATE(Marzo!CalendarioAño,1,9),1),"ddd")</f>
        <v>vie</v>
      </c>
      <c r="W224" s="16" t="str">
        <f>TEXT(WEEKDAY(DATE(Marzo!CalendarioAño,1,10),1),"ddd")</f>
        <v>sáb</v>
      </c>
      <c r="X224" s="16" t="str">
        <f>TEXT(WEEKDAY(DATE(Marzo!CalendarioAño,1,4),1),"ddd")</f>
        <v>dom</v>
      </c>
      <c r="Y224" s="16" t="str">
        <f>TEXT(WEEKDAY(DATE(Marzo!CalendarioAño,1,5),1),"ddd")</f>
        <v>lun</v>
      </c>
      <c r="Z224" s="16" t="str">
        <f>TEXT(WEEKDAY(DATE(Marzo!CalendarioAño,1,6),1),"ddd")</f>
        <v>mar</v>
      </c>
      <c r="AA224" s="16" t="str">
        <f>TEXT(WEEKDAY(DATE(Marzo!CalendarioAño,1,7),1),"ddd")</f>
        <v>mié</v>
      </c>
      <c r="AB224" s="16" t="str">
        <f>TEXT(WEEKDAY(DATE(Marzo!CalendarioAño,1,8),1),"ddd")</f>
        <v>jue</v>
      </c>
      <c r="AC224" s="16" t="str">
        <f>TEXT(WEEKDAY(DATE(Marzo!CalendarioAño,1,9),1),"ddd")</f>
        <v>vie</v>
      </c>
      <c r="AD224" s="16" t="str">
        <f>TEXT(WEEKDAY(DATE(Marzo!CalendarioAño,1,10),1),"ddd")</f>
        <v>sáb</v>
      </c>
      <c r="AE224" s="16" t="str">
        <f>TEXT(WEEKDAY(DATE(Marzo!CalendarioAño,1,4),1),"ddd")</f>
        <v>dom</v>
      </c>
      <c r="AF224" s="16" t="str">
        <f>TEXT(WEEKDAY(DATE(Marzo!CalendarioAño,1,5),1),"ddd")</f>
        <v>lun</v>
      </c>
      <c r="AG224" s="16" t="str">
        <f>TEXT(WEEKDAY(DATE(Marzo!CalendarioAño,1,6),1),"ddd")</f>
        <v>mar</v>
      </c>
      <c r="AH224" s="57"/>
    </row>
    <row r="225" ht="30.0" customHeight="1">
      <c r="A225" s="18"/>
      <c r="B225" s="66" t="s">
        <v>14</v>
      </c>
      <c r="C225" s="70">
        <v>1.0</v>
      </c>
      <c r="D225" s="70">
        <v>2.0</v>
      </c>
      <c r="E225" s="70">
        <v>3.0</v>
      </c>
      <c r="F225" s="70">
        <v>4.0</v>
      </c>
      <c r="G225" s="70">
        <v>5.0</v>
      </c>
      <c r="H225" s="70">
        <v>6.0</v>
      </c>
      <c r="I225" s="70">
        <v>7.0</v>
      </c>
      <c r="J225" s="70">
        <v>8.0</v>
      </c>
      <c r="K225" s="70">
        <v>9.0</v>
      </c>
      <c r="L225" s="70">
        <v>10.0</v>
      </c>
      <c r="M225" s="70">
        <v>11.0</v>
      </c>
      <c r="N225" s="70">
        <v>12.0</v>
      </c>
      <c r="O225" s="70">
        <v>13.0</v>
      </c>
      <c r="P225" s="70">
        <v>14.0</v>
      </c>
      <c r="Q225" s="70">
        <v>15.0</v>
      </c>
      <c r="R225" s="70">
        <v>16.0</v>
      </c>
      <c r="S225" s="70">
        <v>17.0</v>
      </c>
      <c r="T225" s="70">
        <v>18.0</v>
      </c>
      <c r="U225" s="70">
        <v>19.0</v>
      </c>
      <c r="V225" s="70">
        <v>20.0</v>
      </c>
      <c r="W225" s="70">
        <v>21.0</v>
      </c>
      <c r="X225" s="70">
        <v>22.0</v>
      </c>
      <c r="Y225" s="70">
        <v>23.0</v>
      </c>
      <c r="Z225" s="70">
        <v>24.0</v>
      </c>
      <c r="AA225" s="70">
        <v>25.0</v>
      </c>
      <c r="AB225" s="70">
        <v>26.0</v>
      </c>
      <c r="AC225" s="70">
        <v>27.0</v>
      </c>
      <c r="AD225" s="70">
        <v>28.0</v>
      </c>
      <c r="AE225" s="70">
        <v>29.0</v>
      </c>
      <c r="AF225" s="70">
        <v>30.0</v>
      </c>
      <c r="AG225" s="70">
        <v>31.0</v>
      </c>
      <c r="AH225" s="19" t="s">
        <v>46</v>
      </c>
    </row>
    <row r="226" ht="30.0" customHeight="1">
      <c r="A226" s="50"/>
      <c r="B226" s="58" t="s">
        <v>273</v>
      </c>
      <c r="C226" s="36"/>
      <c r="D226" s="36"/>
      <c r="E226" s="10" t="s">
        <v>6</v>
      </c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10" t="s">
        <v>6</v>
      </c>
      <c r="T226" s="36"/>
      <c r="U226" s="10" t="s">
        <v>6</v>
      </c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59"/>
    </row>
    <row r="227" ht="30.0" customHeight="1">
      <c r="A227" s="50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7"/>
    </row>
    <row r="228" ht="30.0" customHeight="1">
      <c r="A228" s="50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59"/>
    </row>
    <row r="229" ht="30.0" customHeight="1">
      <c r="A229" s="50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7"/>
    </row>
    <row r="230" ht="30.0" customHeight="1">
      <c r="A230" s="50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59"/>
    </row>
    <row r="231" ht="30.0" customHeight="1">
      <c r="A231" s="50"/>
      <c r="B231" s="62" t="str">
        <f>Marzo!MonthName&amp;" Total"</f>
        <v>Marzo Total</v>
      </c>
      <c r="C231" s="63">
        <f>SUBTOTAL(103,Marzo!$C$7)</f>
        <v>0</v>
      </c>
      <c r="D231" s="63">
        <f>SUBTOTAL(103,Marzo!$D$7)</f>
        <v>0</v>
      </c>
      <c r="E231" s="63">
        <f>SUBTOTAL(103,Marzo!$E$7)</f>
        <v>0</v>
      </c>
      <c r="F231" s="63"/>
      <c r="G231" s="63"/>
      <c r="H231" s="63">
        <f>SUBTOTAL(103,Marzo!$H$7)</f>
        <v>0</v>
      </c>
      <c r="I231" s="63">
        <f>SUBTOTAL(103,Marzo!$I$7)</f>
        <v>0</v>
      </c>
      <c r="J231" s="63">
        <f>SUBTOTAL(103,Marzo!$J$7)</f>
        <v>0</v>
      </c>
      <c r="K231" s="63">
        <f>SUBTOTAL(103,Marzo!$K$7)</f>
        <v>0</v>
      </c>
      <c r="L231" s="63">
        <f>SUBTOTAL(103,Marzo!$L$7)</f>
        <v>0</v>
      </c>
      <c r="M231" s="63"/>
      <c r="N231" s="63">
        <f>SUBTOTAL(103,Marzo!$N$7)</f>
        <v>0</v>
      </c>
      <c r="O231" s="63">
        <f>SUBTOTAL(103,Marzo!$O$7)</f>
        <v>0</v>
      </c>
      <c r="P231" s="63">
        <f>SUBTOTAL(103,Marzo!$P$7)</f>
        <v>0</v>
      </c>
      <c r="Q231" s="63">
        <f>SUBTOTAL(103,Marzo!$Q$7)</f>
        <v>0</v>
      </c>
      <c r="R231" s="63">
        <f>SUBTOTAL(103,Marzo!$R$7)</f>
        <v>0</v>
      </c>
      <c r="S231" s="63">
        <f>SUBTOTAL(103,Marzo!$S$7)</f>
        <v>0</v>
      </c>
      <c r="T231" s="63">
        <f>SUBTOTAL(103,Marzo!$T$7)</f>
        <v>0</v>
      </c>
      <c r="U231" s="63">
        <f>SUBTOTAL(103,Marzo!$U$7)</f>
        <v>0</v>
      </c>
      <c r="V231" s="63"/>
      <c r="W231" s="63">
        <f>SUBTOTAL(103,Marzo!$W$7)</f>
        <v>0</v>
      </c>
      <c r="X231" s="63">
        <f>SUBTOTAL(103,Marzo!$X$7)</f>
        <v>0</v>
      </c>
      <c r="Y231" s="63">
        <f>SUBTOTAL(103,Marzo!$Y$7)</f>
        <v>0</v>
      </c>
      <c r="Z231" s="63">
        <f>SUBTOTAL(103,Marzo!$Z$7)</f>
        <v>0</v>
      </c>
      <c r="AA231" s="63">
        <f>SUBTOTAL(103,Marzo!$AA$7)</f>
        <v>0</v>
      </c>
      <c r="AB231" s="63">
        <f>SUBTOTAL(103,Marzo!$AB$7)</f>
        <v>0</v>
      </c>
      <c r="AC231" s="63">
        <f>SUBTOTAL(103,Marzo!$AC$7)</f>
        <v>0</v>
      </c>
      <c r="AD231" s="63">
        <f>SUBTOTAL(103,Marzo!$AD$7)</f>
        <v>0</v>
      </c>
      <c r="AE231" s="63">
        <f>SUBTOTAL(103,Marzo!$AE$7)</f>
        <v>0</v>
      </c>
      <c r="AF231" s="63">
        <f>SUBTOTAL(103,Marzo!$AF$7)</f>
        <v>0</v>
      </c>
      <c r="AG231" s="63">
        <f>SUBTOTAL(103,Marzo!$AG$7)</f>
        <v>0</v>
      </c>
      <c r="AH231" s="65">
        <f>SUM(C231:AG231)</f>
        <v>0</v>
      </c>
    </row>
    <row r="232" ht="30.0" customHeight="1">
      <c r="AH232" s="5"/>
    </row>
    <row r="233" ht="30.0" customHeight="1">
      <c r="AH233" s="5"/>
    </row>
    <row r="234" ht="30.0" customHeight="1">
      <c r="AH234" s="5"/>
    </row>
    <row r="235" ht="30.0" customHeight="1">
      <c r="AH235" s="5"/>
    </row>
    <row r="236" ht="30.0" customHeight="1">
      <c r="AH236" s="5"/>
    </row>
    <row r="237" ht="30.0" customHeight="1">
      <c r="AH237" s="5"/>
    </row>
    <row r="238" ht="30.0" customHeight="1">
      <c r="AH238" s="5"/>
    </row>
    <row r="239" ht="30.0" customHeight="1">
      <c r="AH239" s="5"/>
    </row>
    <row r="240" ht="30.0" customHeight="1">
      <c r="AH240" s="5"/>
    </row>
    <row r="241" ht="30.0" customHeight="1">
      <c r="AH241" s="5"/>
    </row>
    <row r="242" ht="30.0" customHeight="1">
      <c r="AH242" s="5"/>
    </row>
    <row r="243" ht="30.0" customHeight="1">
      <c r="AH243" s="5"/>
    </row>
    <row r="244" ht="30.0" customHeight="1">
      <c r="AH244" s="5"/>
    </row>
    <row r="245" ht="30.0" customHeight="1">
      <c r="AH245" s="5"/>
    </row>
    <row r="246" ht="30.0" customHeight="1">
      <c r="AH246" s="5"/>
    </row>
    <row r="247" ht="30.0" customHeight="1">
      <c r="AH247" s="5"/>
    </row>
    <row r="248" ht="30.0" customHeight="1">
      <c r="AH248" s="5"/>
    </row>
    <row r="249" ht="30.0" customHeight="1">
      <c r="AH249" s="5"/>
    </row>
    <row r="250" ht="30.0" customHeight="1">
      <c r="AH250" s="5"/>
    </row>
    <row r="251" ht="30.0" customHeight="1">
      <c r="AH251" s="5"/>
    </row>
    <row r="252" ht="30.0" customHeight="1">
      <c r="AH252" s="5"/>
    </row>
    <row r="253" ht="30.0" customHeight="1">
      <c r="AH253" s="5"/>
    </row>
    <row r="254" ht="30.0" customHeight="1">
      <c r="AH254" s="5"/>
    </row>
    <row r="255" ht="30.0" customHeight="1">
      <c r="AH255" s="5"/>
    </row>
    <row r="256" ht="30.0" customHeight="1">
      <c r="AH256" s="5"/>
    </row>
    <row r="257" ht="30.0" customHeight="1">
      <c r="AH257" s="5"/>
    </row>
    <row r="258" ht="30.0" customHeight="1">
      <c r="AH258" s="5"/>
    </row>
    <row r="259" ht="30.0" customHeight="1">
      <c r="AH259" s="5"/>
    </row>
    <row r="260" ht="30.0" customHeight="1">
      <c r="AH260" s="5"/>
    </row>
    <row r="261" ht="30.0" customHeight="1">
      <c r="AH261" s="5"/>
    </row>
    <row r="262" ht="30.0" customHeight="1">
      <c r="AH262" s="5"/>
    </row>
    <row r="263" ht="30.0" customHeight="1">
      <c r="AH263" s="5"/>
    </row>
    <row r="264" ht="30.0" customHeight="1">
      <c r="AH264" s="5"/>
    </row>
    <row r="265" ht="30.0" customHeight="1">
      <c r="AH265" s="5"/>
    </row>
    <row r="266" ht="30.0" customHeight="1">
      <c r="AH266" s="5"/>
    </row>
    <row r="267" ht="30.0" customHeight="1">
      <c r="AH267" s="5"/>
    </row>
    <row r="268" ht="30.0" customHeight="1">
      <c r="AH268" s="5"/>
    </row>
    <row r="269" ht="30.0" customHeight="1">
      <c r="AH269" s="5"/>
    </row>
    <row r="270" ht="30.0" customHeight="1">
      <c r="AH270" s="5"/>
    </row>
    <row r="271" ht="30.0" customHeight="1">
      <c r="AH271" s="5"/>
    </row>
    <row r="272" ht="30.0" customHeight="1">
      <c r="AH272" s="5"/>
    </row>
    <row r="273" ht="30.0" customHeight="1">
      <c r="AH273" s="5"/>
    </row>
    <row r="274" ht="30.0" customHeight="1">
      <c r="AH274" s="5"/>
    </row>
    <row r="275" ht="30.0" customHeight="1">
      <c r="AH275" s="5"/>
    </row>
    <row r="276" ht="30.0" customHeight="1">
      <c r="AH276" s="5"/>
    </row>
    <row r="277" ht="30.0" customHeight="1">
      <c r="AH277" s="5"/>
    </row>
    <row r="278" ht="30.0" customHeight="1">
      <c r="AH278" s="5"/>
    </row>
    <row r="279" ht="30.0" customHeight="1">
      <c r="AH279" s="5"/>
    </row>
    <row r="280" ht="30.0" customHeight="1">
      <c r="AH280" s="5"/>
    </row>
    <row r="281" ht="30.0" customHeight="1">
      <c r="AH281" s="5"/>
    </row>
    <row r="282" ht="30.0" customHeight="1">
      <c r="AH282" s="5"/>
    </row>
    <row r="283" ht="30.0" customHeight="1">
      <c r="AH283" s="5"/>
    </row>
    <row r="284" ht="30.0" customHeight="1">
      <c r="AH284" s="5"/>
    </row>
    <row r="285" ht="30.0" customHeight="1">
      <c r="AH285" s="5"/>
    </row>
    <row r="286" ht="30.0" customHeight="1">
      <c r="AH286" s="5"/>
    </row>
    <row r="287" ht="30.0" customHeight="1">
      <c r="AH287" s="5"/>
    </row>
    <row r="288" ht="30.0" customHeight="1">
      <c r="AH288" s="5"/>
    </row>
    <row r="289" ht="30.0" customHeight="1">
      <c r="AH289" s="5"/>
    </row>
    <row r="290" ht="30.0" customHeight="1">
      <c r="AH290" s="5"/>
    </row>
    <row r="291" ht="30.0" customHeight="1">
      <c r="AH291" s="5"/>
    </row>
    <row r="292" ht="30.0" customHeight="1">
      <c r="AH292" s="5"/>
    </row>
    <row r="293" ht="30.0" customHeight="1">
      <c r="AH293" s="5"/>
    </row>
    <row r="294" ht="30.0" customHeight="1">
      <c r="AH294" s="5"/>
    </row>
    <row r="295" ht="30.0" customHeight="1">
      <c r="AH295" s="5"/>
    </row>
    <row r="296" ht="30.0" customHeight="1">
      <c r="AH296" s="5"/>
    </row>
    <row r="297" ht="30.0" customHeight="1">
      <c r="AH297" s="5"/>
    </row>
    <row r="298" ht="30.0" customHeight="1">
      <c r="AH298" s="5"/>
    </row>
    <row r="299" ht="30.0" customHeight="1">
      <c r="AH299" s="5"/>
    </row>
    <row r="300" ht="30.0" customHeight="1">
      <c r="AH300" s="5"/>
    </row>
    <row r="301" ht="30.0" customHeight="1">
      <c r="AH301" s="5"/>
    </row>
    <row r="302" ht="30.0" customHeight="1">
      <c r="AH302" s="5"/>
    </row>
    <row r="303" ht="30.0" customHeight="1">
      <c r="AH303" s="5"/>
    </row>
    <row r="304" ht="30.0" customHeight="1">
      <c r="AH304" s="5"/>
    </row>
    <row r="305" ht="30.0" customHeight="1">
      <c r="AH305" s="5"/>
    </row>
    <row r="306" ht="30.0" customHeight="1">
      <c r="AH306" s="5"/>
    </row>
    <row r="307" ht="30.0" customHeight="1">
      <c r="AH307" s="5"/>
    </row>
    <row r="308" ht="30.0" customHeight="1">
      <c r="AH308" s="5"/>
    </row>
    <row r="309" ht="30.0" customHeight="1">
      <c r="AH309" s="5"/>
    </row>
    <row r="310" ht="30.0" customHeight="1">
      <c r="AH310" s="5"/>
    </row>
    <row r="311" ht="30.0" customHeight="1">
      <c r="AH311" s="5"/>
    </row>
    <row r="312" ht="30.0" customHeight="1">
      <c r="AH312" s="5"/>
    </row>
    <row r="313" ht="30.0" customHeight="1">
      <c r="AH313" s="5"/>
    </row>
    <row r="314" ht="30.0" customHeight="1">
      <c r="AH314" s="5"/>
    </row>
    <row r="315" ht="30.0" customHeight="1">
      <c r="AH315" s="5"/>
    </row>
    <row r="316" ht="30.0" customHeight="1">
      <c r="AH316" s="5"/>
    </row>
    <row r="317" ht="30.0" customHeight="1">
      <c r="AH317" s="5"/>
    </row>
    <row r="318" ht="30.0" customHeight="1">
      <c r="AH318" s="5"/>
    </row>
    <row r="319" ht="30.0" customHeight="1">
      <c r="AH319" s="5"/>
    </row>
    <row r="320" ht="30.0" customHeight="1">
      <c r="AH320" s="5"/>
    </row>
    <row r="321" ht="30.0" customHeight="1">
      <c r="AH321" s="5"/>
    </row>
    <row r="322" ht="30.0" customHeight="1">
      <c r="AH322" s="5"/>
    </row>
    <row r="323" ht="30.0" customHeight="1">
      <c r="AH323" s="5"/>
    </row>
    <row r="324" ht="30.0" customHeight="1">
      <c r="AH324" s="5"/>
    </row>
    <row r="325" ht="30.0" customHeight="1">
      <c r="AH325" s="5"/>
    </row>
    <row r="326" ht="30.0" customHeight="1">
      <c r="AH326" s="5"/>
    </row>
    <row r="327" ht="30.0" customHeight="1">
      <c r="AH327" s="5"/>
    </row>
    <row r="328" ht="30.0" customHeight="1">
      <c r="AH328" s="5"/>
    </row>
    <row r="329" ht="30.0" customHeight="1">
      <c r="AH329" s="5"/>
    </row>
    <row r="330" ht="30.0" customHeight="1">
      <c r="AH330" s="5"/>
    </row>
    <row r="331" ht="30.0" customHeight="1">
      <c r="AH331" s="5"/>
    </row>
    <row r="332" ht="30.0" customHeight="1">
      <c r="AH332" s="5"/>
    </row>
    <row r="333" ht="30.0" customHeight="1">
      <c r="AH333" s="5"/>
    </row>
    <row r="334" ht="30.0" customHeight="1">
      <c r="AH334" s="5"/>
    </row>
    <row r="335" ht="30.0" customHeight="1">
      <c r="AH335" s="5"/>
    </row>
    <row r="336" ht="30.0" customHeight="1">
      <c r="AH336" s="5"/>
    </row>
    <row r="337" ht="30.0" customHeight="1">
      <c r="AH337" s="5"/>
    </row>
    <row r="338" ht="30.0" customHeight="1">
      <c r="AH338" s="5"/>
    </row>
    <row r="339" ht="30.0" customHeight="1">
      <c r="AH339" s="5"/>
    </row>
    <row r="340" ht="30.0" customHeight="1">
      <c r="AH340" s="5"/>
    </row>
    <row r="341" ht="30.0" customHeight="1">
      <c r="AH341" s="5"/>
    </row>
    <row r="342" ht="30.0" customHeight="1">
      <c r="AH342" s="5"/>
    </row>
    <row r="343" ht="30.0" customHeight="1">
      <c r="AH343" s="5"/>
    </row>
    <row r="344" ht="30.0" customHeight="1">
      <c r="AH344" s="5"/>
    </row>
    <row r="345" ht="30.0" customHeight="1">
      <c r="AH345" s="5"/>
    </row>
    <row r="346" ht="30.0" customHeight="1">
      <c r="AH346" s="5"/>
    </row>
    <row r="347" ht="30.0" customHeight="1">
      <c r="AH347" s="5"/>
    </row>
    <row r="348" ht="30.0" customHeight="1">
      <c r="AH348" s="5"/>
    </row>
    <row r="349" ht="30.0" customHeight="1">
      <c r="AH349" s="5"/>
    </row>
    <row r="350" ht="30.0" customHeight="1">
      <c r="AH350" s="5"/>
    </row>
    <row r="351" ht="30.0" customHeight="1">
      <c r="AH351" s="5"/>
    </row>
    <row r="352" ht="30.0" customHeight="1">
      <c r="AH352" s="5"/>
    </row>
    <row r="353" ht="30.0" customHeight="1">
      <c r="AH353" s="5"/>
    </row>
    <row r="354" ht="30.0" customHeight="1">
      <c r="AH354" s="5"/>
    </row>
    <row r="355" ht="30.0" customHeight="1">
      <c r="AH355" s="5"/>
    </row>
    <row r="356" ht="30.0" customHeight="1">
      <c r="AH356" s="5"/>
    </row>
    <row r="357" ht="30.0" customHeight="1">
      <c r="AH357" s="5"/>
    </row>
    <row r="358" ht="30.0" customHeight="1">
      <c r="AH358" s="5"/>
    </row>
    <row r="359" ht="30.0" customHeight="1">
      <c r="AH359" s="5"/>
    </row>
    <row r="360" ht="30.0" customHeight="1">
      <c r="AH360" s="5"/>
    </row>
    <row r="361" ht="30.0" customHeight="1">
      <c r="AH361" s="5"/>
    </row>
    <row r="362" ht="30.0" customHeight="1">
      <c r="AH362" s="5"/>
    </row>
    <row r="363" ht="30.0" customHeight="1">
      <c r="AH363" s="5"/>
    </row>
    <row r="364" ht="30.0" customHeight="1">
      <c r="AH364" s="5"/>
    </row>
    <row r="365" ht="30.0" customHeight="1">
      <c r="AH365" s="5"/>
    </row>
    <row r="366" ht="30.0" customHeight="1">
      <c r="AH366" s="5"/>
    </row>
    <row r="367" ht="30.0" customHeight="1">
      <c r="AH367" s="5"/>
    </row>
    <row r="368" ht="30.0" customHeight="1">
      <c r="AH368" s="5"/>
    </row>
    <row r="369" ht="30.0" customHeight="1">
      <c r="AH369" s="5"/>
    </row>
    <row r="370" ht="30.0" customHeight="1">
      <c r="AH370" s="5"/>
    </row>
    <row r="371" ht="30.0" customHeight="1">
      <c r="AH371" s="5"/>
    </row>
    <row r="372" ht="30.0" customHeight="1">
      <c r="AH372" s="5"/>
    </row>
    <row r="373" ht="30.0" customHeight="1">
      <c r="AH373" s="5"/>
    </row>
    <row r="374" ht="30.0" customHeight="1">
      <c r="AH374" s="5"/>
    </row>
    <row r="375" ht="30.0" customHeight="1">
      <c r="AH375" s="5"/>
    </row>
    <row r="376" ht="30.0" customHeight="1">
      <c r="AH376" s="5"/>
    </row>
    <row r="377" ht="30.0" customHeight="1">
      <c r="AH377" s="5"/>
    </row>
    <row r="378" ht="30.0" customHeight="1">
      <c r="AH378" s="5"/>
    </row>
    <row r="379" ht="30.0" customHeight="1">
      <c r="AH379" s="5"/>
    </row>
    <row r="380" ht="30.0" customHeight="1">
      <c r="AH380" s="5"/>
    </row>
    <row r="381" ht="30.0" customHeight="1">
      <c r="AH381" s="5"/>
    </row>
    <row r="382" ht="30.0" customHeight="1">
      <c r="AH382" s="5"/>
    </row>
    <row r="383" ht="30.0" customHeight="1">
      <c r="AH383" s="5"/>
    </row>
    <row r="384" ht="30.0" customHeight="1">
      <c r="AH384" s="5"/>
    </row>
    <row r="385" ht="30.0" customHeight="1">
      <c r="AH385" s="5"/>
    </row>
    <row r="386" ht="30.0" customHeight="1">
      <c r="AH386" s="5"/>
    </row>
    <row r="387" ht="30.0" customHeight="1">
      <c r="AH387" s="5"/>
    </row>
    <row r="388" ht="30.0" customHeight="1">
      <c r="AH388" s="5"/>
    </row>
    <row r="389" ht="30.0" customHeight="1">
      <c r="AH389" s="5"/>
    </row>
    <row r="390" ht="30.0" customHeight="1">
      <c r="AH390" s="5"/>
    </row>
    <row r="391" ht="30.0" customHeight="1">
      <c r="AH391" s="5"/>
    </row>
    <row r="392" ht="30.0" customHeight="1">
      <c r="AH392" s="5"/>
    </row>
    <row r="393" ht="30.0" customHeight="1">
      <c r="AH393" s="5"/>
    </row>
    <row r="394" ht="30.0" customHeight="1">
      <c r="AH394" s="5"/>
    </row>
    <row r="395" ht="30.0" customHeight="1">
      <c r="AH395" s="5"/>
    </row>
    <row r="396" ht="30.0" customHeight="1">
      <c r="AH396" s="5"/>
    </row>
    <row r="397" ht="30.0" customHeight="1">
      <c r="AH397" s="5"/>
    </row>
    <row r="398" ht="30.0" customHeight="1">
      <c r="AH398" s="5"/>
    </row>
    <row r="399" ht="30.0" customHeight="1">
      <c r="AH399" s="5"/>
    </row>
    <row r="400" ht="30.0" customHeight="1">
      <c r="AH400" s="5"/>
    </row>
    <row r="401" ht="30.0" customHeight="1">
      <c r="AH401" s="5"/>
    </row>
    <row r="402" ht="30.0" customHeight="1">
      <c r="AH402" s="5"/>
    </row>
    <row r="403" ht="30.0" customHeight="1">
      <c r="AH403" s="5"/>
    </row>
    <row r="404" ht="30.0" customHeight="1">
      <c r="AH404" s="5"/>
    </row>
    <row r="405" ht="30.0" customHeight="1">
      <c r="AH405" s="5"/>
    </row>
    <row r="406" ht="30.0" customHeight="1">
      <c r="AH406" s="5"/>
    </row>
    <row r="407" ht="30.0" customHeight="1">
      <c r="AH407" s="5"/>
    </row>
    <row r="408" ht="30.0" customHeight="1">
      <c r="AH408" s="5"/>
    </row>
    <row r="409" ht="30.0" customHeight="1">
      <c r="AH409" s="5"/>
    </row>
    <row r="410" ht="30.0" customHeight="1">
      <c r="AH410" s="5"/>
    </row>
    <row r="411" ht="30.0" customHeight="1">
      <c r="AH411" s="5"/>
    </row>
    <row r="412" ht="30.0" customHeight="1">
      <c r="AH412" s="5"/>
    </row>
    <row r="413" ht="30.0" customHeight="1">
      <c r="AH413" s="5"/>
    </row>
    <row r="414" ht="30.0" customHeight="1">
      <c r="AH414" s="5"/>
    </row>
    <row r="415" ht="30.0" customHeight="1">
      <c r="AH415" s="5"/>
    </row>
    <row r="416" ht="30.0" customHeight="1">
      <c r="AH416" s="5"/>
    </row>
    <row r="417" ht="30.0" customHeight="1">
      <c r="AH417" s="5"/>
    </row>
    <row r="418" ht="30.0" customHeight="1">
      <c r="AH418" s="5"/>
    </row>
    <row r="419" ht="30.0" customHeight="1">
      <c r="AH419" s="5"/>
    </row>
    <row r="420" ht="30.0" customHeight="1">
      <c r="AH420" s="5"/>
    </row>
    <row r="421" ht="30.0" customHeight="1">
      <c r="AH421" s="5"/>
    </row>
    <row r="422" ht="30.0" customHeight="1">
      <c r="AH422" s="5"/>
    </row>
    <row r="423" ht="30.0" customHeight="1">
      <c r="AH423" s="5"/>
    </row>
    <row r="424" ht="30.0" customHeight="1">
      <c r="AH424" s="5"/>
    </row>
    <row r="425" ht="30.0" customHeight="1">
      <c r="AH425" s="5"/>
    </row>
    <row r="426" ht="30.0" customHeight="1">
      <c r="AH426" s="5"/>
    </row>
    <row r="427" ht="30.0" customHeight="1">
      <c r="AH427" s="5"/>
    </row>
    <row r="428" ht="30.0" customHeight="1">
      <c r="AH428" s="5"/>
    </row>
    <row r="429" ht="30.0" customHeight="1">
      <c r="AH429" s="5"/>
    </row>
    <row r="430" ht="30.0" customHeight="1">
      <c r="AH430" s="5"/>
    </row>
    <row r="431" ht="30.0" customHeight="1">
      <c r="AH431" s="5"/>
    </row>
    <row r="432" ht="30.0" customHeight="1">
      <c r="AH432" s="5"/>
    </row>
    <row r="433" ht="30.0" customHeight="1">
      <c r="AH433" s="5"/>
    </row>
    <row r="434" ht="30.0" customHeight="1">
      <c r="AH434" s="5"/>
    </row>
    <row r="435" ht="30.0" customHeight="1">
      <c r="AH435" s="5"/>
    </row>
    <row r="436" ht="30.0" customHeight="1">
      <c r="AH436" s="5"/>
    </row>
    <row r="437" ht="30.0" customHeight="1">
      <c r="AH437" s="5"/>
    </row>
    <row r="438" ht="30.0" customHeight="1">
      <c r="AH438" s="5"/>
    </row>
    <row r="439" ht="30.0" customHeight="1">
      <c r="AH439" s="5"/>
    </row>
    <row r="440" ht="30.0" customHeight="1">
      <c r="AH440" s="5"/>
    </row>
    <row r="441" ht="30.0" customHeight="1">
      <c r="AH441" s="5"/>
    </row>
    <row r="442" ht="30.0" customHeight="1">
      <c r="AH442" s="5"/>
    </row>
    <row r="443" ht="30.0" customHeight="1">
      <c r="AH443" s="5"/>
    </row>
    <row r="444" ht="30.0" customHeight="1">
      <c r="AH444" s="5"/>
    </row>
    <row r="445" ht="30.0" customHeight="1">
      <c r="AH445" s="5"/>
    </row>
    <row r="446" ht="30.0" customHeight="1">
      <c r="AH446" s="5"/>
    </row>
    <row r="447" ht="30.0" customHeight="1">
      <c r="AH447" s="5"/>
    </row>
    <row r="448" ht="30.0" customHeight="1">
      <c r="AH448" s="5"/>
    </row>
    <row r="449" ht="30.0" customHeight="1">
      <c r="AH449" s="5"/>
    </row>
    <row r="450" ht="30.0" customHeight="1">
      <c r="AH450" s="5"/>
    </row>
    <row r="451" ht="30.0" customHeight="1">
      <c r="AH451" s="5"/>
    </row>
    <row r="452" ht="30.0" customHeight="1">
      <c r="AH452" s="5"/>
    </row>
    <row r="453" ht="30.0" customHeight="1">
      <c r="AH453" s="5"/>
    </row>
    <row r="454" ht="30.0" customHeight="1">
      <c r="AH454" s="5"/>
    </row>
    <row r="455" ht="30.0" customHeight="1">
      <c r="AH455" s="5"/>
    </row>
    <row r="456" ht="30.0" customHeight="1">
      <c r="AH456" s="5"/>
    </row>
    <row r="457" ht="30.0" customHeight="1">
      <c r="AH457" s="5"/>
    </row>
    <row r="458" ht="30.0" customHeight="1">
      <c r="AH458" s="5"/>
    </row>
    <row r="459" ht="30.0" customHeight="1">
      <c r="AH459" s="5"/>
    </row>
    <row r="460" ht="30.0" customHeight="1">
      <c r="AH460" s="5"/>
    </row>
    <row r="461" ht="30.0" customHeight="1">
      <c r="AH461" s="5"/>
    </row>
    <row r="462" ht="30.0" customHeight="1">
      <c r="AH462" s="5"/>
    </row>
    <row r="463" ht="30.0" customHeight="1">
      <c r="AH463" s="5"/>
    </row>
    <row r="464" ht="30.0" customHeight="1">
      <c r="AH464" s="5"/>
    </row>
    <row r="465" ht="30.0" customHeight="1">
      <c r="AH465" s="5"/>
    </row>
    <row r="466" ht="30.0" customHeight="1">
      <c r="AH466" s="5"/>
    </row>
    <row r="467" ht="30.0" customHeight="1">
      <c r="AH467" s="5"/>
    </row>
    <row r="468" ht="30.0" customHeight="1">
      <c r="AH468" s="5"/>
    </row>
    <row r="469" ht="30.0" customHeight="1">
      <c r="AH469" s="5"/>
    </row>
    <row r="470" ht="30.0" customHeight="1">
      <c r="AH470" s="5"/>
    </row>
    <row r="471" ht="30.0" customHeight="1">
      <c r="AH471" s="5"/>
    </row>
    <row r="472" ht="30.0" customHeight="1">
      <c r="AH472" s="5"/>
    </row>
    <row r="473" ht="30.0" customHeight="1">
      <c r="AH473" s="5"/>
    </row>
    <row r="474" ht="30.0" customHeight="1">
      <c r="AH474" s="5"/>
    </row>
    <row r="475" ht="30.0" customHeight="1">
      <c r="AH475" s="5"/>
    </row>
    <row r="476" ht="30.0" customHeight="1">
      <c r="AH476" s="5"/>
    </row>
    <row r="477" ht="30.0" customHeight="1">
      <c r="AH477" s="5"/>
    </row>
    <row r="478" ht="30.0" customHeight="1">
      <c r="AH478" s="5"/>
    </row>
    <row r="479" ht="30.0" customHeight="1">
      <c r="AH479" s="5"/>
    </row>
    <row r="480" ht="30.0" customHeight="1">
      <c r="AH480" s="5"/>
    </row>
    <row r="481" ht="30.0" customHeight="1">
      <c r="AH481" s="5"/>
    </row>
    <row r="482" ht="30.0" customHeight="1">
      <c r="AH482" s="5"/>
    </row>
    <row r="483" ht="30.0" customHeight="1">
      <c r="AH483" s="5"/>
    </row>
    <row r="484" ht="30.0" customHeight="1">
      <c r="AH484" s="5"/>
    </row>
    <row r="485" ht="30.0" customHeight="1">
      <c r="AH485" s="5"/>
    </row>
    <row r="486" ht="30.0" customHeight="1">
      <c r="AH486" s="5"/>
    </row>
    <row r="487" ht="30.0" customHeight="1">
      <c r="AH487" s="5"/>
    </row>
    <row r="488" ht="30.0" customHeight="1">
      <c r="AH488" s="5"/>
    </row>
    <row r="489" ht="30.0" customHeight="1">
      <c r="AH489" s="5"/>
    </row>
    <row r="490" ht="30.0" customHeight="1">
      <c r="AH490" s="5"/>
    </row>
    <row r="491" ht="30.0" customHeight="1">
      <c r="AH491" s="5"/>
    </row>
    <row r="492" ht="30.0" customHeight="1">
      <c r="AH492" s="5"/>
    </row>
    <row r="493" ht="30.0" customHeight="1">
      <c r="AH493" s="5"/>
    </row>
    <row r="494" ht="30.0" customHeight="1">
      <c r="AH494" s="5"/>
    </row>
    <row r="495" ht="30.0" customHeight="1">
      <c r="AH495" s="5"/>
    </row>
    <row r="496" ht="30.0" customHeight="1">
      <c r="AH496" s="5"/>
    </row>
    <row r="497" ht="30.0" customHeight="1">
      <c r="AH497" s="5"/>
    </row>
    <row r="498" ht="30.0" customHeight="1">
      <c r="AH498" s="5"/>
    </row>
    <row r="499" ht="30.0" customHeight="1">
      <c r="AH499" s="5"/>
    </row>
    <row r="500" ht="30.0" customHeight="1">
      <c r="AH500" s="5"/>
    </row>
    <row r="501" ht="30.0" customHeight="1">
      <c r="AH501" s="5"/>
    </row>
    <row r="502" ht="30.0" customHeight="1">
      <c r="AH502" s="5"/>
    </row>
    <row r="503" ht="30.0" customHeight="1">
      <c r="AH503" s="5"/>
    </row>
    <row r="504" ht="30.0" customHeight="1">
      <c r="AH504" s="5"/>
    </row>
    <row r="505" ht="30.0" customHeight="1">
      <c r="AH505" s="5"/>
    </row>
    <row r="506" ht="30.0" customHeight="1">
      <c r="AH506" s="5"/>
    </row>
    <row r="507" ht="30.0" customHeight="1">
      <c r="AH507" s="5"/>
    </row>
    <row r="508" ht="30.0" customHeight="1">
      <c r="AH508" s="5"/>
    </row>
    <row r="509" ht="30.0" customHeight="1">
      <c r="AH509" s="5"/>
    </row>
    <row r="510" ht="30.0" customHeight="1">
      <c r="AH510" s="5"/>
    </row>
    <row r="511" ht="30.0" customHeight="1">
      <c r="AH511" s="5"/>
    </row>
    <row r="512" ht="30.0" customHeight="1">
      <c r="AH512" s="5"/>
    </row>
    <row r="513" ht="30.0" customHeight="1">
      <c r="AH513" s="5"/>
    </row>
    <row r="514" ht="30.0" customHeight="1">
      <c r="AH514" s="5"/>
    </row>
    <row r="515" ht="30.0" customHeight="1">
      <c r="AH515" s="5"/>
    </row>
    <row r="516" ht="30.0" customHeight="1">
      <c r="AH516" s="5"/>
    </row>
    <row r="517" ht="30.0" customHeight="1">
      <c r="AH517" s="5"/>
    </row>
    <row r="518" ht="30.0" customHeight="1">
      <c r="AH518" s="5"/>
    </row>
    <row r="519" ht="30.0" customHeight="1">
      <c r="AH519" s="5"/>
    </row>
    <row r="520" ht="30.0" customHeight="1">
      <c r="AH520" s="5"/>
    </row>
    <row r="521" ht="30.0" customHeight="1">
      <c r="AH521" s="5"/>
    </row>
    <row r="522" ht="30.0" customHeight="1">
      <c r="AH522" s="5"/>
    </row>
    <row r="523" ht="30.0" customHeight="1">
      <c r="AH523" s="5"/>
    </row>
    <row r="524" ht="30.0" customHeight="1">
      <c r="AH524" s="5"/>
    </row>
    <row r="525" ht="30.0" customHeight="1">
      <c r="AH525" s="5"/>
    </row>
    <row r="526" ht="30.0" customHeight="1">
      <c r="AH526" s="5"/>
    </row>
    <row r="527" ht="30.0" customHeight="1">
      <c r="AH527" s="5"/>
    </row>
    <row r="528" ht="30.0" customHeight="1">
      <c r="AH528" s="5"/>
    </row>
    <row r="529" ht="30.0" customHeight="1">
      <c r="AH529" s="5"/>
    </row>
    <row r="530" ht="30.0" customHeight="1">
      <c r="AH530" s="5"/>
    </row>
    <row r="531" ht="30.0" customHeight="1">
      <c r="AH531" s="5"/>
    </row>
    <row r="532" ht="30.0" customHeight="1">
      <c r="AH532" s="5"/>
    </row>
    <row r="533" ht="30.0" customHeight="1">
      <c r="AH533" s="5"/>
    </row>
    <row r="534" ht="30.0" customHeight="1">
      <c r="AH534" s="5"/>
    </row>
    <row r="535" ht="30.0" customHeight="1">
      <c r="AH535" s="5"/>
    </row>
    <row r="536" ht="30.0" customHeight="1">
      <c r="AH536" s="5"/>
    </row>
    <row r="537" ht="30.0" customHeight="1">
      <c r="AH537" s="5"/>
    </row>
    <row r="538" ht="30.0" customHeight="1">
      <c r="AH538" s="5"/>
    </row>
    <row r="539" ht="30.0" customHeight="1">
      <c r="AH539" s="5"/>
    </row>
    <row r="540" ht="30.0" customHeight="1">
      <c r="AH540" s="5"/>
    </row>
    <row r="541" ht="30.0" customHeight="1">
      <c r="AH541" s="5"/>
    </row>
    <row r="542" ht="30.0" customHeight="1">
      <c r="AH542" s="5"/>
    </row>
    <row r="543" ht="30.0" customHeight="1">
      <c r="AH543" s="5"/>
    </row>
    <row r="544" ht="30.0" customHeight="1">
      <c r="AH544" s="5"/>
    </row>
    <row r="545" ht="30.0" customHeight="1">
      <c r="AH545" s="5"/>
    </row>
    <row r="546" ht="30.0" customHeight="1">
      <c r="AH546" s="5"/>
    </row>
    <row r="547" ht="30.0" customHeight="1">
      <c r="AH547" s="5"/>
    </row>
    <row r="548" ht="30.0" customHeight="1">
      <c r="AH548" s="5"/>
    </row>
    <row r="549" ht="30.0" customHeight="1">
      <c r="AH549" s="5"/>
    </row>
    <row r="550" ht="30.0" customHeight="1">
      <c r="AH550" s="5"/>
    </row>
    <row r="551" ht="30.0" customHeight="1">
      <c r="AH551" s="5"/>
    </row>
    <row r="552" ht="30.0" customHeight="1">
      <c r="AH552" s="5"/>
    </row>
    <row r="553" ht="30.0" customHeight="1">
      <c r="AH553" s="5"/>
    </row>
    <row r="554" ht="30.0" customHeight="1">
      <c r="AH554" s="5"/>
    </row>
    <row r="555" ht="30.0" customHeight="1">
      <c r="AH555" s="5"/>
    </row>
    <row r="556" ht="30.0" customHeight="1">
      <c r="AH556" s="5"/>
    </row>
    <row r="557" ht="30.0" customHeight="1">
      <c r="AH557" s="5"/>
    </row>
    <row r="558" ht="30.0" customHeight="1">
      <c r="AH558" s="5"/>
    </row>
    <row r="559" ht="30.0" customHeight="1">
      <c r="AH559" s="5"/>
    </row>
    <row r="560" ht="30.0" customHeight="1">
      <c r="AH560" s="5"/>
    </row>
    <row r="561" ht="30.0" customHeight="1">
      <c r="AH561" s="5"/>
    </row>
    <row r="562" ht="30.0" customHeight="1">
      <c r="AH562" s="5"/>
    </row>
    <row r="563" ht="30.0" customHeight="1">
      <c r="AH563" s="5"/>
    </row>
    <row r="564" ht="30.0" customHeight="1">
      <c r="AH564" s="5"/>
    </row>
    <row r="565" ht="30.0" customHeight="1">
      <c r="AH565" s="5"/>
    </row>
    <row r="566" ht="30.0" customHeight="1">
      <c r="AH566" s="5"/>
    </row>
    <row r="567" ht="30.0" customHeight="1">
      <c r="AH567" s="5"/>
    </row>
    <row r="568" ht="30.0" customHeight="1">
      <c r="AH568" s="5"/>
    </row>
    <row r="569" ht="30.0" customHeight="1">
      <c r="AH569" s="5"/>
    </row>
    <row r="570" ht="30.0" customHeight="1">
      <c r="AH570" s="5"/>
    </row>
    <row r="571" ht="30.0" customHeight="1">
      <c r="AH571" s="5"/>
    </row>
    <row r="572" ht="30.0" customHeight="1">
      <c r="AH572" s="5"/>
    </row>
    <row r="573" ht="30.0" customHeight="1">
      <c r="AH573" s="5"/>
    </row>
    <row r="574" ht="30.0" customHeight="1">
      <c r="AH574" s="5"/>
    </row>
    <row r="575" ht="30.0" customHeight="1">
      <c r="AH575" s="5"/>
    </row>
    <row r="576" ht="30.0" customHeight="1">
      <c r="AH576" s="5"/>
    </row>
    <row r="577" ht="30.0" customHeight="1">
      <c r="AH577" s="5"/>
    </row>
    <row r="578" ht="30.0" customHeight="1">
      <c r="AH578" s="5"/>
    </row>
    <row r="579" ht="30.0" customHeight="1">
      <c r="AH579" s="5"/>
    </row>
    <row r="580" ht="30.0" customHeight="1">
      <c r="AH580" s="5"/>
    </row>
    <row r="581" ht="30.0" customHeight="1">
      <c r="AH581" s="5"/>
    </row>
    <row r="582" ht="30.0" customHeight="1">
      <c r="AH582" s="5"/>
    </row>
    <row r="583" ht="30.0" customHeight="1">
      <c r="AH583" s="5"/>
    </row>
    <row r="584" ht="30.0" customHeight="1">
      <c r="AH584" s="5"/>
    </row>
    <row r="585" ht="30.0" customHeight="1">
      <c r="AH585" s="5"/>
    </row>
    <row r="586" ht="30.0" customHeight="1">
      <c r="AH586" s="5"/>
    </row>
    <row r="587" ht="30.0" customHeight="1">
      <c r="AH587" s="5"/>
    </row>
    <row r="588" ht="30.0" customHeight="1">
      <c r="AH588" s="5"/>
    </row>
    <row r="589" ht="30.0" customHeight="1">
      <c r="AH589" s="5"/>
    </row>
    <row r="590" ht="30.0" customHeight="1">
      <c r="AH590" s="5"/>
    </row>
    <row r="591" ht="30.0" customHeight="1">
      <c r="AH591" s="5"/>
    </row>
    <row r="592" ht="30.0" customHeight="1">
      <c r="AH592" s="5"/>
    </row>
    <row r="593" ht="30.0" customHeight="1">
      <c r="AH593" s="5"/>
    </row>
    <row r="594" ht="30.0" customHeight="1">
      <c r="AH594" s="5"/>
    </row>
    <row r="595" ht="30.0" customHeight="1">
      <c r="AH595" s="5"/>
    </row>
    <row r="596" ht="30.0" customHeight="1">
      <c r="AH596" s="5"/>
    </row>
    <row r="597" ht="30.0" customHeight="1">
      <c r="AH597" s="5"/>
    </row>
    <row r="598" ht="30.0" customHeight="1">
      <c r="AH598" s="5"/>
    </row>
    <row r="599" ht="30.0" customHeight="1">
      <c r="AH599" s="5"/>
    </row>
    <row r="600" ht="30.0" customHeight="1">
      <c r="AH600" s="5"/>
    </row>
    <row r="601" ht="30.0" customHeight="1">
      <c r="AH601" s="5"/>
    </row>
    <row r="602" ht="30.0" customHeight="1">
      <c r="AH602" s="5"/>
    </row>
    <row r="603" ht="30.0" customHeight="1">
      <c r="AH603" s="5"/>
    </row>
    <row r="604" ht="30.0" customHeight="1">
      <c r="AH604" s="5"/>
    </row>
    <row r="605" ht="30.0" customHeight="1">
      <c r="AH605" s="5"/>
    </row>
    <row r="606" ht="30.0" customHeight="1">
      <c r="AH606" s="5"/>
    </row>
    <row r="607" ht="30.0" customHeight="1">
      <c r="AH607" s="5"/>
    </row>
    <row r="608" ht="30.0" customHeight="1">
      <c r="AH608" s="5"/>
    </row>
    <row r="609" ht="30.0" customHeight="1">
      <c r="AH609" s="5"/>
    </row>
    <row r="610" ht="30.0" customHeight="1">
      <c r="AH610" s="5"/>
    </row>
    <row r="611" ht="30.0" customHeight="1">
      <c r="AH611" s="5"/>
    </row>
    <row r="612" ht="30.0" customHeight="1">
      <c r="AH612" s="5"/>
    </row>
    <row r="613" ht="30.0" customHeight="1">
      <c r="AH613" s="5"/>
    </row>
    <row r="614" ht="30.0" customHeight="1">
      <c r="AH614" s="5"/>
    </row>
    <row r="615" ht="30.0" customHeight="1">
      <c r="AH615" s="5"/>
    </row>
    <row r="616" ht="30.0" customHeight="1">
      <c r="AH616" s="5"/>
    </row>
    <row r="617" ht="30.0" customHeight="1">
      <c r="AH617" s="5"/>
    </row>
    <row r="618" ht="30.0" customHeight="1">
      <c r="AH618" s="5"/>
    </row>
    <row r="619" ht="30.0" customHeight="1">
      <c r="AH619" s="5"/>
    </row>
    <row r="620" ht="30.0" customHeight="1">
      <c r="AH620" s="5"/>
    </row>
    <row r="621" ht="30.0" customHeight="1">
      <c r="AH621" s="5"/>
    </row>
    <row r="622" ht="30.0" customHeight="1">
      <c r="AH622" s="5"/>
    </row>
    <row r="623" ht="30.0" customHeight="1">
      <c r="AH623" s="5"/>
    </row>
    <row r="624" ht="30.0" customHeight="1">
      <c r="AH624" s="5"/>
    </row>
    <row r="625" ht="30.0" customHeight="1">
      <c r="AH625" s="5"/>
    </row>
    <row r="626" ht="30.0" customHeight="1">
      <c r="AH626" s="5"/>
    </row>
    <row r="627" ht="30.0" customHeight="1">
      <c r="AH627" s="5"/>
    </row>
    <row r="628" ht="30.0" customHeight="1">
      <c r="AH628" s="5"/>
    </row>
    <row r="629" ht="30.0" customHeight="1">
      <c r="AH629" s="5"/>
    </row>
    <row r="630" ht="30.0" customHeight="1">
      <c r="AH630" s="5"/>
    </row>
    <row r="631" ht="30.0" customHeight="1">
      <c r="AH631" s="5"/>
    </row>
    <row r="632" ht="30.0" customHeight="1">
      <c r="AH632" s="5"/>
    </row>
    <row r="633" ht="30.0" customHeight="1">
      <c r="AH633" s="5"/>
    </row>
    <row r="634" ht="30.0" customHeight="1">
      <c r="AH634" s="5"/>
    </row>
    <row r="635" ht="30.0" customHeight="1">
      <c r="AH635" s="5"/>
    </row>
    <row r="636" ht="30.0" customHeight="1">
      <c r="AH636" s="5"/>
    </row>
    <row r="637" ht="30.0" customHeight="1">
      <c r="AH637" s="5"/>
    </row>
    <row r="638" ht="30.0" customHeight="1">
      <c r="AH638" s="5"/>
    </row>
    <row r="639" ht="30.0" customHeight="1">
      <c r="AH639" s="5"/>
    </row>
    <row r="640" ht="30.0" customHeight="1">
      <c r="AH640" s="5"/>
    </row>
    <row r="641" ht="30.0" customHeight="1">
      <c r="AH641" s="5"/>
    </row>
    <row r="642" ht="30.0" customHeight="1">
      <c r="AH642" s="5"/>
    </row>
    <row r="643" ht="30.0" customHeight="1">
      <c r="AH643" s="5"/>
    </row>
    <row r="644" ht="30.0" customHeight="1">
      <c r="AH644" s="5"/>
    </row>
    <row r="645" ht="30.0" customHeight="1">
      <c r="AH645" s="5"/>
    </row>
    <row r="646" ht="30.0" customHeight="1">
      <c r="AH646" s="5"/>
    </row>
    <row r="647" ht="30.0" customHeight="1">
      <c r="AH647" s="5"/>
    </row>
    <row r="648" ht="30.0" customHeight="1">
      <c r="AH648" s="5"/>
    </row>
    <row r="649" ht="30.0" customHeight="1">
      <c r="AH649" s="5"/>
    </row>
    <row r="650" ht="30.0" customHeight="1">
      <c r="AH650" s="5"/>
    </row>
    <row r="651" ht="30.0" customHeight="1">
      <c r="AH651" s="5"/>
    </row>
    <row r="652" ht="30.0" customHeight="1">
      <c r="AH652" s="5"/>
    </row>
    <row r="653" ht="30.0" customHeight="1">
      <c r="AH653" s="5"/>
    </row>
    <row r="654" ht="30.0" customHeight="1">
      <c r="AH654" s="5"/>
    </row>
    <row r="655" ht="30.0" customHeight="1">
      <c r="AH655" s="5"/>
    </row>
    <row r="656" ht="30.0" customHeight="1">
      <c r="AH656" s="5"/>
    </row>
    <row r="657" ht="30.0" customHeight="1">
      <c r="AH657" s="5"/>
    </row>
    <row r="658" ht="30.0" customHeight="1">
      <c r="AH658" s="5"/>
    </row>
    <row r="659" ht="30.0" customHeight="1">
      <c r="AH659" s="5"/>
    </row>
    <row r="660" ht="30.0" customHeight="1">
      <c r="AH660" s="5"/>
    </row>
    <row r="661" ht="30.0" customHeight="1">
      <c r="AH661" s="5"/>
    </row>
    <row r="662" ht="30.0" customHeight="1">
      <c r="AH662" s="5"/>
    </row>
    <row r="663" ht="30.0" customHeight="1">
      <c r="AH663" s="5"/>
    </row>
    <row r="664" ht="30.0" customHeight="1">
      <c r="AH664" s="5"/>
    </row>
    <row r="665" ht="30.0" customHeight="1">
      <c r="AH665" s="5"/>
    </row>
    <row r="666" ht="30.0" customHeight="1">
      <c r="AH666" s="5"/>
    </row>
    <row r="667" ht="30.0" customHeight="1">
      <c r="AH667" s="5"/>
    </row>
    <row r="668" ht="30.0" customHeight="1">
      <c r="AH668" s="5"/>
    </row>
    <row r="669" ht="30.0" customHeight="1">
      <c r="AH669" s="5"/>
    </row>
    <row r="670" ht="30.0" customHeight="1">
      <c r="AH670" s="5"/>
    </row>
    <row r="671" ht="30.0" customHeight="1">
      <c r="AH671" s="5"/>
    </row>
    <row r="672" ht="30.0" customHeight="1">
      <c r="AH672" s="5"/>
    </row>
    <row r="673" ht="30.0" customHeight="1">
      <c r="AH673" s="5"/>
    </row>
    <row r="674" ht="30.0" customHeight="1">
      <c r="AH674" s="5"/>
    </row>
    <row r="675" ht="30.0" customHeight="1">
      <c r="AH675" s="5"/>
    </row>
    <row r="676" ht="30.0" customHeight="1">
      <c r="AH676" s="5"/>
    </row>
    <row r="677" ht="30.0" customHeight="1">
      <c r="AH677" s="5"/>
    </row>
    <row r="678" ht="30.0" customHeight="1">
      <c r="AH678" s="5"/>
    </row>
    <row r="679" ht="30.0" customHeight="1">
      <c r="AH679" s="5"/>
    </row>
    <row r="680" ht="30.0" customHeight="1">
      <c r="AH680" s="5"/>
    </row>
    <row r="681" ht="30.0" customHeight="1">
      <c r="AH681" s="5"/>
    </row>
    <row r="682" ht="30.0" customHeight="1">
      <c r="AH682" s="5"/>
    </row>
    <row r="683" ht="30.0" customHeight="1">
      <c r="AH683" s="5"/>
    </row>
    <row r="684" ht="30.0" customHeight="1">
      <c r="AH684" s="5"/>
    </row>
    <row r="685" ht="30.0" customHeight="1">
      <c r="AH685" s="5"/>
    </row>
    <row r="686" ht="30.0" customHeight="1">
      <c r="AH686" s="5"/>
    </row>
    <row r="687" ht="30.0" customHeight="1">
      <c r="AH687" s="5"/>
    </row>
    <row r="688" ht="30.0" customHeight="1">
      <c r="AH688" s="5"/>
    </row>
    <row r="689" ht="30.0" customHeight="1">
      <c r="AH689" s="5"/>
    </row>
    <row r="690" ht="30.0" customHeight="1">
      <c r="AH690" s="5"/>
    </row>
    <row r="691" ht="30.0" customHeight="1">
      <c r="AH691" s="5"/>
    </row>
    <row r="692" ht="30.0" customHeight="1">
      <c r="AH692" s="5"/>
    </row>
    <row r="693" ht="30.0" customHeight="1">
      <c r="AH693" s="5"/>
    </row>
    <row r="694" ht="30.0" customHeight="1">
      <c r="AH694" s="5"/>
    </row>
    <row r="695" ht="30.0" customHeight="1">
      <c r="AH695" s="5"/>
    </row>
    <row r="696" ht="30.0" customHeight="1">
      <c r="AH696" s="5"/>
    </row>
    <row r="697" ht="30.0" customHeight="1">
      <c r="AH697" s="5"/>
    </row>
    <row r="698" ht="30.0" customHeight="1">
      <c r="AH698" s="5"/>
    </row>
    <row r="699" ht="30.0" customHeight="1">
      <c r="AH699" s="5"/>
    </row>
    <row r="700" ht="30.0" customHeight="1">
      <c r="AH700" s="5"/>
    </row>
    <row r="701" ht="30.0" customHeight="1">
      <c r="AH701" s="5"/>
    </row>
    <row r="702" ht="30.0" customHeight="1">
      <c r="AH702" s="5"/>
    </row>
    <row r="703" ht="30.0" customHeight="1">
      <c r="AH703" s="5"/>
    </row>
    <row r="704" ht="30.0" customHeight="1">
      <c r="AH704" s="5"/>
    </row>
    <row r="705" ht="30.0" customHeight="1">
      <c r="AH705" s="5"/>
    </row>
    <row r="706" ht="30.0" customHeight="1">
      <c r="AH706" s="5"/>
    </row>
    <row r="707" ht="30.0" customHeight="1">
      <c r="AH707" s="5"/>
    </row>
    <row r="708" ht="30.0" customHeight="1">
      <c r="AH708" s="5"/>
    </row>
    <row r="709" ht="30.0" customHeight="1">
      <c r="AH709" s="5"/>
    </row>
    <row r="710" ht="30.0" customHeight="1">
      <c r="AH710" s="5"/>
    </row>
    <row r="711" ht="30.0" customHeight="1">
      <c r="AH711" s="5"/>
    </row>
    <row r="712" ht="30.0" customHeight="1">
      <c r="AH712" s="5"/>
    </row>
    <row r="713" ht="30.0" customHeight="1">
      <c r="AH713" s="5"/>
    </row>
    <row r="714" ht="30.0" customHeight="1">
      <c r="AH714" s="5"/>
    </row>
    <row r="715" ht="30.0" customHeight="1">
      <c r="AH715" s="5"/>
    </row>
    <row r="716" ht="30.0" customHeight="1">
      <c r="AH716" s="5"/>
    </row>
    <row r="717" ht="30.0" customHeight="1">
      <c r="AH717" s="5"/>
    </row>
    <row r="718" ht="30.0" customHeight="1">
      <c r="AH718" s="5"/>
    </row>
    <row r="719" ht="30.0" customHeight="1">
      <c r="AH719" s="5"/>
    </row>
    <row r="720" ht="30.0" customHeight="1">
      <c r="AH720" s="5"/>
    </row>
    <row r="721" ht="30.0" customHeight="1">
      <c r="AH721" s="5"/>
    </row>
    <row r="722" ht="30.0" customHeight="1">
      <c r="AH722" s="5"/>
    </row>
    <row r="723" ht="30.0" customHeight="1">
      <c r="AH723" s="5"/>
    </row>
    <row r="724" ht="30.0" customHeight="1">
      <c r="AH724" s="5"/>
    </row>
    <row r="725" ht="30.0" customHeight="1">
      <c r="AH725" s="5"/>
    </row>
    <row r="726" ht="30.0" customHeight="1">
      <c r="AH726" s="5"/>
    </row>
    <row r="727" ht="30.0" customHeight="1">
      <c r="AH727" s="5"/>
    </row>
    <row r="728" ht="30.0" customHeight="1">
      <c r="AH728" s="5"/>
    </row>
    <row r="729" ht="30.0" customHeight="1">
      <c r="AH729" s="5"/>
    </row>
    <row r="730" ht="30.0" customHeight="1">
      <c r="AH730" s="5"/>
    </row>
    <row r="731" ht="30.0" customHeight="1">
      <c r="AH731" s="5"/>
    </row>
    <row r="732" ht="30.0" customHeight="1">
      <c r="AH732" s="5"/>
    </row>
    <row r="733" ht="30.0" customHeight="1">
      <c r="AH733" s="5"/>
    </row>
    <row r="734" ht="30.0" customHeight="1">
      <c r="AH734" s="5"/>
    </row>
    <row r="735" ht="30.0" customHeight="1">
      <c r="AH735" s="5"/>
    </row>
    <row r="736" ht="30.0" customHeight="1">
      <c r="AH736" s="5"/>
    </row>
    <row r="737" ht="30.0" customHeight="1">
      <c r="AH737" s="5"/>
    </row>
    <row r="738" ht="30.0" customHeight="1">
      <c r="AH738" s="5"/>
    </row>
    <row r="739" ht="30.0" customHeight="1">
      <c r="AH739" s="5"/>
    </row>
    <row r="740" ht="30.0" customHeight="1">
      <c r="AH740" s="5"/>
    </row>
    <row r="741" ht="30.0" customHeight="1">
      <c r="AH741" s="5"/>
    </row>
    <row r="742" ht="30.0" customHeight="1">
      <c r="AH742" s="5"/>
    </row>
    <row r="743" ht="30.0" customHeight="1">
      <c r="AH743" s="5"/>
    </row>
    <row r="744" ht="30.0" customHeight="1">
      <c r="AH744" s="5"/>
    </row>
    <row r="745" ht="30.0" customHeight="1">
      <c r="AH745" s="5"/>
    </row>
    <row r="746" ht="30.0" customHeight="1">
      <c r="AH746" s="5"/>
    </row>
    <row r="747" ht="30.0" customHeight="1">
      <c r="AH747" s="5"/>
    </row>
    <row r="748" ht="30.0" customHeight="1">
      <c r="AH748" s="5"/>
    </row>
    <row r="749" ht="30.0" customHeight="1">
      <c r="AH749" s="5"/>
    </row>
    <row r="750" ht="30.0" customHeight="1">
      <c r="AH750" s="5"/>
    </row>
    <row r="751" ht="30.0" customHeight="1">
      <c r="AH751" s="5"/>
    </row>
    <row r="752" ht="30.0" customHeight="1">
      <c r="AH752" s="5"/>
    </row>
    <row r="753" ht="30.0" customHeight="1">
      <c r="AH753" s="5"/>
    </row>
    <row r="754" ht="30.0" customHeight="1">
      <c r="AH754" s="5"/>
    </row>
    <row r="755" ht="30.0" customHeight="1">
      <c r="AH755" s="5"/>
    </row>
    <row r="756" ht="30.0" customHeight="1">
      <c r="AH756" s="5"/>
    </row>
    <row r="757" ht="30.0" customHeight="1">
      <c r="AH757" s="5"/>
    </row>
    <row r="758" ht="30.0" customHeight="1">
      <c r="AH758" s="5"/>
    </row>
    <row r="759" ht="30.0" customHeight="1">
      <c r="AH759" s="5"/>
    </row>
    <row r="760" ht="30.0" customHeight="1">
      <c r="AH760" s="5"/>
    </row>
    <row r="761" ht="30.0" customHeight="1">
      <c r="AH761" s="5"/>
    </row>
    <row r="762" ht="30.0" customHeight="1">
      <c r="AH762" s="5"/>
    </row>
    <row r="763" ht="30.0" customHeight="1">
      <c r="AH763" s="5"/>
    </row>
    <row r="764" ht="30.0" customHeight="1">
      <c r="AH764" s="5"/>
    </row>
    <row r="765" ht="30.0" customHeight="1">
      <c r="AH765" s="5"/>
    </row>
    <row r="766" ht="30.0" customHeight="1">
      <c r="AH766" s="5"/>
    </row>
    <row r="767" ht="30.0" customHeight="1">
      <c r="AH767" s="5"/>
    </row>
    <row r="768" ht="30.0" customHeight="1">
      <c r="AH768" s="5"/>
    </row>
    <row r="769" ht="30.0" customHeight="1">
      <c r="AH769" s="5"/>
    </row>
    <row r="770" ht="30.0" customHeight="1">
      <c r="AH770" s="5"/>
    </row>
    <row r="771" ht="30.0" customHeight="1">
      <c r="AH771" s="5"/>
    </row>
    <row r="772" ht="30.0" customHeight="1">
      <c r="AH772" s="5"/>
    </row>
    <row r="773" ht="30.0" customHeight="1">
      <c r="AH773" s="5"/>
    </row>
    <row r="774" ht="30.0" customHeight="1">
      <c r="AH774" s="5"/>
    </row>
    <row r="775" ht="30.0" customHeight="1">
      <c r="AH775" s="5"/>
    </row>
    <row r="776" ht="30.0" customHeight="1">
      <c r="AH776" s="5"/>
    </row>
    <row r="777" ht="30.0" customHeight="1">
      <c r="AH777" s="5"/>
    </row>
    <row r="778" ht="30.0" customHeight="1">
      <c r="AH778" s="5"/>
    </row>
    <row r="779" ht="30.0" customHeight="1">
      <c r="AH779" s="5"/>
    </row>
    <row r="780" ht="30.0" customHeight="1">
      <c r="AH780" s="5"/>
    </row>
    <row r="781" ht="30.0" customHeight="1">
      <c r="AH781" s="5"/>
    </row>
    <row r="782" ht="30.0" customHeight="1">
      <c r="AH782" s="5"/>
    </row>
    <row r="783" ht="30.0" customHeight="1">
      <c r="AH783" s="5"/>
    </row>
    <row r="784" ht="30.0" customHeight="1">
      <c r="AH784" s="5"/>
    </row>
    <row r="785" ht="30.0" customHeight="1">
      <c r="AH785" s="5"/>
    </row>
    <row r="786" ht="30.0" customHeight="1">
      <c r="AH786" s="5"/>
    </row>
    <row r="787" ht="30.0" customHeight="1">
      <c r="AH787" s="5"/>
    </row>
    <row r="788" ht="30.0" customHeight="1">
      <c r="AH788" s="5"/>
    </row>
    <row r="789" ht="30.0" customHeight="1">
      <c r="AH789" s="5"/>
    </row>
    <row r="790" ht="30.0" customHeight="1">
      <c r="AH790" s="5"/>
    </row>
    <row r="791" ht="30.0" customHeight="1">
      <c r="AH791" s="5"/>
    </row>
    <row r="792" ht="30.0" customHeight="1">
      <c r="AH792" s="5"/>
    </row>
    <row r="793" ht="30.0" customHeight="1">
      <c r="AH793" s="5"/>
    </row>
    <row r="794" ht="30.0" customHeight="1">
      <c r="AH794" s="5"/>
    </row>
    <row r="795" ht="30.0" customHeight="1">
      <c r="AH795" s="5"/>
    </row>
    <row r="796" ht="30.0" customHeight="1">
      <c r="AH796" s="5"/>
    </row>
    <row r="797" ht="30.0" customHeight="1">
      <c r="AH797" s="5"/>
    </row>
    <row r="798" ht="30.0" customHeight="1">
      <c r="AH798" s="5"/>
    </row>
    <row r="799" ht="30.0" customHeight="1">
      <c r="AH799" s="5"/>
    </row>
    <row r="800" ht="30.0" customHeight="1">
      <c r="AH800" s="5"/>
    </row>
    <row r="801" ht="30.0" customHeight="1">
      <c r="AH801" s="5"/>
    </row>
    <row r="802" ht="30.0" customHeight="1">
      <c r="AH802" s="5"/>
    </row>
    <row r="803" ht="30.0" customHeight="1">
      <c r="AH803" s="5"/>
    </row>
    <row r="804" ht="30.0" customHeight="1">
      <c r="AH804" s="5"/>
    </row>
    <row r="805" ht="30.0" customHeight="1">
      <c r="AH805" s="5"/>
    </row>
    <row r="806" ht="30.0" customHeight="1">
      <c r="AH806" s="5"/>
    </row>
    <row r="807" ht="30.0" customHeight="1">
      <c r="AH807" s="5"/>
    </row>
    <row r="808" ht="30.0" customHeight="1">
      <c r="AH808" s="5"/>
    </row>
    <row r="809" ht="30.0" customHeight="1">
      <c r="AH809" s="5"/>
    </row>
    <row r="810" ht="30.0" customHeight="1">
      <c r="AH810" s="5"/>
    </row>
    <row r="811" ht="30.0" customHeight="1">
      <c r="AH811" s="5"/>
    </row>
    <row r="812" ht="30.0" customHeight="1">
      <c r="AH812" s="5"/>
    </row>
    <row r="813" ht="30.0" customHeight="1">
      <c r="AH813" s="5"/>
    </row>
    <row r="814" ht="30.0" customHeight="1">
      <c r="AH814" s="5"/>
    </row>
    <row r="815" ht="30.0" customHeight="1">
      <c r="AH815" s="5"/>
    </row>
    <row r="816" ht="30.0" customHeight="1">
      <c r="AH816" s="5"/>
    </row>
    <row r="817" ht="30.0" customHeight="1">
      <c r="AH817" s="5"/>
    </row>
    <row r="818" ht="30.0" customHeight="1">
      <c r="AH818" s="5"/>
    </row>
    <row r="819" ht="30.0" customHeight="1">
      <c r="AH819" s="5"/>
    </row>
    <row r="820" ht="30.0" customHeight="1">
      <c r="AH820" s="5"/>
    </row>
    <row r="821" ht="30.0" customHeight="1">
      <c r="AH821" s="5"/>
    </row>
    <row r="822" ht="30.0" customHeight="1">
      <c r="AH822" s="5"/>
    </row>
    <row r="823" ht="30.0" customHeight="1">
      <c r="AH823" s="5"/>
    </row>
    <row r="824" ht="30.0" customHeight="1">
      <c r="AH824" s="5"/>
    </row>
    <row r="825" ht="30.0" customHeight="1">
      <c r="AH825" s="5"/>
    </row>
    <row r="826" ht="30.0" customHeight="1">
      <c r="AH826" s="5"/>
    </row>
    <row r="827" ht="30.0" customHeight="1">
      <c r="AH827" s="5"/>
    </row>
    <row r="828" ht="30.0" customHeight="1">
      <c r="AH828" s="5"/>
    </row>
    <row r="829" ht="30.0" customHeight="1">
      <c r="AH829" s="5"/>
    </row>
    <row r="830" ht="30.0" customHeight="1">
      <c r="AH830" s="5"/>
    </row>
    <row r="831" ht="30.0" customHeight="1">
      <c r="AH831" s="5"/>
    </row>
    <row r="832" ht="30.0" customHeight="1">
      <c r="AH832" s="5"/>
    </row>
    <row r="833" ht="30.0" customHeight="1">
      <c r="AH833" s="5"/>
    </row>
    <row r="834" ht="30.0" customHeight="1">
      <c r="AH834" s="5"/>
    </row>
    <row r="835" ht="30.0" customHeight="1">
      <c r="AH835" s="5"/>
    </row>
    <row r="836" ht="30.0" customHeight="1">
      <c r="AH836" s="5"/>
    </row>
    <row r="837" ht="30.0" customHeight="1">
      <c r="AH837" s="5"/>
    </row>
    <row r="838" ht="30.0" customHeight="1">
      <c r="AH838" s="5"/>
    </row>
    <row r="839" ht="30.0" customHeight="1">
      <c r="AH839" s="5"/>
    </row>
    <row r="840" ht="30.0" customHeight="1">
      <c r="AH840" s="5"/>
    </row>
    <row r="841" ht="30.0" customHeight="1">
      <c r="AH841" s="5"/>
    </row>
    <row r="842" ht="30.0" customHeight="1">
      <c r="AH842" s="5"/>
    </row>
    <row r="843" ht="30.0" customHeight="1">
      <c r="AH843" s="5"/>
    </row>
    <row r="844" ht="30.0" customHeight="1">
      <c r="AH844" s="5"/>
    </row>
    <row r="845" ht="30.0" customHeight="1">
      <c r="AH845" s="5"/>
    </row>
    <row r="846" ht="30.0" customHeight="1">
      <c r="AH846" s="5"/>
    </row>
    <row r="847" ht="30.0" customHeight="1">
      <c r="AH847" s="5"/>
    </row>
    <row r="848" ht="30.0" customHeight="1">
      <c r="AH848" s="5"/>
    </row>
    <row r="849" ht="30.0" customHeight="1">
      <c r="AH849" s="5"/>
    </row>
    <row r="850" ht="30.0" customHeight="1">
      <c r="AH850" s="5"/>
    </row>
    <row r="851" ht="30.0" customHeight="1">
      <c r="AH851" s="5"/>
    </row>
    <row r="852" ht="30.0" customHeight="1">
      <c r="AH852" s="5"/>
    </row>
    <row r="853" ht="30.0" customHeight="1">
      <c r="AH853" s="5"/>
    </row>
    <row r="854" ht="30.0" customHeight="1">
      <c r="AH854" s="5"/>
    </row>
    <row r="855" ht="30.0" customHeight="1">
      <c r="AH855" s="5"/>
    </row>
    <row r="856" ht="30.0" customHeight="1">
      <c r="AH856" s="5"/>
    </row>
    <row r="857" ht="30.0" customHeight="1">
      <c r="AH857" s="5"/>
    </row>
    <row r="858" ht="30.0" customHeight="1">
      <c r="AH858" s="5"/>
    </row>
    <row r="859" ht="30.0" customHeight="1">
      <c r="AH859" s="5"/>
    </row>
    <row r="860" ht="30.0" customHeight="1">
      <c r="AH860" s="5"/>
    </row>
    <row r="861" ht="30.0" customHeight="1">
      <c r="AH861" s="5"/>
    </row>
    <row r="862" ht="30.0" customHeight="1">
      <c r="AH862" s="5"/>
    </row>
    <row r="863" ht="30.0" customHeight="1">
      <c r="AH863" s="5"/>
    </row>
    <row r="864" ht="30.0" customHeight="1">
      <c r="AH864" s="5"/>
    </row>
    <row r="865" ht="30.0" customHeight="1">
      <c r="AH865" s="5"/>
    </row>
    <row r="866" ht="30.0" customHeight="1">
      <c r="AH866" s="5"/>
    </row>
    <row r="867" ht="30.0" customHeight="1">
      <c r="AH867" s="5"/>
    </row>
    <row r="868" ht="30.0" customHeight="1">
      <c r="AH868" s="5"/>
    </row>
    <row r="869" ht="30.0" customHeight="1">
      <c r="AH869" s="5"/>
    </row>
    <row r="870" ht="30.0" customHeight="1">
      <c r="AH870" s="5"/>
    </row>
    <row r="871" ht="30.0" customHeight="1">
      <c r="AH871" s="5"/>
    </row>
    <row r="872" ht="30.0" customHeight="1">
      <c r="AH872" s="5"/>
    </row>
    <row r="873" ht="30.0" customHeight="1">
      <c r="AH873" s="5"/>
    </row>
    <row r="874" ht="30.0" customHeight="1">
      <c r="AH874" s="5"/>
    </row>
    <row r="875" ht="30.0" customHeight="1">
      <c r="AH875" s="5"/>
    </row>
    <row r="876" ht="30.0" customHeight="1">
      <c r="AH876" s="5"/>
    </row>
    <row r="877" ht="30.0" customHeight="1">
      <c r="AH877" s="5"/>
    </row>
    <row r="878" ht="30.0" customHeight="1">
      <c r="AH878" s="5"/>
    </row>
    <row r="879" ht="30.0" customHeight="1">
      <c r="AH879" s="5"/>
    </row>
    <row r="880" ht="30.0" customHeight="1">
      <c r="AH880" s="5"/>
    </row>
    <row r="881" ht="30.0" customHeight="1">
      <c r="AH881" s="5"/>
    </row>
    <row r="882" ht="30.0" customHeight="1">
      <c r="AH882" s="5"/>
    </row>
    <row r="883" ht="30.0" customHeight="1">
      <c r="AH883" s="5"/>
    </row>
    <row r="884" ht="30.0" customHeight="1">
      <c r="AH884" s="5"/>
    </row>
    <row r="885" ht="30.0" customHeight="1">
      <c r="AH885" s="5"/>
    </row>
    <row r="886" ht="30.0" customHeight="1">
      <c r="AH886" s="5"/>
    </row>
    <row r="887" ht="30.0" customHeight="1">
      <c r="AH887" s="5"/>
    </row>
    <row r="888" ht="30.0" customHeight="1">
      <c r="AH888" s="5"/>
    </row>
    <row r="889" ht="30.0" customHeight="1">
      <c r="AH889" s="5"/>
    </row>
    <row r="890" ht="30.0" customHeight="1">
      <c r="AH890" s="5"/>
    </row>
    <row r="891" ht="30.0" customHeight="1">
      <c r="AH891" s="5"/>
    </row>
    <row r="892" ht="30.0" customHeight="1">
      <c r="AH892" s="5"/>
    </row>
    <row r="893" ht="30.0" customHeight="1">
      <c r="AH893" s="5"/>
    </row>
    <row r="894" ht="30.0" customHeight="1">
      <c r="AH894" s="5"/>
    </row>
    <row r="895" ht="30.0" customHeight="1">
      <c r="AH895" s="5"/>
    </row>
    <row r="896" ht="30.0" customHeight="1">
      <c r="AH896" s="5"/>
    </row>
    <row r="897" ht="30.0" customHeight="1">
      <c r="AH897" s="5"/>
    </row>
    <row r="898" ht="30.0" customHeight="1">
      <c r="AH898" s="5"/>
    </row>
    <row r="899" ht="30.0" customHeight="1">
      <c r="AH899" s="5"/>
    </row>
    <row r="900" ht="30.0" customHeight="1">
      <c r="AH900" s="5"/>
    </row>
    <row r="901" ht="30.0" customHeight="1">
      <c r="AH901" s="5"/>
    </row>
    <row r="902" ht="30.0" customHeight="1">
      <c r="AH902" s="5"/>
    </row>
    <row r="903" ht="30.0" customHeight="1">
      <c r="AH903" s="5"/>
    </row>
    <row r="904" ht="30.0" customHeight="1">
      <c r="AH904" s="5"/>
    </row>
    <row r="905" ht="30.0" customHeight="1">
      <c r="AH905" s="5"/>
    </row>
    <row r="906" ht="30.0" customHeight="1">
      <c r="AH906" s="5"/>
    </row>
    <row r="907" ht="30.0" customHeight="1">
      <c r="AH907" s="5"/>
    </row>
    <row r="908" ht="30.0" customHeight="1">
      <c r="AH908" s="5"/>
    </row>
    <row r="909" ht="30.0" customHeight="1">
      <c r="AH909" s="5"/>
    </row>
    <row r="910" ht="30.0" customHeight="1">
      <c r="AH910" s="5"/>
    </row>
    <row r="911" ht="30.0" customHeight="1">
      <c r="AH911" s="5"/>
    </row>
    <row r="912" ht="30.0" customHeight="1">
      <c r="AH912" s="5"/>
    </row>
    <row r="913" ht="30.0" customHeight="1">
      <c r="AH913" s="5"/>
    </row>
    <row r="914" ht="30.0" customHeight="1">
      <c r="AH914" s="5"/>
    </row>
    <row r="915" ht="30.0" customHeight="1">
      <c r="AH915" s="5"/>
    </row>
    <row r="916" ht="30.0" customHeight="1">
      <c r="AH916" s="5"/>
    </row>
    <row r="917" ht="30.0" customHeight="1">
      <c r="AH917" s="5"/>
    </row>
    <row r="918" ht="30.0" customHeight="1">
      <c r="AH918" s="5"/>
    </row>
    <row r="919" ht="30.0" customHeight="1">
      <c r="AH919" s="5"/>
    </row>
    <row r="920" ht="30.0" customHeight="1">
      <c r="AH920" s="5"/>
    </row>
    <row r="921" ht="30.0" customHeight="1">
      <c r="AH921" s="5"/>
    </row>
    <row r="922" ht="30.0" customHeight="1">
      <c r="AH922" s="5"/>
    </row>
    <row r="923" ht="30.0" customHeight="1">
      <c r="AH923" s="5"/>
    </row>
    <row r="924" ht="30.0" customHeight="1">
      <c r="AH924" s="5"/>
    </row>
    <row r="925" ht="30.0" customHeight="1">
      <c r="AH925" s="5"/>
    </row>
    <row r="926" ht="30.0" customHeight="1">
      <c r="AH926" s="5"/>
    </row>
    <row r="927" ht="30.0" customHeight="1">
      <c r="AH927" s="5"/>
    </row>
    <row r="928" ht="30.0" customHeight="1">
      <c r="AH928" s="5"/>
    </row>
    <row r="929" ht="30.0" customHeight="1">
      <c r="AH929" s="5"/>
    </row>
    <row r="930" ht="30.0" customHeight="1">
      <c r="AH930" s="5"/>
    </row>
    <row r="931" ht="30.0" customHeight="1">
      <c r="AH931" s="5"/>
    </row>
    <row r="932" ht="30.0" customHeight="1">
      <c r="AH932" s="5"/>
    </row>
    <row r="933" ht="30.0" customHeight="1">
      <c r="AH933" s="5"/>
    </row>
    <row r="934" ht="30.0" customHeight="1">
      <c r="AH934" s="5"/>
    </row>
    <row r="935" ht="30.0" customHeight="1">
      <c r="AH935" s="5"/>
    </row>
    <row r="936" ht="30.0" customHeight="1">
      <c r="AH936" s="5"/>
    </row>
    <row r="937" ht="30.0" customHeight="1">
      <c r="AH937" s="5"/>
    </row>
    <row r="938" ht="30.0" customHeight="1">
      <c r="AH938" s="5"/>
    </row>
    <row r="939" ht="30.0" customHeight="1">
      <c r="AH939" s="5"/>
    </row>
    <row r="940" ht="30.0" customHeight="1">
      <c r="AH940" s="5"/>
    </row>
    <row r="941" ht="30.0" customHeight="1">
      <c r="AH941" s="5"/>
    </row>
    <row r="942" ht="30.0" customHeight="1">
      <c r="AH942" s="5"/>
    </row>
    <row r="943" ht="30.0" customHeight="1">
      <c r="AH943" s="5"/>
    </row>
    <row r="944" ht="30.0" customHeight="1">
      <c r="AH944" s="5"/>
    </row>
    <row r="945" ht="30.0" customHeight="1">
      <c r="AH945" s="5"/>
    </row>
    <row r="946" ht="30.0" customHeight="1">
      <c r="AH946" s="5"/>
    </row>
    <row r="947" ht="30.0" customHeight="1">
      <c r="AH947" s="5"/>
    </row>
    <row r="948" ht="30.0" customHeight="1">
      <c r="AH948" s="5"/>
    </row>
    <row r="949" ht="30.0" customHeight="1">
      <c r="AH949" s="5"/>
    </row>
    <row r="950" ht="30.0" customHeight="1">
      <c r="AH950" s="5"/>
    </row>
    <row r="951" ht="30.0" customHeight="1">
      <c r="AH951" s="5"/>
    </row>
    <row r="952" ht="30.0" customHeight="1">
      <c r="AH952" s="5"/>
    </row>
    <row r="953" ht="30.0" customHeight="1">
      <c r="AH953" s="5"/>
    </row>
    <row r="954" ht="30.0" customHeight="1">
      <c r="AH954" s="5"/>
    </row>
    <row r="955" ht="30.0" customHeight="1">
      <c r="AH955" s="5"/>
    </row>
    <row r="956" ht="30.0" customHeight="1">
      <c r="AH956" s="5"/>
    </row>
    <row r="957" ht="30.0" customHeight="1">
      <c r="AH957" s="5"/>
    </row>
    <row r="958" ht="30.0" customHeight="1">
      <c r="AH958" s="5"/>
    </row>
    <row r="959" ht="30.0" customHeight="1">
      <c r="AH959" s="5"/>
    </row>
    <row r="960" ht="30.0" customHeight="1">
      <c r="AH960" s="5"/>
    </row>
    <row r="961" ht="30.0" customHeight="1">
      <c r="AH961" s="5"/>
    </row>
    <row r="962" ht="30.0" customHeight="1">
      <c r="AH962" s="5"/>
    </row>
    <row r="963" ht="30.0" customHeight="1">
      <c r="AH963" s="5"/>
    </row>
    <row r="964" ht="30.0" customHeight="1">
      <c r="AH964" s="5"/>
    </row>
    <row r="965" ht="30.0" customHeight="1">
      <c r="AH965" s="5"/>
    </row>
    <row r="966" ht="30.0" customHeight="1">
      <c r="AH966" s="5"/>
    </row>
    <row r="967" ht="30.0" customHeight="1">
      <c r="AH967" s="5"/>
    </row>
    <row r="968" ht="30.0" customHeight="1">
      <c r="AH968" s="5"/>
    </row>
    <row r="969" ht="30.0" customHeight="1">
      <c r="AH969" s="5"/>
    </row>
    <row r="970" ht="30.0" customHeight="1">
      <c r="AH970" s="5"/>
    </row>
    <row r="971" ht="30.0" customHeight="1">
      <c r="AH971" s="5"/>
    </row>
    <row r="972" ht="30.0" customHeight="1">
      <c r="AH972" s="5"/>
    </row>
    <row r="973" ht="30.0" customHeight="1">
      <c r="AH973" s="5"/>
    </row>
    <row r="974" ht="30.0" customHeight="1">
      <c r="AH974" s="5"/>
    </row>
    <row r="975" ht="30.0" customHeight="1">
      <c r="AH975" s="5"/>
    </row>
    <row r="976" ht="30.0" customHeight="1">
      <c r="AH976" s="5"/>
    </row>
    <row r="977" ht="30.0" customHeight="1">
      <c r="AH977" s="5"/>
    </row>
    <row r="978" ht="30.0" customHeight="1">
      <c r="AH978" s="5"/>
    </row>
    <row r="979" ht="30.0" customHeight="1">
      <c r="AH979" s="5"/>
    </row>
    <row r="980" ht="30.0" customHeight="1">
      <c r="AH980" s="5"/>
    </row>
    <row r="981" ht="30.0" customHeight="1">
      <c r="AH981" s="5"/>
    </row>
    <row r="982" ht="30.0" customHeight="1">
      <c r="AH982" s="5"/>
    </row>
    <row r="983" ht="30.0" customHeight="1">
      <c r="AH983" s="5"/>
    </row>
    <row r="984" ht="30.0" customHeight="1">
      <c r="AH984" s="5"/>
    </row>
    <row r="985" ht="30.0" customHeight="1">
      <c r="AH985" s="5"/>
    </row>
    <row r="986" ht="30.0" customHeight="1">
      <c r="AH986" s="5"/>
    </row>
    <row r="987" ht="30.0" customHeight="1">
      <c r="AH987" s="5"/>
    </row>
    <row r="988" ht="30.0" customHeight="1">
      <c r="AH988" s="5"/>
    </row>
    <row r="989" ht="30.0" customHeight="1">
      <c r="AH989" s="5"/>
    </row>
    <row r="990" ht="30.0" customHeight="1">
      <c r="AH990" s="5"/>
    </row>
    <row r="991" ht="30.0" customHeight="1">
      <c r="AH991" s="5"/>
    </row>
    <row r="992" ht="30.0" customHeight="1">
      <c r="AH992" s="5"/>
    </row>
    <row r="993" ht="30.0" customHeight="1">
      <c r="AH993" s="5"/>
    </row>
    <row r="994" ht="30.0" customHeight="1">
      <c r="AH994" s="5"/>
    </row>
    <row r="995" ht="30.0" customHeight="1">
      <c r="AH995" s="5"/>
    </row>
    <row r="996" ht="30.0" customHeight="1">
      <c r="AH996" s="5"/>
    </row>
    <row r="997" ht="30.0" customHeight="1">
      <c r="AH997" s="5"/>
    </row>
    <row r="998" ht="30.0" customHeight="1">
      <c r="AH998" s="5"/>
    </row>
    <row r="999" ht="30.0" customHeight="1">
      <c r="AH999" s="5"/>
    </row>
    <row r="1000" ht="30.0" customHeight="1">
      <c r="AH1000" s="5"/>
    </row>
    <row r="1001" ht="30.0" customHeight="1">
      <c r="AH1001" s="5"/>
    </row>
    <row r="1002" ht="30.0" customHeight="1">
      <c r="AH1002" s="5"/>
    </row>
    <row r="1003" ht="30.0" customHeight="1">
      <c r="AH1003" s="5"/>
    </row>
    <row r="1004" ht="30.0" customHeight="1">
      <c r="AH1004" s="5"/>
    </row>
    <row r="1005" ht="30.0" customHeight="1">
      <c r="AH1005" s="5"/>
    </row>
    <row r="1006" ht="30.0" customHeight="1">
      <c r="AH1006" s="5"/>
    </row>
    <row r="1007" ht="30.0" customHeight="1">
      <c r="AH1007" s="5"/>
    </row>
    <row r="1008" ht="30.0" customHeight="1">
      <c r="AH1008" s="5"/>
    </row>
    <row r="1009" ht="30.0" customHeight="1">
      <c r="AH1009" s="5"/>
    </row>
    <row r="1010" ht="30.0" customHeight="1">
      <c r="AH1010" s="5"/>
    </row>
    <row r="1011" ht="30.0" customHeight="1">
      <c r="AH1011" s="5"/>
    </row>
    <row r="1012" ht="30.0" customHeight="1">
      <c r="AH1012" s="5"/>
    </row>
    <row r="1013" ht="30.0" customHeight="1">
      <c r="AH1013" s="5"/>
    </row>
    <row r="1014" ht="30.0" customHeight="1">
      <c r="AH1014" s="5"/>
    </row>
    <row r="1015" ht="30.0" customHeight="1">
      <c r="AH1015" s="5"/>
    </row>
    <row r="1016" ht="30.0" customHeight="1">
      <c r="AH1016" s="5"/>
    </row>
    <row r="1017" ht="30.0" customHeight="1">
      <c r="AH1017" s="5"/>
    </row>
    <row r="1018" ht="30.0" customHeight="1">
      <c r="AH1018" s="5"/>
    </row>
    <row r="1019" ht="30.0" customHeight="1">
      <c r="AH1019" s="5"/>
    </row>
    <row r="1020" ht="30.0" customHeight="1">
      <c r="AH1020" s="5"/>
    </row>
    <row r="1021" ht="30.0" customHeight="1">
      <c r="AH1021" s="5"/>
    </row>
    <row r="1022" ht="30.0" customHeight="1">
      <c r="AH1022" s="5"/>
    </row>
    <row r="1023" ht="30.0" customHeight="1">
      <c r="AH1023" s="5"/>
    </row>
    <row r="1024" ht="30.0" customHeight="1">
      <c r="AH1024" s="5"/>
    </row>
    <row r="1025" ht="30.0" customHeight="1">
      <c r="AH1025" s="5"/>
    </row>
    <row r="1026" ht="30.0" customHeight="1">
      <c r="AH1026" s="5"/>
    </row>
    <row r="1027" ht="30.0" customHeight="1">
      <c r="AH1027" s="5"/>
    </row>
    <row r="1028" ht="30.0" customHeight="1">
      <c r="AH1028" s="5"/>
    </row>
    <row r="1029" ht="30.0" customHeight="1">
      <c r="AH1029" s="5"/>
    </row>
    <row r="1030" ht="30.0" customHeight="1">
      <c r="AH1030" s="5"/>
    </row>
    <row r="1031" ht="30.0" customHeight="1">
      <c r="AH1031" s="5"/>
    </row>
    <row r="1032" ht="30.0" customHeight="1">
      <c r="AH1032" s="5"/>
    </row>
    <row r="1033" ht="30.0" customHeight="1">
      <c r="AH1033" s="5"/>
    </row>
    <row r="1034" ht="30.0" customHeight="1">
      <c r="AH1034" s="5"/>
    </row>
    <row r="1035" ht="30.0" customHeight="1">
      <c r="AH1035" s="5"/>
    </row>
    <row r="1036" ht="30.0" customHeight="1">
      <c r="AH1036" s="5"/>
    </row>
    <row r="1037" ht="30.0" customHeight="1">
      <c r="AH1037" s="5"/>
    </row>
    <row r="1038" ht="30.0" customHeight="1">
      <c r="AH1038" s="5"/>
    </row>
    <row r="1039" ht="30.0" customHeight="1">
      <c r="AH1039" s="5"/>
    </row>
    <row r="1040" ht="30.0" customHeight="1">
      <c r="AH1040" s="5"/>
    </row>
    <row r="1041" ht="30.0" customHeight="1">
      <c r="AH1041" s="5"/>
    </row>
    <row r="1042" ht="30.0" customHeight="1">
      <c r="AH1042" s="5"/>
    </row>
    <row r="1043" ht="30.0" customHeight="1">
      <c r="AH1043" s="5"/>
    </row>
    <row r="1044" ht="30.0" customHeight="1">
      <c r="AH1044" s="5"/>
    </row>
    <row r="1045" ht="30.0" customHeight="1">
      <c r="AH1045" s="5"/>
    </row>
    <row r="1046" ht="30.0" customHeight="1">
      <c r="AH1046" s="5"/>
    </row>
    <row r="1047" ht="30.0" customHeight="1">
      <c r="AH1047" s="5"/>
    </row>
    <row r="1048" ht="30.0" customHeight="1">
      <c r="AH1048" s="5"/>
    </row>
    <row r="1049" ht="30.0" customHeight="1">
      <c r="AH1049" s="5"/>
    </row>
    <row r="1050" ht="30.0" customHeight="1">
      <c r="AH1050" s="5"/>
    </row>
    <row r="1051" ht="30.0" customHeight="1">
      <c r="AH1051" s="5"/>
    </row>
    <row r="1052" ht="30.0" customHeight="1">
      <c r="AH1052" s="5"/>
    </row>
    <row r="1053" ht="30.0" customHeight="1">
      <c r="AH1053" s="5"/>
    </row>
    <row r="1054" ht="30.0" customHeight="1">
      <c r="AH1054" s="5"/>
    </row>
    <row r="1055" ht="30.0" customHeight="1">
      <c r="AH1055" s="5"/>
    </row>
    <row r="1056" ht="30.0" customHeight="1">
      <c r="AH1056" s="5"/>
    </row>
    <row r="1057" ht="30.0" customHeight="1">
      <c r="AH1057" s="5"/>
    </row>
    <row r="1058" ht="30.0" customHeight="1">
      <c r="AH1058" s="5"/>
    </row>
    <row r="1059" ht="30.0" customHeight="1">
      <c r="AH1059" s="5"/>
    </row>
    <row r="1060" ht="30.0" customHeight="1">
      <c r="AH1060" s="5"/>
    </row>
    <row r="1061" ht="30.0" customHeight="1">
      <c r="AH1061" s="5"/>
    </row>
    <row r="1062" ht="30.0" customHeight="1">
      <c r="AH1062" s="5"/>
    </row>
    <row r="1063" ht="30.0" customHeight="1">
      <c r="AH1063" s="5"/>
    </row>
    <row r="1064" ht="30.0" customHeight="1">
      <c r="AH1064" s="5"/>
    </row>
    <row r="1065" ht="30.0" customHeight="1">
      <c r="AH1065" s="5"/>
    </row>
    <row r="1066" ht="30.0" customHeight="1">
      <c r="AH1066" s="5"/>
    </row>
    <row r="1067" ht="30.0" customHeight="1">
      <c r="AH1067" s="5"/>
    </row>
    <row r="1068" ht="30.0" customHeight="1">
      <c r="AH1068" s="5"/>
    </row>
    <row r="1069" ht="30.0" customHeight="1">
      <c r="AH1069" s="5"/>
    </row>
    <row r="1070" ht="30.0" customHeight="1">
      <c r="AH1070" s="5"/>
    </row>
    <row r="1071" ht="30.0" customHeight="1">
      <c r="AH1071" s="5"/>
    </row>
  </sheetData>
  <mergeCells count="16">
    <mergeCell ref="B1:X1"/>
    <mergeCell ref="D2:F2"/>
    <mergeCell ref="H2:J2"/>
    <mergeCell ref="L2:N2"/>
    <mergeCell ref="P2:S2"/>
    <mergeCell ref="U2:X2"/>
    <mergeCell ref="C4:AG4"/>
    <mergeCell ref="C213:AG213"/>
    <mergeCell ref="C223:AG223"/>
    <mergeCell ref="C10:AG10"/>
    <mergeCell ref="C42:AG42"/>
    <mergeCell ref="C76:AG76"/>
    <mergeCell ref="C112:AG112"/>
    <mergeCell ref="C143:AG143"/>
    <mergeCell ref="C178:AG178"/>
    <mergeCell ref="C198:AG198"/>
  </mergeCells>
  <conditionalFormatting sqref="C7:AG7 E16 E30:E33 N31:N38 Q31:Q38 X31:Y38 N97 W97 E98 O98:O99 W100:X100 V102:W102 U103 X103 H115:H116 I115:I117 N115 O115:O116 W115:W118 Z116 N117 R117 K118 O118 N119:N120 S119 K120 V120 Y120 E121 J121:J122 O121:O123 Q121:Q122 H122 I123:I124 R123 V123 L125:L126 Z125:Z126 N127 O128 V130:V131 Y130 U132 Y132 Z133 H146:H147 O146:O147 V146 I147:I149 K147:K149 R147 W147:W149 Y147 N148 G150 J150:J151 O150:O151 V150:V151 H151:H152 L151:L152 I152:I153 Z152 W153 N154:N155 O154 Y156 V157 S159 Z160:Z161 Y162:Y163 H181 N181 O181:O184 P181 Y181:Z181 V182:V184 H183:H184 K183 Y183 J184 L185:L186 Z185 W186 Y186 O187 W188 Q189 V189 Z189 O192:O193 I201 N201 AB201 K202:K203 O202 U202 I203 W203 Y203 AB203:AB207 N204 U204:U206 K205 O205 Q205:R205 W206 Y206:Z207 O208 H216 J216 V216 Z216">
    <cfRule type="expression" dxfId="5" priority="1" stopIfTrue="1">
      <formula>C7=""</formula>
    </cfRule>
  </conditionalFormatting>
  <conditionalFormatting sqref="K7 N7 R7 T7 F13:G13 K13 O13 Z13:AA13 AD13:AD14 AE13:AE38 AF14 AG14:AG15 G15:G17 K15 E16 L16 AF16 T17:T18 AD17:AD19 F18 AF18:AG22 G19:G20 H19 G23 AF24:AF35 AG24:AG28 G27 P29 E30:E38 G30:G38 Z30:Z38 AG30:AG32 C31:D38 F31:F38 H31:R38 S31 T31:T38 V31:V38 W31:W33 X31:Y38 AA31:AA38 AB31:AB32 AC31:AC38 AD31 S34:S38 U34:U38 AB35:AB38 AG35:AG38 W36 AF37:AF38 W38 F45 H45 K45 AA45 E46:E48 G46 AE46 AG46:AG49 F49:F50 K49 AA49 G50 T51:T52 AD51 E52 G52 K52 P56:P57 G57 K57 AD57 E59:E60 G59 K60 AA60:AA61 AD60 G61:H61 F62 E63:E64 F64:F65 G64:H64 K64 T64 G66 H67 AD67 L68 Z68 H69 K69 T70 AA70 AD70 AD72 K80 AE80:AE82 AF80 F81 AG81:AG82 E83 K83 E85 F86 H89:H91 O90 P92 AD92 G93:G94 P94:P95 T95 AA95 AD95 E97:E99 G97:G100 N97 W97 Z97 AC97:AC99 O98:O99 F100 T100 W100:X100 P101 Z101 AD101 V102:W102 U103 X103 E104 G104:G105 AC104 L105 O106 AA107 F115 I115:I117 K115:K116 N115 O115:O116 W115:W118 AB115:AB118 E116 G116 Z116 N117 R117 E118:F118 H118 K118 O118 N119:N120 S119 Z119 E120:E121 G120:G121 K120 O120:O123 V120 Y120 J121:J122 L121 Q121:Q122 AC121:AC124 H122 E123:E124 F123 G123:G124 I123:I124 R123 V123 L125:L126 P125 Z125:Z126 AD125 N127 E128 G128 O128 AC128 F130 V130:V131 Y130 AC130:AC131 G131 U132 Y132 Z133 E134 G134 F135:F140 H135 O135 K136 P136 O137 P138 AD138 G146 K146:K149 O146:O148 V146 AB146 I147:I149 R147 W147:W149 Y147 E148 G148 N148 AB148 F150:G150 J150:J151 O150:O151 V150:V151 H151:H152 L151:L152 I152:I153 Z152 W153 E154 K154 N154:N155 O154 F155 Y156 K157 V157 AC157 S159 Z160:Z161 P161 AD161 Y162:Y163 E163 H163 K163 P163 AB163 AD163 AC164 E165 F165:F168 H165 G168 K168:K169 O170 P171 AD171 AD173 F181:H181 K181 N181 O181:O184 P181 Y181:Z181 AC181:AC184 V182:V184 H183:H184 K183 Y183 G184 J184 L185:L186 Z185 W186 Y186 O187 F188:F189 H188:H189 K188:K189 W188 AB188:AB189 Q189 V189 Z189 F191:F192 H192 O192:O193 G193 AD193:AD194 AF194 F201 I201 N201 AB201 H202 K202:K205 O202:O203 U202 F203:F204 I203 P203 W203 Y203 AB203:AB207 AD203 H204 N204 U204:U206 O205:R205 AD205 E206:E207 F206:F208 H206:H208 W206 Y206:Z207 O208 E216:E218 G216:G217 H216 J216 V216 Z216 AC216 E226">
    <cfRule type="expression" dxfId="5" priority="2" stopIfTrue="1">
      <formula>#REF!=""</formula>
    </cfRule>
  </conditionalFormatting>
  <conditionalFormatting sqref="AD45 AE45:AE46 AF45:AF60 AG46:AG54 AD47 AE48:AE50 AD51 AE52:AE60 AD53:AD60 AG56:AG58 AG60 W97 Z97 W100:X100 Z101 W102 U103 X103 W115:W118 R117 O118 S119 Z119 AF122 O123 R123 L125:L126 O146 R147 W147:W149 G150 O150:O151 H151:H152 L151:L152 W153 O154 S159 O181:P181 H183:H184 L185:L186 W186 W188 O192:O193 O202 W203 O205 U206 W206 O208">
    <cfRule type="expression" dxfId="5" priority="3" stopIfTrue="1">
      <formula>AD45=""</formula>
    </cfRule>
  </conditionalFormatting>
  <conditionalFormatting sqref="K13 K15 L16 L31:L32 K45 K49 K52 K57 K60 K64 L68 H69 K69 AE79:AE88 AF79:AF89 AG79:AG82 K80 AD80:AD81 K83 AD84 AG84:AG97 AD87:AD89 O90 AE90 AD91 AF91:AF109 AE92:AE98 AD93:AD94 AD96:AD109 C97:F109 G97:G102 H97:H109 J97:J109 K97:K102 M97:P109 Q97 R97:R102 T97:T105 V97:W100 X97:X98 Y97:Y99 Z97:Z109 AA97:AA100 AB97 AC97:AC102 Q99 S99 U99:U104 AB99 AG99:AG100 X100 AE100 Q101:Q109 S101:S103 Y101:Y109 AB101:AB102 V102 W102:W106 AA102:AA109 X103 G104:G109 K104:K109 R104:R105 V104:V109 AB104 AC104:AC109 L105 AG105:AG109 U106 AB106:AB107 R107:T109 U108:U109 W108:W109 AB109 K115:K116 L115 AB115:AB118 X116 Z116 AD116:AD118 K118 X118 S119 Z119 O120:O123 V120 Y120 AD120 E121:E122 J121:J122 L121:L122 Q121:Q122 AC121:AC124 C122:D122 F122:H122 M122:N122 P122 R122:U122 V122:V123 W122 X122:X124 Z122:AB122 AD122:AD124 AE122:AG122 Z125:Z126 AD126 X127 O128 AC128 AD128:AD133 V130:V131 Y130 AC130:AC131 U132 Y132 Z133 O135 K136 O137 K146 V146 AB146 L147 X147:Y147 AD147:AD149 O148 AB148 V150:V151 X151:X153 AD151 Z152 AD153:AD155 K154 O154 X155:X161 Y156 K157 V157 AC157:AD157 AD159:AD164 Z160:Z161 Y162:Y163 K163 AB163 AC164 K168:K169 O170 P171 K181:L181 O181:P181 Y181:Z181 AC181:AC184 V182:V184 X182 AD182:AD190 Y183 X184 Z185 Y186 K188:K189 AB188:AB189 V189 X189 Z189 O192:O193 X201:X202 AB201 O202:O203 U202 AD202:AD207 Y203 AB203:AB207 K204:K205 U204:U205 O205 X206:X210 Y206:Z207 O208 AD211 V216 Z216 AC216 AD217:AD218 AD221">
    <cfRule type="expression" dxfId="5" priority="4" stopIfTrue="1">
      <formula>#REF!=""</formula>
    </cfRule>
  </conditionalFormatting>
  <conditionalFormatting sqref="F13:G13 K13 O13 Z13:AA13 G15:G17 K15 L16 F18 G19:G20 H19 G23 G27 P29 G30:G31 Z30:Z31 L31:L32 AD31 H32 AA36 H45 K45 AA45 G46 K49 AA49 G50 AD51 G52 K52 P56:P57 G57 K57 AD57 G59 K60 AA60:AA61 AD60 G61:H61 F62 G64:H64 K64 G66 H67 AD67 L68 Z68 H69 K69 T70 AA70 AD70 AD72 K80 K83 H89:H91 O90 P92 AD92 G93:G94 P94:P95 AA95 AD95 G97:G100 Z97 AC97:AC99 V98:V99 P101 Z101 AD101 G104:G105 AC104 L105 O106 AA107 C115:G140 H115:H120 J115:J140 K115:K116 L115 M115:M123 N115:Q140 R115:S117 T115:T116 U115:U119 V115:V117 W115:W124 X115:X140 Z115:Z140 AA115:AA117 AB115:AB119 AC115:AC117 AE115:AG117 Y116:Y117 L117:L122 K118:K119 R119:R129 S119 T119:T122 V119:V140 Y119:Y121 AA119:AA135 AD119:AD120 AE119:AE140 AF119 AC120:AC140 AG120:AG122 I121:I140 K121 S121:S122 U121:U122 AB121:AB129 AF121:AF129 H122:H140 AD122:AD140 K123:K140 Y123:Y134 S124:S129 T124:T135 U124:U133 AG125:AG140 W126:W140 R131:R134 AB131:AB133 S132:S133 AF132:AF134 S135:S140 U135:U140 AB135:AB140 R137:R140 T137:T140 Y137:Y140 AA137:AA140 AF137:AF140 C146:H161 K146:K147 M146:M153 N146:Q161 S146:S147 U146:U161 V146:V147 W146:W154 X146:X149 Z146:Z161 AA146:AA147 AB146:AB149 AC146 AE146:AE161 AF146:AG147 J147:J151 L147 R147:R161 T147 Y147 AC148:AC152 AD148 L149:L151 S149 T149:T153 V149:V161 AA149 AF149 Y150 AD150:AD161 AG150:AG152 S151:S153 X151:X161 AA151:AA153 AB151:AB152 AF151:AF161 K152 Y152:Y156 K154 AG154:AG161 S155:S156 AB155:AB157 T156 W156:W161 AA156:AA161 AC156:AC161 K157 S158:T161 Y158:Y163 AB159:AB161 H163 K163 P163 AB163 AD163 AC164 H165 G168 K168:K169 O170 P171 AD171 AD173 C181:H195 J181:J195 K181 L181:L195 N181:Q195 S181:S185 T181:T187 U181:U192 V181:V187 W181:X195 Y181 Z181:Z195 AA181:AA187 AB181:AB190 AC181:AC191 AE181:AE195 AF181:AF187 AG181:AG190 M182:M183 R182:R187 Y183:Y187 I184:I195 K184:K195 AD184:AD195 S187:S188 V189:V191 Y189:Y195 AA189:AA191 AF189:AF195 R190 S190:S195 T190:T191 R192 AB192 AG192 T193:T195 V193:V195 AA193:AA195 AC193:AC195 R194:R195 U194:U195 AB194:AB195 AG194:AG195 N201 Z201 AB201 H202 O202:O203 U202 AA202 P203 Y203 AB203:AB207 AD203 H204 K204:K205 N204 U204:U205 G205 O205:R205 AD205 H206:H208 Y206:Y207 Z206:Z210 O208 G216:G217 Z216 AC216">
    <cfRule type="expression" dxfId="5" priority="5" stopIfTrue="1">
      <formula>#REF!=""</formula>
    </cfRule>
  </conditionalFormatting>
  <dataValidations>
    <dataValidation type="list" allowBlank="1" showErrorMessage="1" sqref="B7 B13:B38 B45:B72 B79:B109 B117:B140 B148:B174 B182:B195 B203:B210 B217:B220 B228:B230">
      <formula1>'Nombres de los alumnos '!$B$4:$B$1016</formula1>
    </dataValidation>
    <dataValidation type="list" allowBlank="1" showErrorMessage="1" sqref="B115:B116 B146:B147 B181 B201:B202 B216 B226:B227">
      <formula1>'Nombres de los alumnos '!$B$4:$B$999999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1E11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2" width="4.71"/>
    <col customWidth="1" min="33" max="35" width="20.86"/>
  </cols>
  <sheetData>
    <row r="1" ht="49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AG1" s="5"/>
      <c r="AH1" s="5"/>
      <c r="AI1" s="5"/>
    </row>
    <row r="2" ht="15.0" customHeight="1">
      <c r="B2" s="6" t="s">
        <v>1</v>
      </c>
      <c r="C2" s="7" t="s">
        <v>2</v>
      </c>
      <c r="D2" s="8" t="s">
        <v>3</v>
      </c>
      <c r="E2" s="3"/>
      <c r="F2" s="4"/>
      <c r="G2" s="9" t="s">
        <v>4</v>
      </c>
      <c r="H2" s="8" t="s">
        <v>5</v>
      </c>
      <c r="I2" s="3"/>
      <c r="J2" s="4"/>
      <c r="K2" s="10" t="s">
        <v>6</v>
      </c>
      <c r="L2" s="8" t="s">
        <v>7</v>
      </c>
      <c r="M2" s="3"/>
      <c r="N2" s="4"/>
      <c r="O2" s="11" t="s">
        <v>8</v>
      </c>
      <c r="P2" s="8" t="s">
        <v>9</v>
      </c>
      <c r="Q2" s="3"/>
      <c r="R2" s="3"/>
      <c r="S2" s="4"/>
      <c r="T2" s="12" t="s">
        <v>10</v>
      </c>
      <c r="U2" s="8" t="s">
        <v>11</v>
      </c>
      <c r="V2" s="3"/>
      <c r="W2" s="3"/>
      <c r="X2" s="4"/>
      <c r="AG2" s="5"/>
      <c r="AH2" s="5"/>
      <c r="AI2" s="5"/>
    </row>
    <row r="3" ht="15.0" customHeight="1">
      <c r="AG3" s="13"/>
      <c r="AH3" s="13"/>
      <c r="AI3" s="13"/>
    </row>
    <row r="4" ht="30.0" customHeight="1">
      <c r="B4" s="15" t="s">
        <v>295</v>
      </c>
      <c r="C4" s="15" t="s">
        <v>13</v>
      </c>
      <c r="AG4" s="15">
        <v>2026.0</v>
      </c>
      <c r="AH4" s="15"/>
      <c r="AI4" s="15"/>
    </row>
    <row r="5" ht="15.0" customHeight="1">
      <c r="B5" s="14"/>
      <c r="C5" s="16" t="str">
        <f>TEXT(WEEKDAY(DATE(Abril!CalendarioAño,1,7),1),"ddd")</f>
        <v>mié</v>
      </c>
      <c r="D5" s="16" t="str">
        <f>TEXT(WEEKDAY(DATE(Abril!CalendarioAño,1,8),1),"ddd")</f>
        <v>jue</v>
      </c>
      <c r="E5" s="16" t="str">
        <f>TEXT(WEEKDAY(DATE(Abril!CalendarioAño,1,9),1),"ddd")</f>
        <v>vie</v>
      </c>
      <c r="F5" s="16" t="str">
        <f>TEXT(WEEKDAY(DATE(Abril!CalendarioAño,1,10),1),"ddd")</f>
        <v>sáb</v>
      </c>
      <c r="G5" s="16" t="str">
        <f>TEXT(WEEKDAY(DATE(Abril!CalendarioAño,1,11),1),"ddd")</f>
        <v>dom</v>
      </c>
      <c r="H5" s="16" t="str">
        <f>TEXT(WEEKDAY(DATE(Abril!CalendarioAño,1,12),1),"ddd")</f>
        <v>lun</v>
      </c>
      <c r="I5" s="16" t="str">
        <f>TEXT(WEEKDAY(DATE(Abril!CalendarioAño,1,13),1),"ddd")</f>
        <v>mar</v>
      </c>
      <c r="J5" s="16" t="str">
        <f>TEXT(WEEKDAY(DATE(Abril!CalendarioAño,1,14),1),"ddd")</f>
        <v>mié</v>
      </c>
      <c r="K5" s="16" t="str">
        <f>TEXT(WEEKDAY(DATE(Abril!CalendarioAño,1,15),1),"ddd")</f>
        <v>jue</v>
      </c>
      <c r="L5" s="16" t="str">
        <f>TEXT(WEEKDAY(DATE(Abril!CalendarioAño,1,16),1),"ddd")</f>
        <v>vie</v>
      </c>
      <c r="M5" s="16" t="str">
        <f>TEXT(WEEKDAY(DATE(Abril!CalendarioAño,1,17),1),"ddd")</f>
        <v>sáb</v>
      </c>
      <c r="N5" s="16" t="str">
        <f>TEXT(WEEKDAY(DATE(Abril!CalendarioAño,1,18),1),"ddd")</f>
        <v>dom</v>
      </c>
      <c r="O5" s="16" t="str">
        <f>TEXT(WEEKDAY(DATE(Abril!CalendarioAño,1,19),1),"ddd")</f>
        <v>lun</v>
      </c>
      <c r="P5" s="16" t="str">
        <f>TEXT(WEEKDAY(DATE(Abril!CalendarioAño,1,20),1),"ddd")</f>
        <v>mar</v>
      </c>
      <c r="Q5" s="16" t="str">
        <f>TEXT(WEEKDAY(DATE(Abril!CalendarioAño,1,21),1),"ddd")</f>
        <v>mié</v>
      </c>
      <c r="R5" s="16" t="str">
        <f>TEXT(WEEKDAY(DATE(Abril!CalendarioAño,1,22),1),"ddd")</f>
        <v>jue</v>
      </c>
      <c r="S5" s="16" t="str">
        <f>TEXT(WEEKDAY(DATE(Abril!CalendarioAño,1,23),1),"ddd")</f>
        <v>vie</v>
      </c>
      <c r="T5" s="16" t="str">
        <f>TEXT(WEEKDAY(DATE(Abril!CalendarioAño,1,24),1),"ddd")</f>
        <v>sáb</v>
      </c>
      <c r="U5" s="16" t="str">
        <f>TEXT(WEEKDAY(DATE(Abril!CalendarioAño,1,25),1),"ddd")</f>
        <v>dom</v>
      </c>
      <c r="V5" s="16" t="str">
        <f>TEXT(WEEKDAY(DATE(Abril!CalendarioAño,1,26),1),"ddd")</f>
        <v>lun</v>
      </c>
      <c r="W5" s="16" t="str">
        <f>TEXT(WEEKDAY(DATE(Abril!CalendarioAño,1,27),1),"ddd")</f>
        <v>mar</v>
      </c>
      <c r="X5" s="16" t="str">
        <f>TEXT(WEEKDAY(DATE(Abril!CalendarioAño,1,28),1),"ddd")</f>
        <v>mié</v>
      </c>
      <c r="Y5" s="16" t="str">
        <f>TEXT(WEEKDAY(DATE(Abril!CalendarioAño,1,29),1),"ddd")</f>
        <v>jue</v>
      </c>
      <c r="Z5" s="16" t="str">
        <f>TEXT(WEEKDAY(DATE(Abril!CalendarioAño,1,30),1),"ddd")</f>
        <v>vie</v>
      </c>
      <c r="AA5" s="16" t="str">
        <f>TEXT(WEEKDAY(DATE(Abril!CalendarioAño,1,31),1),"ddd")</f>
        <v>sáb</v>
      </c>
      <c r="AB5" s="16" t="str">
        <f>TEXT(WEEKDAY(DATE(Abril!CalendarioAño,1,25),1),"ddd")</f>
        <v>dom</v>
      </c>
      <c r="AC5" s="16" t="str">
        <f>TEXT(WEEKDAY(DATE(Abril!CalendarioAño,1,26),1),"ddd")</f>
        <v>lun</v>
      </c>
      <c r="AD5" s="16" t="str">
        <f>TEXT(WEEKDAY(DATE(Abril!CalendarioAño,1,27),1),"ddd")</f>
        <v>mar</v>
      </c>
      <c r="AE5" s="16" t="str">
        <f>TEXT(WEEKDAY(DATE(Abril!CalendarioAño,1,28),1),"ddd")</f>
        <v>mié</v>
      </c>
      <c r="AF5" s="16" t="str">
        <f>TEXT(WEEKDAY(DATE(Abril!CalendarioAño,1,29),1),"ddd")</f>
        <v>jue</v>
      </c>
      <c r="AG5" s="14"/>
      <c r="AH5" s="14"/>
      <c r="AI5" s="14"/>
    </row>
    <row r="6" ht="15.0" customHeight="1">
      <c r="A6" s="17"/>
      <c r="B6" s="18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  <c r="I6" s="19" t="s">
        <v>21</v>
      </c>
      <c r="J6" s="19" t="s">
        <v>22</v>
      </c>
      <c r="K6" s="19" t="s">
        <v>23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19" t="s">
        <v>36</v>
      </c>
      <c r="Y6" s="19" t="s">
        <v>37</v>
      </c>
      <c r="Z6" s="19" t="s">
        <v>38</v>
      </c>
      <c r="AA6" s="19" t="s">
        <v>39</v>
      </c>
      <c r="AB6" s="19" t="s">
        <v>40</v>
      </c>
      <c r="AC6" s="19" t="s">
        <v>41</v>
      </c>
      <c r="AD6" s="19" t="s">
        <v>42</v>
      </c>
      <c r="AE6" s="19" t="s">
        <v>43</v>
      </c>
      <c r="AF6" s="19" t="s">
        <v>44</v>
      </c>
      <c r="AG6" s="19" t="s">
        <v>46</v>
      </c>
      <c r="AH6" s="19"/>
      <c r="AI6" s="19"/>
    </row>
    <row r="7" ht="30.0" customHeight="1">
      <c r="B7" s="20"/>
      <c r="C7" s="21"/>
      <c r="D7" s="21"/>
      <c r="E7" s="21"/>
      <c r="F7" s="22"/>
      <c r="G7" s="22"/>
      <c r="H7" s="21"/>
      <c r="I7" s="21"/>
      <c r="J7" s="21"/>
      <c r="K7" s="22"/>
      <c r="L7" s="21"/>
      <c r="M7" s="21"/>
      <c r="N7" s="22"/>
      <c r="O7" s="21"/>
      <c r="P7" s="21"/>
      <c r="Q7" s="21"/>
      <c r="R7" s="22"/>
      <c r="S7" s="21"/>
      <c r="T7" s="22"/>
      <c r="U7" s="22"/>
      <c r="V7" s="21"/>
      <c r="W7" s="21"/>
      <c r="X7" s="21"/>
      <c r="Y7" s="22"/>
      <c r="Z7" s="21"/>
      <c r="AA7" s="22"/>
      <c r="AB7" s="22"/>
      <c r="AC7" s="21"/>
      <c r="AD7" s="21"/>
      <c r="AE7" s="21"/>
      <c r="AF7" s="22"/>
      <c r="AG7" s="23"/>
      <c r="AH7" s="23"/>
      <c r="AI7" s="23"/>
    </row>
    <row r="8" ht="30.0" customHeight="1">
      <c r="B8" s="24" t="str">
        <f>Abril!MonthName&amp;" Total"</f>
        <v>Abril Total</v>
      </c>
      <c r="C8" s="25">
        <f>SUBTOTAL(103,Abril!$C$7)</f>
        <v>0</v>
      </c>
      <c r="D8" s="25">
        <f>SUBTOTAL(103,Abril!$D$7)</f>
        <v>0</v>
      </c>
      <c r="E8" s="25">
        <f>SUBTOTAL(103,Abril!$E$7)</f>
        <v>0</v>
      </c>
      <c r="F8" s="25">
        <f>SUBTOTAL(103,Abril!$F$7)</f>
        <v>0</v>
      </c>
      <c r="G8" s="25">
        <f>SUBTOTAL(103,Abril!$G$7)</f>
        <v>0</v>
      </c>
      <c r="H8" s="25">
        <f>SUBTOTAL(103,Abril!$H$7)</f>
        <v>0</v>
      </c>
      <c r="I8" s="25">
        <f>SUBTOTAL(103,Abril!$I$7)</f>
        <v>0</v>
      </c>
      <c r="J8" s="25">
        <f>SUBTOTAL(103,Abril!$J$7)</f>
        <v>0</v>
      </c>
      <c r="K8" s="25">
        <f>SUBTOTAL(103,Abril!$K$7)</f>
        <v>0</v>
      </c>
      <c r="L8" s="25">
        <f>SUBTOTAL(103,Abril!$L$7)</f>
        <v>0</v>
      </c>
      <c r="M8" s="25">
        <f>SUBTOTAL(103,Abril!$M$7)</f>
        <v>0</v>
      </c>
      <c r="N8" s="25">
        <f>SUBTOTAL(103,Abril!$N$7)</f>
        <v>0</v>
      </c>
      <c r="O8" s="25">
        <f>SUBTOTAL(103,Abril!$O$7)</f>
        <v>0</v>
      </c>
      <c r="P8" s="25">
        <f>SUBTOTAL(103,Abril!$P$7)</f>
        <v>0</v>
      </c>
      <c r="Q8" s="25">
        <f>SUBTOTAL(103,Abril!$Q$7)</f>
        <v>0</v>
      </c>
      <c r="R8" s="25">
        <f>SUBTOTAL(103,Abril!$R$7)</f>
        <v>0</v>
      </c>
      <c r="S8" s="25">
        <f>SUBTOTAL(103,Abril!$S$7)</f>
        <v>0</v>
      </c>
      <c r="T8" s="25">
        <f>SUBTOTAL(103,Abril!$T$7)</f>
        <v>0</v>
      </c>
      <c r="U8" s="25">
        <f>SUBTOTAL(103,Abril!$U$7)</f>
        <v>0</v>
      </c>
      <c r="V8" s="25">
        <f>SUBTOTAL(103,Abril!$V$7)</f>
        <v>0</v>
      </c>
      <c r="W8" s="25">
        <f>SUBTOTAL(103,Abril!$W$7)</f>
        <v>0</v>
      </c>
      <c r="X8" s="25">
        <f>SUBTOTAL(103,Abril!$X$7)</f>
        <v>0</v>
      </c>
      <c r="Y8" s="25">
        <f>SUBTOTAL(103,Abril!$Y$7)</f>
        <v>0</v>
      </c>
      <c r="Z8" s="25">
        <f>SUBTOTAL(103,Abril!$Z$7)</f>
        <v>0</v>
      </c>
      <c r="AA8" s="25">
        <f>SUBTOTAL(103,Abril!$AA$7)</f>
        <v>0</v>
      </c>
      <c r="AB8" s="25">
        <f>SUBTOTAL(103,Abril!$AB$7)</f>
        <v>0</v>
      </c>
      <c r="AC8" s="25">
        <f>SUBTOTAL(103,Abril!$AC$7)</f>
        <v>0</v>
      </c>
      <c r="AD8" s="25">
        <f>SUBTOTAL(103,Abril!$AD$7)</f>
        <v>0</v>
      </c>
      <c r="AE8" s="25">
        <f>SUBTOTAL(103,Abril!$AE$7)</f>
        <v>0</v>
      </c>
      <c r="AF8" s="25">
        <f>SUBTOTAL(103,Abril!$AF$7)</f>
        <v>0</v>
      </c>
      <c r="AG8" s="25"/>
      <c r="AH8" s="25"/>
      <c r="AI8" s="25"/>
    </row>
    <row r="9" ht="30.0" customHeight="1">
      <c r="AG9" s="5"/>
      <c r="AH9" s="5"/>
      <c r="AI9" s="5"/>
    </row>
    <row r="10" ht="30.0" customHeight="1">
      <c r="B10" s="15" t="s">
        <v>295</v>
      </c>
      <c r="C10" s="27" t="s">
        <v>47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9">
        <v>2026.0</v>
      </c>
      <c r="AH10" s="15"/>
      <c r="AI10" s="15"/>
    </row>
    <row r="11" ht="30.0" customHeight="1">
      <c r="B11" s="30"/>
      <c r="C11" s="16" t="str">
        <f>TEXT(WEEKDAY(DATE(Abril!CalendarioAño,1,7),1),"ddd")</f>
        <v>mié</v>
      </c>
      <c r="D11" s="16" t="str">
        <f>TEXT(WEEKDAY(DATE(Abril!CalendarioAño,1,8),1),"ddd")</f>
        <v>jue</v>
      </c>
      <c r="E11" s="16" t="str">
        <f>TEXT(WEEKDAY(DATE(Abril!CalendarioAño,1,9),1),"ddd")</f>
        <v>vie</v>
      </c>
      <c r="F11" s="16" t="str">
        <f>TEXT(WEEKDAY(DATE(Abril!CalendarioAño,1,10),1),"ddd")</f>
        <v>sáb</v>
      </c>
      <c r="G11" s="16" t="str">
        <f>TEXT(WEEKDAY(DATE(Abril!CalendarioAño,1,11),1),"ddd")</f>
        <v>dom</v>
      </c>
      <c r="H11" s="16" t="str">
        <f>TEXT(WEEKDAY(DATE(Abril!CalendarioAño,1,12),1),"ddd")</f>
        <v>lun</v>
      </c>
      <c r="I11" s="16" t="str">
        <f>TEXT(WEEKDAY(DATE(Abril!CalendarioAño,1,13),1),"ddd")</f>
        <v>mar</v>
      </c>
      <c r="J11" s="16" t="str">
        <f>TEXT(WEEKDAY(DATE(Abril!CalendarioAño,1,14),1),"ddd")</f>
        <v>mié</v>
      </c>
      <c r="K11" s="16" t="str">
        <f>TEXT(WEEKDAY(DATE(Abril!CalendarioAño,1,15),1),"ddd")</f>
        <v>jue</v>
      </c>
      <c r="L11" s="16" t="str">
        <f>TEXT(WEEKDAY(DATE(Abril!CalendarioAño,1,16),1),"ddd")</f>
        <v>vie</v>
      </c>
      <c r="M11" s="16" t="str">
        <f>TEXT(WEEKDAY(DATE(Abril!CalendarioAño,1,17),1),"ddd")</f>
        <v>sáb</v>
      </c>
      <c r="N11" s="16" t="str">
        <f>TEXT(WEEKDAY(DATE(Abril!CalendarioAño,1,18),1),"ddd")</f>
        <v>dom</v>
      </c>
      <c r="O11" s="16" t="str">
        <f>TEXT(WEEKDAY(DATE(Abril!CalendarioAño,1,19),1),"ddd")</f>
        <v>lun</v>
      </c>
      <c r="P11" s="16" t="str">
        <f>TEXT(WEEKDAY(DATE(Abril!CalendarioAño,1,20),1),"ddd")</f>
        <v>mar</v>
      </c>
      <c r="Q11" s="16" t="str">
        <f>TEXT(WEEKDAY(DATE(Abril!CalendarioAño,1,21),1),"ddd")</f>
        <v>mié</v>
      </c>
      <c r="R11" s="16" t="str">
        <f>TEXT(WEEKDAY(DATE(Abril!CalendarioAño,1,22),1),"ddd")</f>
        <v>jue</v>
      </c>
      <c r="S11" s="16" t="str">
        <f>TEXT(WEEKDAY(DATE(Abril!CalendarioAño,1,23),1),"ddd")</f>
        <v>vie</v>
      </c>
      <c r="T11" s="16" t="str">
        <f>TEXT(WEEKDAY(DATE(Abril!CalendarioAño,1,24),1),"ddd")</f>
        <v>sáb</v>
      </c>
      <c r="U11" s="16" t="str">
        <f>TEXT(WEEKDAY(DATE(Abril!CalendarioAño,1,25),1),"ddd")</f>
        <v>dom</v>
      </c>
      <c r="V11" s="16" t="str">
        <f>TEXT(WEEKDAY(DATE(Abril!CalendarioAño,1,26),1),"ddd")</f>
        <v>lun</v>
      </c>
      <c r="W11" s="16" t="str">
        <f>TEXT(WEEKDAY(DATE(Abril!CalendarioAño,1,27),1),"ddd")</f>
        <v>mar</v>
      </c>
      <c r="X11" s="16" t="str">
        <f>TEXT(WEEKDAY(DATE(Abril!CalendarioAño,1,28),1),"ddd")</f>
        <v>mié</v>
      </c>
      <c r="Y11" s="16" t="str">
        <f>TEXT(WEEKDAY(DATE(Abril!CalendarioAño,1,29),1),"ddd")</f>
        <v>jue</v>
      </c>
      <c r="Z11" s="16" t="str">
        <f>TEXT(WEEKDAY(DATE(Abril!CalendarioAño,1,30),1),"ddd")</f>
        <v>vie</v>
      </c>
      <c r="AA11" s="16" t="str">
        <f>TEXT(WEEKDAY(DATE(Abril!CalendarioAño,1,31),1),"ddd")</f>
        <v>sáb</v>
      </c>
      <c r="AB11" s="16" t="str">
        <f>TEXT(WEEKDAY(DATE(Abril!CalendarioAño,1,25),1),"ddd")</f>
        <v>dom</v>
      </c>
      <c r="AC11" s="16" t="str">
        <f>TEXT(WEEKDAY(DATE(Abril!CalendarioAño,1,26),1),"ddd")</f>
        <v>lun</v>
      </c>
      <c r="AD11" s="16" t="str">
        <f>TEXT(WEEKDAY(DATE(Abril!CalendarioAño,1,27),1),"ddd")</f>
        <v>mar</v>
      </c>
      <c r="AE11" s="16" t="str">
        <f>TEXT(WEEKDAY(DATE(Abril!CalendarioAño,1,28),1),"ddd")</f>
        <v>mié</v>
      </c>
      <c r="AF11" s="16" t="str">
        <f>TEXT(WEEKDAY(DATE(Abril!CalendarioAño,1,29),1),"ddd")</f>
        <v>jue</v>
      </c>
      <c r="AG11" s="30"/>
      <c r="AH11" s="14"/>
      <c r="AI11" s="14"/>
    </row>
    <row r="12" ht="21.75" customHeight="1">
      <c r="A12" s="17"/>
      <c r="B12" s="31" t="s">
        <v>14</v>
      </c>
      <c r="C12" s="19" t="s">
        <v>15</v>
      </c>
      <c r="D12" s="19" t="s">
        <v>16</v>
      </c>
      <c r="E12" s="19" t="s">
        <v>17</v>
      </c>
      <c r="F12" s="19" t="s">
        <v>18</v>
      </c>
      <c r="G12" s="19" t="s">
        <v>19</v>
      </c>
      <c r="H12" s="19" t="s">
        <v>20</v>
      </c>
      <c r="I12" s="19" t="s">
        <v>21</v>
      </c>
      <c r="J12" s="19" t="s">
        <v>22</v>
      </c>
      <c r="K12" s="19" t="s">
        <v>23</v>
      </c>
      <c r="L12" s="19" t="s">
        <v>24</v>
      </c>
      <c r="M12" s="19" t="s">
        <v>25</v>
      </c>
      <c r="N12" s="19" t="s">
        <v>26</v>
      </c>
      <c r="O12" s="19" t="s">
        <v>27</v>
      </c>
      <c r="P12" s="19" t="s">
        <v>28</v>
      </c>
      <c r="Q12" s="19" t="s">
        <v>29</v>
      </c>
      <c r="R12" s="19" t="s">
        <v>30</v>
      </c>
      <c r="S12" s="19" t="s">
        <v>31</v>
      </c>
      <c r="T12" s="19" t="s">
        <v>32</v>
      </c>
      <c r="U12" s="19" t="s">
        <v>33</v>
      </c>
      <c r="V12" s="19" t="s">
        <v>34</v>
      </c>
      <c r="W12" s="19" t="s">
        <v>35</v>
      </c>
      <c r="X12" s="19" t="s">
        <v>36</v>
      </c>
      <c r="Y12" s="19" t="s">
        <v>37</v>
      </c>
      <c r="Z12" s="19" t="s">
        <v>38</v>
      </c>
      <c r="AA12" s="19" t="s">
        <v>39</v>
      </c>
      <c r="AB12" s="19" t="s">
        <v>40</v>
      </c>
      <c r="AC12" s="19" t="s">
        <v>41</v>
      </c>
      <c r="AD12" s="19" t="s">
        <v>42</v>
      </c>
      <c r="AE12" s="19" t="s">
        <v>43</v>
      </c>
      <c r="AF12" s="19" t="s">
        <v>44</v>
      </c>
      <c r="AG12" s="19" t="s">
        <v>46</v>
      </c>
      <c r="AH12" s="19"/>
      <c r="AI12" s="19"/>
    </row>
    <row r="13" ht="30.0" customHeight="1">
      <c r="B13" s="32" t="s">
        <v>48</v>
      </c>
      <c r="C13" s="36"/>
      <c r="D13" s="36"/>
      <c r="E13" s="36"/>
      <c r="F13" s="36"/>
      <c r="G13" s="36"/>
      <c r="H13" s="10" t="s">
        <v>6</v>
      </c>
      <c r="I13" s="10" t="s">
        <v>6</v>
      </c>
      <c r="J13" s="10" t="s">
        <v>6</v>
      </c>
      <c r="K13" s="10" t="s">
        <v>6</v>
      </c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23"/>
      <c r="AH13" s="23"/>
      <c r="AI13" s="23"/>
    </row>
    <row r="14" ht="30.0" customHeight="1">
      <c r="B14" s="32" t="s">
        <v>277</v>
      </c>
      <c r="C14" s="61"/>
      <c r="D14" s="61"/>
      <c r="E14" s="61"/>
      <c r="F14" s="61"/>
      <c r="G14" s="61"/>
      <c r="H14" s="10" t="s">
        <v>6</v>
      </c>
      <c r="I14" s="61"/>
      <c r="J14" s="10" t="s">
        <v>6</v>
      </c>
      <c r="K14" s="10" t="s">
        <v>6</v>
      </c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23"/>
      <c r="AH14" s="23"/>
      <c r="AI14" s="23"/>
    </row>
    <row r="15" ht="30.0" customHeight="1">
      <c r="B15" s="32" t="s">
        <v>50</v>
      </c>
      <c r="C15" s="36"/>
      <c r="D15" s="36"/>
      <c r="E15" s="36"/>
      <c r="F15" s="36"/>
      <c r="G15" s="36"/>
      <c r="H15" s="10" t="s">
        <v>6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23"/>
      <c r="AH15" s="23"/>
      <c r="AI15" s="23"/>
    </row>
    <row r="16" ht="30.0" customHeight="1">
      <c r="B16" s="32" t="s">
        <v>52</v>
      </c>
      <c r="C16" s="36"/>
      <c r="D16" s="61"/>
      <c r="E16" s="61"/>
      <c r="F16" s="61"/>
      <c r="G16" s="61"/>
      <c r="H16" s="10" t="s">
        <v>6</v>
      </c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23"/>
      <c r="AH16" s="23"/>
      <c r="AI16" s="23"/>
    </row>
    <row r="17" ht="30.0" customHeight="1">
      <c r="B17" s="32" t="s">
        <v>58</v>
      </c>
      <c r="C17" s="61"/>
      <c r="D17" s="36"/>
      <c r="E17" s="36"/>
      <c r="F17" s="36"/>
      <c r="G17" s="36"/>
      <c r="H17" s="36"/>
      <c r="I17" s="10" t="s">
        <v>6</v>
      </c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23"/>
      <c r="AH17" s="23"/>
      <c r="AI17" s="23"/>
    </row>
    <row r="18" ht="30.0" customHeight="1">
      <c r="B18" s="32" t="s">
        <v>190</v>
      </c>
      <c r="C18" s="36"/>
      <c r="D18" s="36"/>
      <c r="E18" s="36"/>
      <c r="F18" s="36"/>
      <c r="G18" s="36"/>
      <c r="H18" s="36"/>
      <c r="I18" s="10" t="s">
        <v>6</v>
      </c>
      <c r="J18" s="10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23"/>
      <c r="AH18" s="23"/>
      <c r="AI18" s="23"/>
    </row>
    <row r="19" ht="30.0" customHeight="1">
      <c r="B19" s="32" t="s">
        <v>278</v>
      </c>
      <c r="C19" s="61"/>
      <c r="D19" s="61"/>
      <c r="E19" s="61"/>
      <c r="F19" s="61"/>
      <c r="G19" s="61"/>
      <c r="H19" s="61"/>
      <c r="I19" s="61"/>
      <c r="J19" s="10" t="s">
        <v>6</v>
      </c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23"/>
      <c r="AH19" s="23"/>
      <c r="AI19" s="23"/>
    </row>
    <row r="20" ht="30.0" customHeight="1">
      <c r="B20" s="32" t="s">
        <v>53</v>
      </c>
      <c r="C20" s="36"/>
      <c r="D20" s="36"/>
      <c r="E20" s="36"/>
      <c r="F20" s="36"/>
      <c r="G20" s="36"/>
      <c r="H20" s="36"/>
      <c r="I20" s="36"/>
      <c r="J20" s="10" t="s">
        <v>6</v>
      </c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23"/>
      <c r="AH20" s="23"/>
      <c r="AI20" s="23"/>
    </row>
    <row r="21" ht="30.0" customHeight="1">
      <c r="B21" s="32"/>
      <c r="C21" s="61"/>
      <c r="D21" s="61"/>
      <c r="E21" s="61"/>
      <c r="F21" s="61"/>
      <c r="G21" s="61"/>
      <c r="H21" s="61"/>
      <c r="I21" s="61"/>
      <c r="J21" s="10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23"/>
      <c r="AH21" s="23"/>
      <c r="AI21" s="23"/>
    </row>
    <row r="22" ht="30.0" customHeight="1">
      <c r="B22" s="32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23"/>
      <c r="AH22" s="23"/>
      <c r="AI22" s="23"/>
    </row>
    <row r="23" ht="30.0" customHeight="1">
      <c r="B23" s="32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23"/>
      <c r="AH23" s="23"/>
      <c r="AI23" s="23"/>
    </row>
    <row r="24" ht="30.0" customHeight="1">
      <c r="B24" s="32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23"/>
      <c r="AH24" s="23"/>
      <c r="AI24" s="23"/>
    </row>
    <row r="25" ht="30.0" customHeight="1">
      <c r="B25" s="32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23"/>
      <c r="AH25" s="23"/>
      <c r="AI25" s="23"/>
    </row>
    <row r="26" ht="30.0" customHeight="1">
      <c r="B26" s="32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23"/>
      <c r="AH26" s="23"/>
      <c r="AI26" s="23"/>
    </row>
    <row r="27" ht="30.0" customHeight="1">
      <c r="B27" s="32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23"/>
      <c r="AH27" s="23"/>
      <c r="AI27" s="23"/>
    </row>
    <row r="28" ht="30.0" customHeight="1">
      <c r="B28" s="32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23"/>
      <c r="AH28" s="23"/>
      <c r="AI28" s="23"/>
    </row>
    <row r="29" ht="30.0" customHeight="1">
      <c r="B29" s="32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23"/>
      <c r="AH29" s="23"/>
      <c r="AI29" s="23"/>
    </row>
    <row r="30" ht="30.0" customHeight="1">
      <c r="B30" s="32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23"/>
      <c r="AH30" s="23"/>
      <c r="AI30" s="23"/>
    </row>
    <row r="31" ht="30.0" customHeight="1">
      <c r="B31" s="32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23"/>
      <c r="AH31" s="23"/>
      <c r="AI31" s="23"/>
    </row>
    <row r="32" ht="30.0" customHeight="1">
      <c r="B32" s="32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23"/>
      <c r="AH32" s="23"/>
      <c r="AI32" s="23"/>
    </row>
    <row r="33" ht="30.0" customHeight="1">
      <c r="B33" s="32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2"/>
      <c r="O33" s="21"/>
      <c r="P33" s="21"/>
      <c r="Q33" s="22"/>
      <c r="R33" s="21"/>
      <c r="S33" s="21"/>
      <c r="T33" s="21"/>
      <c r="U33" s="21"/>
      <c r="V33" s="21"/>
      <c r="W33" s="21"/>
      <c r="X33" s="22"/>
      <c r="Y33" s="22"/>
      <c r="Z33" s="21"/>
      <c r="AA33" s="21"/>
      <c r="AB33" s="21"/>
      <c r="AC33" s="21"/>
      <c r="AD33" s="33"/>
      <c r="AE33" s="22"/>
      <c r="AF33" s="21"/>
      <c r="AG33" s="23"/>
      <c r="AH33" s="23"/>
      <c r="AI33" s="23"/>
    </row>
    <row r="34" ht="30.0" customHeight="1">
      <c r="B34" s="24" t="str">
        <f>Abril!MonthName&amp;" Total"</f>
        <v>Abril Total</v>
      </c>
      <c r="C34" s="25">
        <f>SUBTOTAL(103,Abril!$C$7)</f>
        <v>0</v>
      </c>
      <c r="D34" s="25">
        <f>SUBTOTAL(103,Abril!$D$7)</f>
        <v>0</v>
      </c>
      <c r="E34" s="25">
        <f>SUBTOTAL(103,Abril!$E$7)</f>
        <v>0</v>
      </c>
      <c r="F34" s="25"/>
      <c r="G34" s="25">
        <f>SUBTOTAL(103,Abril!$G$7)</f>
        <v>0</v>
      </c>
      <c r="H34" s="25">
        <f>SUBTOTAL(103,Abril!$H$7)</f>
        <v>0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</row>
    <row r="35" ht="30.0" customHeight="1">
      <c r="AG35" s="5"/>
      <c r="AH35" s="5"/>
      <c r="AI35" s="5"/>
    </row>
    <row r="36" ht="30.0" customHeight="1">
      <c r="AG36" s="5"/>
      <c r="AH36" s="5"/>
      <c r="AI36" s="5"/>
    </row>
    <row r="37" ht="30.0" customHeight="1">
      <c r="B37" s="15" t="s">
        <v>295</v>
      </c>
      <c r="C37" s="27" t="s">
        <v>67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39">
        <v>2026.0</v>
      </c>
      <c r="AH37" s="15"/>
      <c r="AI37" s="15"/>
    </row>
    <row r="38" ht="30.0" customHeight="1">
      <c r="B38" s="30"/>
      <c r="C38" s="16" t="str">
        <f>TEXT(WEEKDAY(DATE(Abril!CalendarioAño,1,7),1),"ddd")</f>
        <v>mié</v>
      </c>
      <c r="D38" s="16" t="str">
        <f>TEXT(WEEKDAY(DATE(Abril!CalendarioAño,1,8),1),"ddd")</f>
        <v>jue</v>
      </c>
      <c r="E38" s="16" t="str">
        <f>TEXT(WEEKDAY(DATE(Abril!CalendarioAño,1,9),1),"ddd")</f>
        <v>vie</v>
      </c>
      <c r="F38" s="16" t="str">
        <f>TEXT(WEEKDAY(DATE(Abril!CalendarioAño,1,10),1),"ddd")</f>
        <v>sáb</v>
      </c>
      <c r="G38" s="16" t="str">
        <f>TEXT(WEEKDAY(DATE(Abril!CalendarioAño,1,11),1),"ddd")</f>
        <v>dom</v>
      </c>
      <c r="H38" s="16" t="str">
        <f>TEXT(WEEKDAY(DATE(Abril!CalendarioAño,1,12),1),"ddd")</f>
        <v>lun</v>
      </c>
      <c r="I38" s="16" t="str">
        <f>TEXT(WEEKDAY(DATE(Abril!CalendarioAño,1,13),1),"ddd")</f>
        <v>mar</v>
      </c>
      <c r="J38" s="16" t="str">
        <f>TEXT(WEEKDAY(DATE(Abril!CalendarioAño,1,14),1),"ddd")</f>
        <v>mié</v>
      </c>
      <c r="K38" s="16" t="str">
        <f>TEXT(WEEKDAY(DATE(Abril!CalendarioAño,1,15),1),"ddd")</f>
        <v>jue</v>
      </c>
      <c r="L38" s="16" t="str">
        <f>TEXT(WEEKDAY(DATE(Abril!CalendarioAño,1,16),1),"ddd")</f>
        <v>vie</v>
      </c>
      <c r="M38" s="16" t="str">
        <f>TEXT(WEEKDAY(DATE(Abril!CalendarioAño,1,17),1),"ddd")</f>
        <v>sáb</v>
      </c>
      <c r="N38" s="16" t="str">
        <f>TEXT(WEEKDAY(DATE(Abril!CalendarioAño,1,18),1),"ddd")</f>
        <v>dom</v>
      </c>
      <c r="O38" s="16" t="str">
        <f>TEXT(WEEKDAY(DATE(Abril!CalendarioAño,1,19),1),"ddd")</f>
        <v>lun</v>
      </c>
      <c r="P38" s="16" t="str">
        <f>TEXT(WEEKDAY(DATE(Abril!CalendarioAño,1,20),1),"ddd")</f>
        <v>mar</v>
      </c>
      <c r="Q38" s="16" t="str">
        <f>TEXT(WEEKDAY(DATE(Abril!CalendarioAño,1,21),1),"ddd")</f>
        <v>mié</v>
      </c>
      <c r="R38" s="16" t="str">
        <f>TEXT(WEEKDAY(DATE(Abril!CalendarioAño,1,22),1),"ddd")</f>
        <v>jue</v>
      </c>
      <c r="S38" s="16" t="str">
        <f>TEXT(WEEKDAY(DATE(Abril!CalendarioAño,1,23),1),"ddd")</f>
        <v>vie</v>
      </c>
      <c r="T38" s="16" t="str">
        <f>TEXT(WEEKDAY(DATE(Abril!CalendarioAño,1,24),1),"ddd")</f>
        <v>sáb</v>
      </c>
      <c r="U38" s="16" t="str">
        <f>TEXT(WEEKDAY(DATE(Abril!CalendarioAño,1,25),1),"ddd")</f>
        <v>dom</v>
      </c>
      <c r="V38" s="16" t="str">
        <f>TEXT(WEEKDAY(DATE(Abril!CalendarioAño,1,26),1),"ddd")</f>
        <v>lun</v>
      </c>
      <c r="W38" s="16" t="str">
        <f>TEXT(WEEKDAY(DATE(Abril!CalendarioAño,1,27),1),"ddd")</f>
        <v>mar</v>
      </c>
      <c r="X38" s="16" t="str">
        <f>TEXT(WEEKDAY(DATE(Abril!CalendarioAño,1,28),1),"ddd")</f>
        <v>mié</v>
      </c>
      <c r="Y38" s="16" t="str">
        <f>TEXT(WEEKDAY(DATE(Abril!CalendarioAño,1,29),1),"ddd")</f>
        <v>jue</v>
      </c>
      <c r="Z38" s="16" t="str">
        <f>TEXT(WEEKDAY(DATE(Abril!CalendarioAño,1,30),1),"ddd")</f>
        <v>vie</v>
      </c>
      <c r="AA38" s="16" t="str">
        <f>TEXT(WEEKDAY(DATE(Abril!CalendarioAño,1,31),1),"ddd")</f>
        <v>sáb</v>
      </c>
      <c r="AB38" s="16" t="str">
        <f>TEXT(WEEKDAY(DATE(Abril!CalendarioAño,1,25),1),"ddd")</f>
        <v>dom</v>
      </c>
      <c r="AC38" s="16" t="str">
        <f>TEXT(WEEKDAY(DATE(Abril!CalendarioAño,1,26),1),"ddd")</f>
        <v>lun</v>
      </c>
      <c r="AD38" s="16" t="str">
        <f>TEXT(WEEKDAY(DATE(Abril!CalendarioAño,1,27),1),"ddd")</f>
        <v>mar</v>
      </c>
      <c r="AE38" s="16" t="str">
        <f>TEXT(WEEKDAY(DATE(Abril!CalendarioAño,1,28),1),"ddd")</f>
        <v>mié</v>
      </c>
      <c r="AF38" s="16" t="str">
        <f>TEXT(WEEKDAY(DATE(Abril!CalendarioAño,1,29),1),"ddd")</f>
        <v>jue</v>
      </c>
      <c r="AG38" s="30"/>
      <c r="AH38" s="14"/>
      <c r="AI38" s="14"/>
    </row>
    <row r="39" ht="30.0" customHeight="1">
      <c r="A39" s="17"/>
      <c r="B39" s="31" t="s">
        <v>14</v>
      </c>
      <c r="C39" s="19" t="s">
        <v>15</v>
      </c>
      <c r="D39" s="19" t="s">
        <v>16</v>
      </c>
      <c r="E39" s="19" t="s">
        <v>17</v>
      </c>
      <c r="F39" s="19" t="s">
        <v>18</v>
      </c>
      <c r="G39" s="19" t="s">
        <v>19</v>
      </c>
      <c r="H39" s="19" t="s">
        <v>20</v>
      </c>
      <c r="I39" s="19" t="s">
        <v>21</v>
      </c>
      <c r="J39" s="19" t="s">
        <v>22</v>
      </c>
      <c r="K39" s="19" t="s">
        <v>23</v>
      </c>
      <c r="L39" s="19" t="s">
        <v>24</v>
      </c>
      <c r="M39" s="19" t="s">
        <v>25</v>
      </c>
      <c r="N39" s="19" t="s">
        <v>26</v>
      </c>
      <c r="O39" s="19" t="s">
        <v>27</v>
      </c>
      <c r="P39" s="19" t="s">
        <v>28</v>
      </c>
      <c r="Q39" s="19" t="s">
        <v>29</v>
      </c>
      <c r="R39" s="19" t="s">
        <v>30</v>
      </c>
      <c r="S39" s="19" t="s">
        <v>31</v>
      </c>
      <c r="T39" s="19" t="s">
        <v>32</v>
      </c>
      <c r="U39" s="19" t="s">
        <v>33</v>
      </c>
      <c r="V39" s="19" t="s">
        <v>34</v>
      </c>
      <c r="W39" s="19" t="s">
        <v>35</v>
      </c>
      <c r="X39" s="19" t="s">
        <v>36</v>
      </c>
      <c r="Y39" s="19" t="s">
        <v>37</v>
      </c>
      <c r="Z39" s="19" t="s">
        <v>38</v>
      </c>
      <c r="AA39" s="19" t="s">
        <v>39</v>
      </c>
      <c r="AB39" s="19" t="s">
        <v>40</v>
      </c>
      <c r="AC39" s="19" t="s">
        <v>41</v>
      </c>
      <c r="AD39" s="19" t="s">
        <v>42</v>
      </c>
      <c r="AE39" s="19" t="s">
        <v>43</v>
      </c>
      <c r="AF39" s="19" t="s">
        <v>44</v>
      </c>
      <c r="AG39" s="19" t="s">
        <v>46</v>
      </c>
      <c r="AH39" s="19"/>
      <c r="AI39" s="19"/>
    </row>
    <row r="40" ht="30.0" customHeight="1">
      <c r="B40" s="40" t="s">
        <v>87</v>
      </c>
      <c r="C40" s="36"/>
      <c r="D40" s="36"/>
      <c r="E40" s="36"/>
      <c r="F40" s="36"/>
      <c r="G40" s="36"/>
      <c r="H40" s="10" t="s">
        <v>6</v>
      </c>
      <c r="I40" s="36"/>
      <c r="J40" s="10" t="s">
        <v>6</v>
      </c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23"/>
      <c r="AH40" s="23"/>
      <c r="AI40" s="23"/>
    </row>
    <row r="41" ht="30.0" customHeight="1">
      <c r="B41" s="40" t="s">
        <v>287</v>
      </c>
      <c r="C41" s="61"/>
      <c r="D41" s="61"/>
      <c r="E41" s="61"/>
      <c r="F41" s="61"/>
      <c r="G41" s="61"/>
      <c r="H41" s="10" t="s">
        <v>6</v>
      </c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23"/>
      <c r="AH41" s="23"/>
      <c r="AI41" s="23"/>
    </row>
    <row r="42" ht="30.0" customHeight="1">
      <c r="B42" s="32" t="s">
        <v>247</v>
      </c>
      <c r="C42" s="36"/>
      <c r="D42" s="36"/>
      <c r="E42" s="36"/>
      <c r="F42" s="36"/>
      <c r="G42" s="36"/>
      <c r="H42" s="36"/>
      <c r="I42" s="10" t="s">
        <v>6</v>
      </c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21"/>
      <c r="AH42" s="21"/>
      <c r="AI42" s="33"/>
    </row>
    <row r="43" ht="30.0" customHeight="1">
      <c r="B43" s="32" t="s">
        <v>289</v>
      </c>
      <c r="C43" s="36"/>
      <c r="D43" s="61"/>
      <c r="E43" s="61"/>
      <c r="F43" s="61"/>
      <c r="G43" s="61"/>
      <c r="H43" s="61"/>
      <c r="I43" s="10" t="s">
        <v>6</v>
      </c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23"/>
      <c r="AH43" s="23"/>
      <c r="AI43" s="23"/>
    </row>
    <row r="44" ht="30.0" customHeight="1">
      <c r="B44" s="32" t="s">
        <v>195</v>
      </c>
      <c r="C44" s="61"/>
      <c r="D44" s="36"/>
      <c r="E44" s="36"/>
      <c r="F44" s="36"/>
      <c r="G44" s="36"/>
      <c r="H44" s="36"/>
      <c r="I44" s="10" t="s">
        <v>6</v>
      </c>
      <c r="J44" s="10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121"/>
      <c r="AH44" s="23"/>
      <c r="AI44" s="23"/>
    </row>
    <row r="45" ht="30.0" customHeight="1">
      <c r="B45" s="32" t="s">
        <v>71</v>
      </c>
      <c r="C45" s="36"/>
      <c r="D45" s="36"/>
      <c r="E45" s="36"/>
      <c r="F45" s="36"/>
      <c r="G45" s="36"/>
      <c r="H45" s="36"/>
      <c r="I45" s="10" t="s">
        <v>6</v>
      </c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23"/>
      <c r="AH45" s="23"/>
      <c r="AI45" s="23"/>
    </row>
    <row r="46" ht="30.0" customHeight="1">
      <c r="B46" s="32" t="s">
        <v>194</v>
      </c>
      <c r="C46" s="61"/>
      <c r="D46" s="61"/>
      <c r="E46" s="61"/>
      <c r="F46" s="61"/>
      <c r="G46" s="61"/>
      <c r="H46" s="61"/>
      <c r="I46" s="61"/>
      <c r="J46" s="10" t="s">
        <v>6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23"/>
      <c r="AH46" s="23"/>
      <c r="AI46" s="23"/>
    </row>
    <row r="47" ht="30.0" customHeight="1">
      <c r="B47" s="32" t="s">
        <v>114</v>
      </c>
      <c r="C47" s="36"/>
      <c r="D47" s="36"/>
      <c r="E47" s="36"/>
      <c r="F47" s="36"/>
      <c r="G47" s="36"/>
      <c r="H47" s="36"/>
      <c r="I47" s="36"/>
      <c r="J47" s="10" t="s">
        <v>6</v>
      </c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23"/>
      <c r="AH47" s="23"/>
      <c r="AI47" s="23"/>
    </row>
    <row r="48" ht="30.0" customHeight="1">
      <c r="B48" s="32" t="s">
        <v>109</v>
      </c>
      <c r="C48" s="61"/>
      <c r="D48" s="61"/>
      <c r="E48" s="61"/>
      <c r="F48" s="61"/>
      <c r="G48" s="61"/>
      <c r="H48" s="61"/>
      <c r="I48" s="61"/>
      <c r="J48" s="10" t="s">
        <v>6</v>
      </c>
      <c r="K48" s="10" t="s">
        <v>6</v>
      </c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23"/>
      <c r="AH48" s="23"/>
      <c r="AI48" s="23"/>
    </row>
    <row r="49" ht="30.0" customHeight="1">
      <c r="B49" s="40" t="s">
        <v>66</v>
      </c>
      <c r="C49" s="36"/>
      <c r="D49" s="36"/>
      <c r="E49" s="36"/>
      <c r="F49" s="36"/>
      <c r="G49" s="36"/>
      <c r="H49" s="36"/>
      <c r="I49" s="10" t="s">
        <v>6</v>
      </c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23"/>
      <c r="AH49" s="23"/>
      <c r="AI49" s="23"/>
    </row>
    <row r="50" ht="30.0" customHeight="1">
      <c r="B50" s="32" t="s">
        <v>186</v>
      </c>
      <c r="C50" s="36"/>
      <c r="D50" s="36"/>
      <c r="E50" s="36"/>
      <c r="F50" s="36"/>
      <c r="G50" s="36"/>
      <c r="H50" s="36"/>
      <c r="I50" s="10" t="s">
        <v>6</v>
      </c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23"/>
      <c r="AH50" s="23"/>
      <c r="AI50" s="23"/>
    </row>
    <row r="51" ht="30.0" customHeight="1">
      <c r="B51" s="32" t="s">
        <v>51</v>
      </c>
      <c r="C51" s="61"/>
      <c r="D51" s="61"/>
      <c r="E51" s="61"/>
      <c r="F51" s="61"/>
      <c r="G51" s="61"/>
      <c r="H51" s="61"/>
      <c r="I51" s="10" t="s">
        <v>6</v>
      </c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23"/>
      <c r="AH51" s="23"/>
      <c r="AI51" s="23"/>
    </row>
    <row r="52" ht="30.0" customHeight="1">
      <c r="B52" s="32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23"/>
      <c r="AH52" s="23"/>
      <c r="AI52" s="23"/>
    </row>
    <row r="53" ht="30.0" customHeight="1">
      <c r="B53" s="32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23"/>
      <c r="AH53" s="23"/>
      <c r="AI53" s="23"/>
    </row>
    <row r="54" ht="30.0" customHeight="1">
      <c r="B54" s="32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23"/>
      <c r="AH54" s="23"/>
      <c r="AI54" s="23"/>
    </row>
    <row r="55" ht="30.0" customHeight="1">
      <c r="B55" s="32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23"/>
      <c r="AH55" s="23"/>
      <c r="AI55" s="23"/>
    </row>
    <row r="56" ht="30.0" customHeight="1">
      <c r="B56" s="32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25"/>
      <c r="AH56" s="25"/>
      <c r="AI56" s="25"/>
    </row>
    <row r="57" ht="30.0" customHeight="1">
      <c r="B57" s="32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25"/>
      <c r="AH57" s="25"/>
      <c r="AI57" s="25"/>
    </row>
    <row r="58" ht="30.0" customHeight="1">
      <c r="B58" s="32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25"/>
      <c r="AH58" s="25"/>
      <c r="AI58" s="25"/>
    </row>
    <row r="59" ht="30.0" customHeight="1">
      <c r="B59" s="32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25"/>
      <c r="AH59" s="25"/>
      <c r="AI59" s="25"/>
    </row>
    <row r="60" ht="30.0" customHeight="1">
      <c r="B60" s="24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</row>
    <row r="61" ht="30.0" customHeight="1">
      <c r="B61" s="24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</row>
    <row r="62" ht="30.0" customHeight="1">
      <c r="B62" s="24" t="str">
        <f>Abril!MonthName&amp;" Total"</f>
        <v>Abril Total</v>
      </c>
      <c r="C62" s="25">
        <f>SUBTOTAL(103,Abril!$C$7)</f>
        <v>0</v>
      </c>
      <c r="D62" s="25">
        <f>SUBTOTAL(103,Abril!$D$7)</f>
        <v>0</v>
      </c>
      <c r="E62" s="25">
        <f>SUBTOTAL(103,Abril!$E$7)</f>
        <v>0</v>
      </c>
      <c r="F62" s="25"/>
      <c r="G62" s="25">
        <f>SUBTOTAL(103,Abril!$G$7)</f>
        <v>0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</row>
    <row r="63" ht="30.0" customHeight="1">
      <c r="AG63" s="5"/>
      <c r="AH63" s="5"/>
      <c r="AI63" s="5"/>
    </row>
    <row r="64" ht="30.0" customHeight="1">
      <c r="B64" s="15" t="s">
        <v>295</v>
      </c>
      <c r="C64" s="27" t="s">
        <v>89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39">
        <v>2026.0</v>
      </c>
      <c r="AH64" s="15"/>
      <c r="AI64" s="15"/>
    </row>
    <row r="65" ht="30.0" customHeight="1">
      <c r="B65" s="30"/>
      <c r="C65" s="16" t="str">
        <f>TEXT(WEEKDAY(DATE(Abril!CalendarioAño,1,7),1),"ddd")</f>
        <v>mié</v>
      </c>
      <c r="D65" s="16" t="str">
        <f>TEXT(WEEKDAY(DATE(Abril!CalendarioAño,1,8),1),"ddd")</f>
        <v>jue</v>
      </c>
      <c r="E65" s="16" t="str">
        <f>TEXT(WEEKDAY(DATE(Abril!CalendarioAño,1,9),1),"ddd")</f>
        <v>vie</v>
      </c>
      <c r="F65" s="16" t="str">
        <f>TEXT(WEEKDAY(DATE(Abril!CalendarioAño,1,10),1),"ddd")</f>
        <v>sáb</v>
      </c>
      <c r="G65" s="16" t="str">
        <f>TEXT(WEEKDAY(DATE(Abril!CalendarioAño,1,11),1),"ddd")</f>
        <v>dom</v>
      </c>
      <c r="H65" s="16" t="str">
        <f>TEXT(WEEKDAY(DATE(Abril!CalendarioAño,1,12),1),"ddd")</f>
        <v>lun</v>
      </c>
      <c r="I65" s="16" t="str">
        <f>TEXT(WEEKDAY(DATE(Abril!CalendarioAño,1,13),1),"ddd")</f>
        <v>mar</v>
      </c>
      <c r="J65" s="16" t="str">
        <f>TEXT(WEEKDAY(DATE(Abril!CalendarioAño,1,14),1),"ddd")</f>
        <v>mié</v>
      </c>
      <c r="K65" s="16" t="str">
        <f>TEXT(WEEKDAY(DATE(Abril!CalendarioAño,1,15),1),"ddd")</f>
        <v>jue</v>
      </c>
      <c r="L65" s="16" t="str">
        <f>TEXT(WEEKDAY(DATE(Abril!CalendarioAño,1,16),1),"ddd")</f>
        <v>vie</v>
      </c>
      <c r="M65" s="16" t="str">
        <f>TEXT(WEEKDAY(DATE(Abril!CalendarioAño,1,17),1),"ddd")</f>
        <v>sáb</v>
      </c>
      <c r="N65" s="16" t="str">
        <f>TEXT(WEEKDAY(DATE(Abril!CalendarioAño,1,18),1),"ddd")</f>
        <v>dom</v>
      </c>
      <c r="O65" s="16" t="str">
        <f>TEXT(WEEKDAY(DATE(Abril!CalendarioAño,1,19),1),"ddd")</f>
        <v>lun</v>
      </c>
      <c r="P65" s="16" t="str">
        <f>TEXT(WEEKDAY(DATE(Abril!CalendarioAño,1,20),1),"ddd")</f>
        <v>mar</v>
      </c>
      <c r="Q65" s="16" t="str">
        <f>TEXT(WEEKDAY(DATE(Abril!CalendarioAño,1,21),1),"ddd")</f>
        <v>mié</v>
      </c>
      <c r="R65" s="16" t="str">
        <f>TEXT(WEEKDAY(DATE(Abril!CalendarioAño,1,22),1),"ddd")</f>
        <v>jue</v>
      </c>
      <c r="S65" s="16" t="str">
        <f>TEXT(WEEKDAY(DATE(Abril!CalendarioAño,1,23),1),"ddd")</f>
        <v>vie</v>
      </c>
      <c r="T65" s="16" t="str">
        <f>TEXT(WEEKDAY(DATE(Abril!CalendarioAño,1,24),1),"ddd")</f>
        <v>sáb</v>
      </c>
      <c r="U65" s="16" t="str">
        <f>TEXT(WEEKDAY(DATE(Abril!CalendarioAño,1,25),1),"ddd")</f>
        <v>dom</v>
      </c>
      <c r="V65" s="16" t="str">
        <f>TEXT(WEEKDAY(DATE(Abril!CalendarioAño,1,26),1),"ddd")</f>
        <v>lun</v>
      </c>
      <c r="W65" s="16" t="str">
        <f>TEXT(WEEKDAY(DATE(Abril!CalendarioAño,1,27),1),"ddd")</f>
        <v>mar</v>
      </c>
      <c r="X65" s="16" t="str">
        <f>TEXT(WEEKDAY(DATE(Abril!CalendarioAño,1,28),1),"ddd")</f>
        <v>mié</v>
      </c>
      <c r="Y65" s="16" t="str">
        <f>TEXT(WEEKDAY(DATE(Abril!CalendarioAño,1,29),1),"ddd")</f>
        <v>jue</v>
      </c>
      <c r="Z65" s="16" t="str">
        <f>TEXT(WEEKDAY(DATE(Abril!CalendarioAño,1,30),1),"ddd")</f>
        <v>vie</v>
      </c>
      <c r="AA65" s="16" t="str">
        <f>TEXT(WEEKDAY(DATE(Abril!CalendarioAño,1,31),1),"ddd")</f>
        <v>sáb</v>
      </c>
      <c r="AB65" s="16" t="str">
        <f>TEXT(WEEKDAY(DATE(Abril!CalendarioAño,1,25),1),"ddd")</f>
        <v>dom</v>
      </c>
      <c r="AC65" s="16" t="str">
        <f>TEXT(WEEKDAY(DATE(Abril!CalendarioAño,1,26),1),"ddd")</f>
        <v>lun</v>
      </c>
      <c r="AD65" s="16" t="str">
        <f>TEXT(WEEKDAY(DATE(Abril!CalendarioAño,1,27),1),"ddd")</f>
        <v>mar</v>
      </c>
      <c r="AE65" s="16" t="str">
        <f>TEXT(WEEKDAY(DATE(Abril!CalendarioAño,1,28),1),"ddd")</f>
        <v>mié</v>
      </c>
      <c r="AF65" s="16" t="str">
        <f>TEXT(WEEKDAY(DATE(Abril!CalendarioAño,1,29),1),"ddd")</f>
        <v>jue</v>
      </c>
      <c r="AG65" s="30"/>
      <c r="AH65" s="14"/>
      <c r="AI65" s="14"/>
    </row>
    <row r="66" ht="30.0" customHeight="1">
      <c r="A66" s="17"/>
      <c r="B66" s="31" t="s">
        <v>14</v>
      </c>
      <c r="C66" s="19" t="s">
        <v>15</v>
      </c>
      <c r="D66" s="19" t="s">
        <v>16</v>
      </c>
      <c r="E66" s="19" t="s">
        <v>17</v>
      </c>
      <c r="F66" s="19" t="s">
        <v>18</v>
      </c>
      <c r="G66" s="19" t="s">
        <v>19</v>
      </c>
      <c r="H66" s="19" t="s">
        <v>20</v>
      </c>
      <c r="I66" s="19" t="s">
        <v>21</v>
      </c>
      <c r="J66" s="19" t="s">
        <v>22</v>
      </c>
      <c r="K66" s="19" t="s">
        <v>23</v>
      </c>
      <c r="L66" s="19" t="s">
        <v>24</v>
      </c>
      <c r="M66" s="19" t="s">
        <v>25</v>
      </c>
      <c r="N66" s="19" t="s">
        <v>26</v>
      </c>
      <c r="O66" s="19" t="s">
        <v>27</v>
      </c>
      <c r="P66" s="19" t="s">
        <v>28</v>
      </c>
      <c r="Q66" s="19" t="s">
        <v>29</v>
      </c>
      <c r="R66" s="19" t="s">
        <v>30</v>
      </c>
      <c r="S66" s="19" t="s">
        <v>31</v>
      </c>
      <c r="T66" s="19" t="s">
        <v>32</v>
      </c>
      <c r="U66" s="19" t="s">
        <v>33</v>
      </c>
      <c r="V66" s="19" t="s">
        <v>34</v>
      </c>
      <c r="W66" s="19" t="s">
        <v>35</v>
      </c>
      <c r="X66" s="19" t="s">
        <v>36</v>
      </c>
      <c r="Y66" s="19" t="s">
        <v>37</v>
      </c>
      <c r="Z66" s="19" t="s">
        <v>38</v>
      </c>
      <c r="AA66" s="19" t="s">
        <v>39</v>
      </c>
      <c r="AB66" s="19" t="s">
        <v>40</v>
      </c>
      <c r="AC66" s="19" t="s">
        <v>41</v>
      </c>
      <c r="AD66" s="19" t="s">
        <v>42</v>
      </c>
      <c r="AE66" s="19" t="s">
        <v>43</v>
      </c>
      <c r="AF66" s="19" t="s">
        <v>44</v>
      </c>
      <c r="AG66" s="19" t="s">
        <v>46</v>
      </c>
      <c r="AH66" s="19"/>
      <c r="AI66" s="19"/>
    </row>
    <row r="67" ht="30.0" customHeight="1">
      <c r="B67" s="40" t="s">
        <v>278</v>
      </c>
      <c r="C67" s="36"/>
      <c r="D67" s="36"/>
      <c r="E67" s="36"/>
      <c r="F67" s="36"/>
      <c r="G67" s="36"/>
      <c r="H67" s="10" t="s">
        <v>6</v>
      </c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23"/>
      <c r="AH67" s="23"/>
      <c r="AI67" s="23"/>
    </row>
    <row r="68" ht="30.0" customHeight="1">
      <c r="B68" s="40" t="s">
        <v>109</v>
      </c>
      <c r="C68" s="61"/>
      <c r="D68" s="61"/>
      <c r="E68" s="61"/>
      <c r="F68" s="61"/>
      <c r="G68" s="61"/>
      <c r="H68" s="10" t="s">
        <v>6</v>
      </c>
      <c r="I68" s="10" t="s">
        <v>6</v>
      </c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23"/>
      <c r="AH68" s="23"/>
      <c r="AI68" s="23"/>
    </row>
    <row r="69" ht="30.0" customHeight="1">
      <c r="B69" s="40" t="s">
        <v>101</v>
      </c>
      <c r="C69" s="36"/>
      <c r="D69" s="36"/>
      <c r="E69" s="36"/>
      <c r="F69" s="36"/>
      <c r="G69" s="36"/>
      <c r="H69" s="10" t="s">
        <v>6</v>
      </c>
      <c r="I69" s="36"/>
      <c r="J69" s="10" t="s">
        <v>6</v>
      </c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23"/>
      <c r="AH69" s="23"/>
      <c r="AI69" s="23"/>
    </row>
    <row r="70" ht="30.0" customHeight="1">
      <c r="B70" s="40" t="s">
        <v>112</v>
      </c>
      <c r="C70" s="61"/>
      <c r="D70" s="61"/>
      <c r="E70" s="61"/>
      <c r="F70" s="61"/>
      <c r="G70" s="61"/>
      <c r="H70" s="10" t="s">
        <v>6</v>
      </c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23"/>
      <c r="AH70" s="23"/>
      <c r="AI70" s="23"/>
    </row>
    <row r="71" ht="30.0" customHeight="1">
      <c r="B71" s="32" t="s">
        <v>94</v>
      </c>
      <c r="C71" s="36"/>
      <c r="D71" s="36"/>
      <c r="E71" s="36"/>
      <c r="F71" s="36"/>
      <c r="G71" s="36"/>
      <c r="H71" s="36"/>
      <c r="I71" s="10" t="s">
        <v>6</v>
      </c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23"/>
      <c r="AH71" s="23"/>
      <c r="AI71" s="23"/>
    </row>
    <row r="72" ht="30.0" customHeight="1">
      <c r="B72" s="40" t="s">
        <v>82</v>
      </c>
      <c r="C72" s="36"/>
      <c r="D72" s="36"/>
      <c r="E72" s="36"/>
      <c r="F72" s="36"/>
      <c r="G72" s="36"/>
      <c r="H72" s="36"/>
      <c r="I72" s="10" t="s">
        <v>6</v>
      </c>
      <c r="J72" s="36"/>
      <c r="K72" s="10" t="s">
        <v>6</v>
      </c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23"/>
      <c r="AH72" s="23"/>
      <c r="AI72" s="23"/>
    </row>
    <row r="73" ht="30.0" customHeight="1">
      <c r="B73" s="32" t="s">
        <v>115</v>
      </c>
      <c r="C73" s="61"/>
      <c r="D73" s="61"/>
      <c r="E73" s="61"/>
      <c r="F73" s="61"/>
      <c r="G73" s="61"/>
      <c r="H73" s="61"/>
      <c r="I73" s="10" t="s">
        <v>6</v>
      </c>
      <c r="J73" s="10" t="s">
        <v>6</v>
      </c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23"/>
      <c r="AH73" s="23"/>
      <c r="AI73" s="23"/>
    </row>
    <row r="74" ht="30.0" customHeight="1">
      <c r="B74" s="32" t="s">
        <v>84</v>
      </c>
      <c r="C74" s="36"/>
      <c r="D74" s="36"/>
      <c r="E74" s="36"/>
      <c r="F74" s="36"/>
      <c r="G74" s="36"/>
      <c r="H74" s="36"/>
      <c r="I74" s="10" t="s">
        <v>6</v>
      </c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23"/>
      <c r="AH74" s="23"/>
      <c r="AI74" s="23"/>
    </row>
    <row r="75" ht="30.0" customHeight="1">
      <c r="B75" s="32" t="s">
        <v>137</v>
      </c>
      <c r="C75" s="61"/>
      <c r="D75" s="61"/>
      <c r="E75" s="61"/>
      <c r="F75" s="61"/>
      <c r="G75" s="61"/>
      <c r="H75" s="61"/>
      <c r="I75" s="10"/>
      <c r="J75" s="10" t="s">
        <v>6</v>
      </c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23"/>
      <c r="AH75" s="23"/>
      <c r="AI75" s="23"/>
    </row>
    <row r="76" ht="30.0" customHeight="1">
      <c r="B76" s="32" t="s">
        <v>285</v>
      </c>
      <c r="C76" s="36"/>
      <c r="D76" s="36"/>
      <c r="E76" s="36"/>
      <c r="F76" s="36"/>
      <c r="G76" s="36"/>
      <c r="H76" s="36"/>
      <c r="I76" s="10" t="s">
        <v>6</v>
      </c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23"/>
      <c r="AH76" s="23"/>
      <c r="AI76" s="23"/>
    </row>
    <row r="77" ht="30.0" customHeight="1">
      <c r="B77" s="32" t="s">
        <v>270</v>
      </c>
      <c r="C77" s="36"/>
      <c r="D77" s="36"/>
      <c r="E77" s="36"/>
      <c r="F77" s="36"/>
      <c r="G77" s="36"/>
      <c r="H77" s="36"/>
      <c r="I77" s="10" t="s">
        <v>6</v>
      </c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23"/>
      <c r="AH77" s="23"/>
      <c r="AI77" s="23"/>
    </row>
    <row r="78" ht="30.0" customHeight="1">
      <c r="B78" s="32" t="s">
        <v>269</v>
      </c>
      <c r="C78" s="61"/>
      <c r="D78" s="61"/>
      <c r="E78" s="61"/>
      <c r="F78" s="61"/>
      <c r="G78" s="61"/>
      <c r="H78" s="61"/>
      <c r="I78" s="10" t="s">
        <v>6</v>
      </c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23"/>
      <c r="AH78" s="23"/>
      <c r="AI78" s="23"/>
    </row>
    <row r="79" ht="30.0" customHeight="1">
      <c r="A79" s="44"/>
      <c r="B79" s="45" t="s">
        <v>193</v>
      </c>
      <c r="C79" s="53"/>
      <c r="D79" s="53"/>
      <c r="E79" s="53"/>
      <c r="F79" s="53"/>
      <c r="G79" s="53"/>
      <c r="H79" s="53"/>
      <c r="I79" s="46" t="s">
        <v>6</v>
      </c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47"/>
      <c r="AH79" s="47"/>
      <c r="AI79" s="47"/>
    </row>
    <row r="80" ht="30.0" customHeight="1">
      <c r="B80" s="32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23"/>
      <c r="AH80" s="23"/>
      <c r="AI80" s="23"/>
    </row>
    <row r="81" ht="30.0" customHeight="1">
      <c r="B81" s="32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23"/>
      <c r="AH81" s="23"/>
      <c r="AI81" s="23"/>
    </row>
    <row r="82" ht="30.0" customHeight="1">
      <c r="B82" s="32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23"/>
      <c r="AH82" s="23"/>
      <c r="AI82" s="23"/>
    </row>
    <row r="83" ht="30.0" customHeight="1">
      <c r="B83" s="40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23"/>
      <c r="AH83" s="23"/>
      <c r="AI83" s="23"/>
    </row>
    <row r="84" ht="30.0" customHeight="1">
      <c r="B84" s="40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23"/>
      <c r="AH84" s="23"/>
      <c r="AI84" s="23"/>
    </row>
    <row r="85" ht="30.0" customHeight="1">
      <c r="B85" s="32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23"/>
      <c r="AH85" s="23"/>
      <c r="AI85" s="23"/>
    </row>
    <row r="86" ht="30.0" customHeight="1">
      <c r="B86" s="32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23"/>
      <c r="AH86" s="23"/>
      <c r="AI86" s="23"/>
    </row>
    <row r="87" ht="30.0" customHeight="1">
      <c r="B87" s="32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23"/>
      <c r="AH87" s="23"/>
      <c r="AI87" s="23"/>
    </row>
    <row r="88" ht="30.0" customHeight="1">
      <c r="B88" s="32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23"/>
      <c r="AH88" s="23"/>
      <c r="AI88" s="23"/>
    </row>
    <row r="89" ht="30.0" customHeight="1">
      <c r="B89" s="32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23"/>
      <c r="AH89" s="23"/>
      <c r="AI89" s="23"/>
    </row>
    <row r="90" ht="30.0" customHeight="1">
      <c r="B90" s="32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23"/>
      <c r="AH90" s="23"/>
      <c r="AI90" s="23"/>
    </row>
    <row r="91" ht="30.0" customHeight="1">
      <c r="B91" s="32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23"/>
      <c r="AH91" s="23"/>
      <c r="AI91" s="23"/>
    </row>
    <row r="92" ht="30.0" customHeight="1">
      <c r="B92" s="32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23"/>
      <c r="AH92" s="23"/>
      <c r="AI92" s="23"/>
    </row>
    <row r="93" ht="30.0" customHeight="1">
      <c r="B93" s="32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23"/>
      <c r="AH93" s="23"/>
      <c r="AI93" s="23"/>
    </row>
    <row r="94" ht="30.0" customHeight="1">
      <c r="B94" s="20"/>
      <c r="C94" s="21"/>
      <c r="D94" s="21"/>
      <c r="E94" s="21"/>
      <c r="F94" s="21"/>
      <c r="G94" s="21"/>
      <c r="H94" s="21"/>
      <c r="I94" s="43"/>
      <c r="J94" s="43"/>
      <c r="K94" s="43"/>
      <c r="L94" s="43"/>
      <c r="M94" s="43"/>
      <c r="N94" s="21"/>
      <c r="O94" s="43"/>
      <c r="P94" s="43"/>
      <c r="Q94" s="43"/>
      <c r="R94" s="21"/>
      <c r="S94" s="43"/>
      <c r="T94" s="21"/>
      <c r="U94" s="21"/>
      <c r="V94" s="21"/>
      <c r="W94" s="21"/>
      <c r="X94" s="43"/>
      <c r="Y94" s="21"/>
      <c r="Z94" s="43"/>
      <c r="AA94" s="21"/>
      <c r="AB94" s="21"/>
      <c r="AC94" s="21"/>
      <c r="AD94" s="21"/>
      <c r="AE94" s="33"/>
      <c r="AF94" s="21"/>
      <c r="AG94" s="23"/>
      <c r="AH94" s="23"/>
      <c r="AI94" s="23"/>
    </row>
    <row r="95" ht="30.0" customHeight="1">
      <c r="B95" s="48" t="str">
        <f>Abril!MonthName&amp;" Total"</f>
        <v>Abril Total</v>
      </c>
      <c r="C95" s="25">
        <f>SUBTOTAL(103,Abril!$C$7)</f>
        <v>0</v>
      </c>
      <c r="D95" s="25">
        <f>SUBTOTAL(103,Abril!$D$7)</f>
        <v>0</v>
      </c>
      <c r="E95" s="25">
        <f>SUBTOTAL(103,Abril!$E$7)</f>
        <v>0</v>
      </c>
      <c r="F95" s="25"/>
      <c r="G95" s="25">
        <f>SUBTOTAL(103,Abril!$G$7)</f>
        <v>0</v>
      </c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</row>
    <row r="96" ht="30.0" customHeight="1">
      <c r="AG96" s="5"/>
      <c r="AH96" s="5"/>
      <c r="AI96" s="5"/>
    </row>
    <row r="97" ht="30.0" customHeight="1">
      <c r="B97" s="15" t="s">
        <v>295</v>
      </c>
      <c r="C97" s="27" t="s">
        <v>118</v>
      </c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39">
        <v>2026.0</v>
      </c>
      <c r="AH97" s="15"/>
      <c r="AI97" s="15"/>
    </row>
    <row r="98" ht="30.0" customHeight="1">
      <c r="B98" s="30"/>
      <c r="C98" s="16" t="str">
        <f>TEXT(WEEKDAY(DATE(Abril!CalendarioAño,1,7),1),"ddd")</f>
        <v>mié</v>
      </c>
      <c r="D98" s="16" t="str">
        <f>TEXT(WEEKDAY(DATE(Abril!CalendarioAño,1,8),1),"ddd")</f>
        <v>jue</v>
      </c>
      <c r="E98" s="16" t="str">
        <f>TEXT(WEEKDAY(DATE(Abril!CalendarioAño,1,9),1),"ddd")</f>
        <v>vie</v>
      </c>
      <c r="F98" s="16" t="str">
        <f>TEXT(WEEKDAY(DATE(Abril!CalendarioAño,1,10),1),"ddd")</f>
        <v>sáb</v>
      </c>
      <c r="G98" s="16" t="str">
        <f>TEXT(WEEKDAY(DATE(Abril!CalendarioAño,1,11),1),"ddd")</f>
        <v>dom</v>
      </c>
      <c r="H98" s="16" t="str">
        <f>TEXT(WEEKDAY(DATE(Abril!CalendarioAño,1,12),1),"ddd")</f>
        <v>lun</v>
      </c>
      <c r="I98" s="16" t="str">
        <f>TEXT(WEEKDAY(DATE(Abril!CalendarioAño,1,13),1),"ddd")</f>
        <v>mar</v>
      </c>
      <c r="J98" s="16" t="str">
        <f>TEXT(WEEKDAY(DATE(Abril!CalendarioAño,1,14),1),"ddd")</f>
        <v>mié</v>
      </c>
      <c r="K98" s="16" t="str">
        <f>TEXT(WEEKDAY(DATE(Abril!CalendarioAño,1,15),1),"ddd")</f>
        <v>jue</v>
      </c>
      <c r="L98" s="16" t="str">
        <f>TEXT(WEEKDAY(DATE(Abril!CalendarioAño,1,16),1),"ddd")</f>
        <v>vie</v>
      </c>
      <c r="M98" s="16" t="str">
        <f>TEXT(WEEKDAY(DATE(Abril!CalendarioAño,1,17),1),"ddd")</f>
        <v>sáb</v>
      </c>
      <c r="N98" s="16" t="str">
        <f>TEXT(WEEKDAY(DATE(Abril!CalendarioAño,1,18),1),"ddd")</f>
        <v>dom</v>
      </c>
      <c r="O98" s="16" t="str">
        <f>TEXT(WEEKDAY(DATE(Abril!CalendarioAño,1,19),1),"ddd")</f>
        <v>lun</v>
      </c>
      <c r="P98" s="16" t="str">
        <f>TEXT(WEEKDAY(DATE(Abril!CalendarioAño,1,20),1),"ddd")</f>
        <v>mar</v>
      </c>
      <c r="Q98" s="16" t="str">
        <f>TEXT(WEEKDAY(DATE(Abril!CalendarioAño,1,21),1),"ddd")</f>
        <v>mié</v>
      </c>
      <c r="R98" s="16" t="str">
        <f>TEXT(WEEKDAY(DATE(Abril!CalendarioAño,1,22),1),"ddd")</f>
        <v>jue</v>
      </c>
      <c r="S98" s="16" t="str">
        <f>TEXT(WEEKDAY(DATE(Abril!CalendarioAño,1,23),1),"ddd")</f>
        <v>vie</v>
      </c>
      <c r="T98" s="16" t="str">
        <f>TEXT(WEEKDAY(DATE(Abril!CalendarioAño,1,24),1),"ddd")</f>
        <v>sáb</v>
      </c>
      <c r="U98" s="16" t="str">
        <f>TEXT(WEEKDAY(DATE(Abril!CalendarioAño,1,25),1),"ddd")</f>
        <v>dom</v>
      </c>
      <c r="V98" s="16" t="str">
        <f>TEXT(WEEKDAY(DATE(Abril!CalendarioAño,1,26),1),"ddd")</f>
        <v>lun</v>
      </c>
      <c r="W98" s="16" t="str">
        <f>TEXT(WEEKDAY(DATE(Abril!CalendarioAño,1,27),1),"ddd")</f>
        <v>mar</v>
      </c>
      <c r="X98" s="16" t="str">
        <f>TEXT(WEEKDAY(DATE(Abril!CalendarioAño,1,28),1),"ddd")</f>
        <v>mié</v>
      </c>
      <c r="Y98" s="16" t="str">
        <f>TEXT(WEEKDAY(DATE(Abril!CalendarioAño,1,29),1),"ddd")</f>
        <v>jue</v>
      </c>
      <c r="Z98" s="16" t="str">
        <f>TEXT(WEEKDAY(DATE(Abril!CalendarioAño,1,30),1),"ddd")</f>
        <v>vie</v>
      </c>
      <c r="AA98" s="16" t="str">
        <f>TEXT(WEEKDAY(DATE(Abril!CalendarioAño,1,31),1),"ddd")</f>
        <v>sáb</v>
      </c>
      <c r="AB98" s="16" t="str">
        <f>TEXT(WEEKDAY(DATE(Abril!CalendarioAño,1,25),1),"ddd")</f>
        <v>dom</v>
      </c>
      <c r="AC98" s="16" t="str">
        <f>TEXT(WEEKDAY(DATE(Abril!CalendarioAño,1,26),1),"ddd")</f>
        <v>lun</v>
      </c>
      <c r="AD98" s="16" t="str">
        <f>TEXT(WEEKDAY(DATE(Abril!CalendarioAño,1,27),1),"ddd")</f>
        <v>mar</v>
      </c>
      <c r="AE98" s="16" t="str">
        <f>TEXT(WEEKDAY(DATE(Abril!CalendarioAño,1,28),1),"ddd")</f>
        <v>mié</v>
      </c>
      <c r="AF98" s="16" t="str">
        <f>TEXT(WEEKDAY(DATE(Abril!CalendarioAño,1,29),1),"ddd")</f>
        <v>jue</v>
      </c>
      <c r="AG98" s="30"/>
      <c r="AH98" s="14"/>
      <c r="AI98" s="14"/>
    </row>
    <row r="99" ht="30.0" customHeight="1">
      <c r="A99" s="17"/>
      <c r="B99" s="31" t="s">
        <v>14</v>
      </c>
      <c r="C99" s="19" t="s">
        <v>15</v>
      </c>
      <c r="D99" s="19" t="s">
        <v>16</v>
      </c>
      <c r="E99" s="19" t="s">
        <v>17</v>
      </c>
      <c r="F99" s="19" t="s">
        <v>18</v>
      </c>
      <c r="G99" s="19" t="s">
        <v>19</v>
      </c>
      <c r="H99" s="19" t="s">
        <v>20</v>
      </c>
      <c r="I99" s="19" t="s">
        <v>21</v>
      </c>
      <c r="J99" s="19" t="s">
        <v>22</v>
      </c>
      <c r="K99" s="19" t="s">
        <v>23</v>
      </c>
      <c r="L99" s="19" t="s">
        <v>24</v>
      </c>
      <c r="M99" s="19" t="s">
        <v>25</v>
      </c>
      <c r="N99" s="19" t="s">
        <v>26</v>
      </c>
      <c r="O99" s="19" t="s">
        <v>27</v>
      </c>
      <c r="P99" s="19" t="s">
        <v>28</v>
      </c>
      <c r="Q99" s="19" t="s">
        <v>29</v>
      </c>
      <c r="R99" s="19" t="s">
        <v>30</v>
      </c>
      <c r="S99" s="19" t="s">
        <v>31</v>
      </c>
      <c r="T99" s="19" t="s">
        <v>32</v>
      </c>
      <c r="U99" s="19" t="s">
        <v>33</v>
      </c>
      <c r="V99" s="19" t="s">
        <v>34</v>
      </c>
      <c r="W99" s="19" t="s">
        <v>35</v>
      </c>
      <c r="X99" s="19" t="s">
        <v>36</v>
      </c>
      <c r="Y99" s="19" t="s">
        <v>37</v>
      </c>
      <c r="Z99" s="19" t="s">
        <v>38</v>
      </c>
      <c r="AA99" s="19" t="s">
        <v>39</v>
      </c>
      <c r="AB99" s="19" t="s">
        <v>40</v>
      </c>
      <c r="AC99" s="19" t="s">
        <v>41</v>
      </c>
      <c r="AD99" s="19" t="s">
        <v>42</v>
      </c>
      <c r="AE99" s="19" t="s">
        <v>43</v>
      </c>
      <c r="AF99" s="19" t="s">
        <v>44</v>
      </c>
      <c r="AG99" s="19" t="s">
        <v>46</v>
      </c>
      <c r="AH99" s="19"/>
      <c r="AI99" s="19"/>
    </row>
    <row r="100" ht="30.0" customHeight="1">
      <c r="B100" s="32" t="s">
        <v>200</v>
      </c>
      <c r="C100" s="36"/>
      <c r="D100" s="36"/>
      <c r="E100" s="36"/>
      <c r="F100" s="36"/>
      <c r="G100" s="36"/>
      <c r="H100" s="10" t="s">
        <v>6</v>
      </c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23"/>
      <c r="AH100" s="23"/>
      <c r="AI100" s="23"/>
    </row>
    <row r="101" ht="30.0" customHeight="1">
      <c r="B101" s="32" t="s">
        <v>120</v>
      </c>
      <c r="C101" s="61"/>
      <c r="D101" s="61"/>
      <c r="E101" s="61"/>
      <c r="F101" s="61"/>
      <c r="G101" s="61"/>
      <c r="H101" s="10" t="s">
        <v>6</v>
      </c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23"/>
      <c r="AH101" s="23"/>
      <c r="AI101" s="23"/>
    </row>
    <row r="102" ht="30.0" customHeight="1">
      <c r="B102" s="32" t="s">
        <v>139</v>
      </c>
      <c r="C102" s="36"/>
      <c r="D102" s="36"/>
      <c r="E102" s="36"/>
      <c r="F102" s="36"/>
      <c r="G102" s="36"/>
      <c r="H102" s="10" t="s">
        <v>6</v>
      </c>
      <c r="I102" s="36"/>
      <c r="J102" s="10" t="s">
        <v>6</v>
      </c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23"/>
      <c r="AH102" s="23"/>
      <c r="AI102" s="23"/>
    </row>
    <row r="103" ht="30.0" customHeight="1">
      <c r="B103" s="32" t="s">
        <v>135</v>
      </c>
      <c r="C103" s="61"/>
      <c r="D103" s="61"/>
      <c r="E103" s="61"/>
      <c r="F103" s="61"/>
      <c r="G103" s="61"/>
      <c r="H103" s="61"/>
      <c r="I103" s="10" t="s">
        <v>6</v>
      </c>
      <c r="J103" s="61"/>
      <c r="K103" s="10" t="s">
        <v>6</v>
      </c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23"/>
      <c r="AH103" s="23"/>
      <c r="AI103" s="23"/>
    </row>
    <row r="104" ht="30.0" customHeight="1">
      <c r="B104" s="32" t="s">
        <v>124</v>
      </c>
      <c r="C104" s="36"/>
      <c r="D104" s="36"/>
      <c r="E104" s="36"/>
      <c r="F104" s="36"/>
      <c r="G104" s="36"/>
      <c r="H104" s="36"/>
      <c r="I104" s="10" t="s">
        <v>6</v>
      </c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23"/>
      <c r="AH104" s="23"/>
      <c r="AI104" s="23"/>
    </row>
    <row r="105" ht="30.0" customHeight="1">
      <c r="B105" s="32" t="s">
        <v>127</v>
      </c>
      <c r="C105" s="36"/>
      <c r="D105" s="36"/>
      <c r="E105" s="36"/>
      <c r="F105" s="36"/>
      <c r="G105" s="36"/>
      <c r="H105" s="36"/>
      <c r="I105" s="10" t="s">
        <v>6</v>
      </c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23"/>
      <c r="AH105" s="23"/>
      <c r="AI105" s="23"/>
    </row>
    <row r="106" ht="30.0" customHeight="1">
      <c r="B106" s="32" t="s">
        <v>122</v>
      </c>
      <c r="C106" s="61"/>
      <c r="D106" s="61"/>
      <c r="E106" s="61"/>
      <c r="F106" s="61"/>
      <c r="G106" s="61"/>
      <c r="H106" s="61"/>
      <c r="I106" s="10" t="s">
        <v>6</v>
      </c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23"/>
      <c r="AH106" s="23"/>
      <c r="AI106" s="23"/>
    </row>
    <row r="107" ht="30.0" customHeight="1">
      <c r="B107" s="32" t="s">
        <v>203</v>
      </c>
      <c r="C107" s="36"/>
      <c r="D107" s="36"/>
      <c r="E107" s="36"/>
      <c r="F107" s="36"/>
      <c r="G107" s="36"/>
      <c r="H107" s="36"/>
      <c r="I107" s="10" t="s">
        <v>6</v>
      </c>
      <c r="J107" s="36"/>
      <c r="K107" s="10" t="s">
        <v>6</v>
      </c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23"/>
      <c r="AH107" s="23"/>
      <c r="AI107" s="23"/>
    </row>
    <row r="108" ht="30.0" customHeight="1">
      <c r="B108" s="32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23"/>
      <c r="AH108" s="23"/>
      <c r="AI108" s="23"/>
    </row>
    <row r="109" ht="30.0" customHeight="1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23"/>
      <c r="AH109" s="23"/>
      <c r="AI109" s="23"/>
    </row>
    <row r="110" ht="30.0" customHeight="1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23"/>
      <c r="AH110" s="23"/>
      <c r="AI110" s="23"/>
    </row>
    <row r="111" ht="30.0" customHeight="1">
      <c r="A111" s="50"/>
      <c r="B111" s="5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23"/>
      <c r="AH111" s="23"/>
      <c r="AI111" s="23"/>
    </row>
    <row r="112" ht="30.0" customHeight="1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23"/>
      <c r="AH112" s="23"/>
      <c r="AI112" s="23"/>
    </row>
    <row r="113" ht="30.0" customHeight="1">
      <c r="A113" s="50"/>
      <c r="B113" s="5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23"/>
      <c r="AH113" s="23"/>
      <c r="AI113" s="23"/>
    </row>
    <row r="114" ht="30.0" customHeight="1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23"/>
      <c r="AH114" s="23"/>
      <c r="AI114" s="23"/>
    </row>
    <row r="115" ht="30.0" customHeight="1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23"/>
      <c r="AH115" s="23"/>
      <c r="AI115" s="23"/>
    </row>
    <row r="116" ht="30.0" customHeight="1">
      <c r="A116" s="50"/>
      <c r="B116" s="5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23"/>
      <c r="AH116" s="23"/>
      <c r="AI116" s="23"/>
    </row>
    <row r="117" ht="30.0" customHeight="1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23"/>
      <c r="AH117" s="23"/>
      <c r="AI117" s="23"/>
    </row>
    <row r="118" ht="30.0" customHeight="1">
      <c r="A118" s="50"/>
      <c r="B118" s="5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23"/>
      <c r="AH118" s="23"/>
      <c r="AI118" s="23"/>
    </row>
    <row r="119" ht="30.0" customHeight="1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23"/>
      <c r="AH119" s="23"/>
      <c r="AI119" s="23"/>
    </row>
    <row r="120" ht="30.0" customHeight="1">
      <c r="A120" s="50"/>
      <c r="B120" s="71"/>
      <c r="C120" s="36"/>
      <c r="D120" s="36"/>
      <c r="E120" s="36"/>
      <c r="F120" s="36"/>
      <c r="G120" s="36"/>
      <c r="H120" s="36"/>
      <c r="I120" s="36"/>
      <c r="J120" s="36"/>
      <c r="K120" s="52"/>
      <c r="L120" s="43"/>
      <c r="M120" s="43"/>
      <c r="N120" s="36"/>
      <c r="O120" s="43"/>
      <c r="P120" s="43"/>
      <c r="Q120" s="36"/>
      <c r="R120" s="36"/>
      <c r="S120" s="36"/>
      <c r="T120" s="43"/>
      <c r="U120" s="36"/>
      <c r="V120" s="36"/>
      <c r="W120" s="36"/>
      <c r="X120" s="36"/>
      <c r="Y120" s="36"/>
      <c r="Z120" s="36"/>
      <c r="AA120" s="43"/>
      <c r="AB120" s="36"/>
      <c r="AC120" s="36"/>
      <c r="AD120" s="36"/>
      <c r="AE120" s="36"/>
      <c r="AF120" s="33"/>
      <c r="AG120" s="23"/>
      <c r="AH120" s="23"/>
      <c r="AI120" s="23"/>
    </row>
    <row r="121" ht="30.0" customHeight="1">
      <c r="B121" s="48" t="str">
        <f>Abril!MonthName&amp;" Total"</f>
        <v>Abril Total</v>
      </c>
      <c r="C121" s="25">
        <f>SUBTOTAL(103,Abril!$C$7)</f>
        <v>0</v>
      </c>
      <c r="D121" s="25">
        <f>SUBTOTAL(103,Abril!$D$7)</f>
        <v>0</v>
      </c>
      <c r="E121" s="25">
        <f>SUBTOTAL(103,Abril!$E$7)</f>
        <v>0</v>
      </c>
      <c r="F121" s="25"/>
      <c r="G121" s="25"/>
      <c r="H121" s="25">
        <f>SUBTOTAL(103,Abril!$H$7)</f>
        <v>0</v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</row>
    <row r="122" ht="30.0" customHeight="1">
      <c r="AG122" s="5"/>
      <c r="AH122" s="5"/>
      <c r="AI122" s="5"/>
    </row>
    <row r="123" ht="30.0" customHeight="1">
      <c r="B123" s="15" t="s">
        <v>295</v>
      </c>
      <c r="C123" s="27" t="s">
        <v>140</v>
      </c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39">
        <v>2026.0</v>
      </c>
      <c r="AH123" s="15"/>
      <c r="AI123" s="15"/>
    </row>
    <row r="124" ht="30.0" customHeight="1">
      <c r="B124" s="30"/>
      <c r="C124" s="16" t="str">
        <f>TEXT(WEEKDAY(DATE(Abril!CalendarioAño,1,7),1),"ddd")</f>
        <v>mié</v>
      </c>
      <c r="D124" s="16" t="str">
        <f>TEXT(WEEKDAY(DATE(Abril!CalendarioAño,1,8),1),"ddd")</f>
        <v>jue</v>
      </c>
      <c r="E124" s="16" t="str">
        <f>TEXT(WEEKDAY(DATE(Abril!CalendarioAño,1,9),1),"ddd")</f>
        <v>vie</v>
      </c>
      <c r="F124" s="16" t="str">
        <f>TEXT(WEEKDAY(DATE(Abril!CalendarioAño,1,10),1),"ddd")</f>
        <v>sáb</v>
      </c>
      <c r="G124" s="16" t="str">
        <f>TEXT(WEEKDAY(DATE(Abril!CalendarioAño,1,11),1),"ddd")</f>
        <v>dom</v>
      </c>
      <c r="H124" s="16" t="str">
        <f>TEXT(WEEKDAY(DATE(Abril!CalendarioAño,1,12),1),"ddd")</f>
        <v>lun</v>
      </c>
      <c r="I124" s="16" t="str">
        <f>TEXT(WEEKDAY(DATE(Abril!CalendarioAño,1,13),1),"ddd")</f>
        <v>mar</v>
      </c>
      <c r="J124" s="16" t="str">
        <f>TEXT(WEEKDAY(DATE(Abril!CalendarioAño,1,14),1),"ddd")</f>
        <v>mié</v>
      </c>
      <c r="K124" s="16" t="str">
        <f>TEXT(WEEKDAY(DATE(Abril!CalendarioAño,1,15),1),"ddd")</f>
        <v>jue</v>
      </c>
      <c r="L124" s="16" t="str">
        <f>TEXT(WEEKDAY(DATE(Abril!CalendarioAño,1,16),1),"ddd")</f>
        <v>vie</v>
      </c>
      <c r="M124" s="16" t="str">
        <f>TEXT(WEEKDAY(DATE(Abril!CalendarioAño,1,17),1),"ddd")</f>
        <v>sáb</v>
      </c>
      <c r="N124" s="16" t="str">
        <f>TEXT(WEEKDAY(DATE(Abril!CalendarioAño,1,18),1),"ddd")</f>
        <v>dom</v>
      </c>
      <c r="O124" s="16" t="str">
        <f>TEXT(WEEKDAY(DATE(Abril!CalendarioAño,1,19),1),"ddd")</f>
        <v>lun</v>
      </c>
      <c r="P124" s="16" t="str">
        <f>TEXT(WEEKDAY(DATE(Abril!CalendarioAño,1,20),1),"ddd")</f>
        <v>mar</v>
      </c>
      <c r="Q124" s="16" t="str">
        <f>TEXT(WEEKDAY(DATE(Abril!CalendarioAño,1,21),1),"ddd")</f>
        <v>mié</v>
      </c>
      <c r="R124" s="16" t="str">
        <f>TEXT(WEEKDAY(DATE(Abril!CalendarioAño,1,22),1),"ddd")</f>
        <v>jue</v>
      </c>
      <c r="S124" s="16" t="str">
        <f>TEXT(WEEKDAY(DATE(Abril!CalendarioAño,1,23),1),"ddd")</f>
        <v>vie</v>
      </c>
      <c r="T124" s="16" t="str">
        <f>TEXT(WEEKDAY(DATE(Abril!CalendarioAño,1,24),1),"ddd")</f>
        <v>sáb</v>
      </c>
      <c r="U124" s="16" t="str">
        <f>TEXT(WEEKDAY(DATE(Abril!CalendarioAño,1,25),1),"ddd")</f>
        <v>dom</v>
      </c>
      <c r="V124" s="16" t="str">
        <f>TEXT(WEEKDAY(DATE(Abril!CalendarioAño,1,26),1),"ddd")</f>
        <v>lun</v>
      </c>
      <c r="W124" s="16" t="str">
        <f>TEXT(WEEKDAY(DATE(Abril!CalendarioAño,1,27),1),"ddd")</f>
        <v>mar</v>
      </c>
      <c r="X124" s="16" t="str">
        <f>TEXT(WEEKDAY(DATE(Abril!CalendarioAño,1,28),1),"ddd")</f>
        <v>mié</v>
      </c>
      <c r="Y124" s="16" t="str">
        <f>TEXT(WEEKDAY(DATE(Abril!CalendarioAño,1,29),1),"ddd")</f>
        <v>jue</v>
      </c>
      <c r="Z124" s="16" t="str">
        <f>TEXT(WEEKDAY(DATE(Abril!CalendarioAño,1,30),1),"ddd")</f>
        <v>vie</v>
      </c>
      <c r="AA124" s="16" t="str">
        <f>TEXT(WEEKDAY(DATE(Abril!CalendarioAño,1,31),1),"ddd")</f>
        <v>sáb</v>
      </c>
      <c r="AB124" s="16" t="str">
        <f>TEXT(WEEKDAY(DATE(Abril!CalendarioAño,1,25),1),"ddd")</f>
        <v>dom</v>
      </c>
      <c r="AC124" s="16" t="str">
        <f>TEXT(WEEKDAY(DATE(Abril!CalendarioAño,1,26),1),"ddd")</f>
        <v>lun</v>
      </c>
      <c r="AD124" s="16" t="str">
        <f>TEXT(WEEKDAY(DATE(Abril!CalendarioAño,1,27),1),"ddd")</f>
        <v>mar</v>
      </c>
      <c r="AE124" s="16" t="str">
        <f>TEXT(WEEKDAY(DATE(Abril!CalendarioAño,1,28),1),"ddd")</f>
        <v>mié</v>
      </c>
      <c r="AF124" s="16" t="str">
        <f>TEXT(WEEKDAY(DATE(Abril!CalendarioAño,1,29),1),"ddd")</f>
        <v>jue</v>
      </c>
      <c r="AG124" s="30"/>
      <c r="AH124" s="14"/>
      <c r="AI124" s="14"/>
    </row>
    <row r="125" ht="30.0" customHeight="1">
      <c r="A125" s="17"/>
      <c r="B125" s="31" t="s">
        <v>14</v>
      </c>
      <c r="C125" s="19" t="s">
        <v>15</v>
      </c>
      <c r="D125" s="19" t="s">
        <v>16</v>
      </c>
      <c r="E125" s="19" t="s">
        <v>17</v>
      </c>
      <c r="F125" s="19" t="s">
        <v>18</v>
      </c>
      <c r="G125" s="19" t="s">
        <v>19</v>
      </c>
      <c r="H125" s="19" t="s">
        <v>20</v>
      </c>
      <c r="I125" s="19" t="s">
        <v>21</v>
      </c>
      <c r="J125" s="19" t="s">
        <v>22</v>
      </c>
      <c r="K125" s="19" t="s">
        <v>23</v>
      </c>
      <c r="L125" s="19" t="s">
        <v>24</v>
      </c>
      <c r="M125" s="19" t="s">
        <v>25</v>
      </c>
      <c r="N125" s="19" t="s">
        <v>26</v>
      </c>
      <c r="O125" s="19" t="s">
        <v>27</v>
      </c>
      <c r="P125" s="19" t="s">
        <v>28</v>
      </c>
      <c r="Q125" s="19" t="s">
        <v>29</v>
      </c>
      <c r="R125" s="19" t="s">
        <v>30</v>
      </c>
      <c r="S125" s="19" t="s">
        <v>31</v>
      </c>
      <c r="T125" s="19" t="s">
        <v>32</v>
      </c>
      <c r="U125" s="19" t="s">
        <v>33</v>
      </c>
      <c r="V125" s="19" t="s">
        <v>34</v>
      </c>
      <c r="W125" s="19" t="s">
        <v>35</v>
      </c>
      <c r="X125" s="19" t="s">
        <v>36</v>
      </c>
      <c r="Y125" s="19" t="s">
        <v>37</v>
      </c>
      <c r="Z125" s="19" t="s">
        <v>38</v>
      </c>
      <c r="AA125" s="19" t="s">
        <v>39</v>
      </c>
      <c r="AB125" s="19" t="s">
        <v>40</v>
      </c>
      <c r="AC125" s="19" t="s">
        <v>41</v>
      </c>
      <c r="AD125" s="19" t="s">
        <v>42</v>
      </c>
      <c r="AE125" s="19" t="s">
        <v>43</v>
      </c>
      <c r="AF125" s="19" t="s">
        <v>44</v>
      </c>
      <c r="AG125" s="19" t="s">
        <v>46</v>
      </c>
      <c r="AH125" s="19"/>
      <c r="AI125" s="19"/>
    </row>
    <row r="126" ht="30.0" customHeight="1">
      <c r="B126" s="40" t="s">
        <v>242</v>
      </c>
      <c r="C126" s="36"/>
      <c r="D126" s="36"/>
      <c r="E126" s="36"/>
      <c r="F126" s="36"/>
      <c r="G126" s="36"/>
      <c r="H126" s="10" t="s">
        <v>6</v>
      </c>
      <c r="I126" s="10" t="s">
        <v>6</v>
      </c>
      <c r="J126" s="36"/>
      <c r="K126" s="10" t="s">
        <v>6</v>
      </c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23"/>
      <c r="AH126" s="23"/>
      <c r="AI126" s="23"/>
    </row>
    <row r="127" ht="30.0" customHeight="1">
      <c r="B127" s="32" t="s">
        <v>141</v>
      </c>
      <c r="C127" s="61"/>
      <c r="D127" s="61"/>
      <c r="E127" s="61"/>
      <c r="F127" s="61"/>
      <c r="G127" s="61"/>
      <c r="H127" s="10" t="s">
        <v>6</v>
      </c>
      <c r="I127" s="61"/>
      <c r="J127" s="10" t="s">
        <v>6</v>
      </c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23"/>
      <c r="AH127" s="23"/>
      <c r="AI127" s="23"/>
    </row>
    <row r="128" ht="30.0" customHeight="1">
      <c r="B128" s="32" t="s">
        <v>149</v>
      </c>
      <c r="C128" s="36"/>
      <c r="D128" s="36"/>
      <c r="E128" s="36"/>
      <c r="F128" s="36"/>
      <c r="G128" s="36"/>
      <c r="H128" s="10" t="s">
        <v>6</v>
      </c>
      <c r="I128" s="36"/>
      <c r="J128" s="10" t="s">
        <v>6</v>
      </c>
      <c r="K128" s="10" t="s">
        <v>6</v>
      </c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23"/>
      <c r="AH128" s="23"/>
      <c r="AI128" s="23"/>
    </row>
    <row r="129" ht="30.0" customHeight="1">
      <c r="B129" s="32" t="s">
        <v>205</v>
      </c>
      <c r="C129" s="61"/>
      <c r="D129" s="61"/>
      <c r="E129" s="61"/>
      <c r="F129" s="61"/>
      <c r="G129" s="61"/>
      <c r="H129" s="10" t="s">
        <v>6</v>
      </c>
      <c r="I129" s="61"/>
      <c r="J129" s="10" t="s">
        <v>6</v>
      </c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23"/>
      <c r="AH129" s="23"/>
      <c r="AI129" s="23"/>
    </row>
    <row r="130" ht="30.0" customHeight="1">
      <c r="B130" s="32" t="s">
        <v>152</v>
      </c>
      <c r="C130" s="36"/>
      <c r="D130" s="36"/>
      <c r="E130" s="36"/>
      <c r="F130" s="36"/>
      <c r="G130" s="36"/>
      <c r="H130" s="36"/>
      <c r="I130" s="10" t="s">
        <v>6</v>
      </c>
      <c r="J130" s="10" t="s">
        <v>6</v>
      </c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23"/>
      <c r="AH130" s="23"/>
      <c r="AI130" s="23"/>
    </row>
    <row r="131" ht="30.0" customHeight="1">
      <c r="B131" s="40" t="s">
        <v>143</v>
      </c>
      <c r="C131" s="36"/>
      <c r="D131" s="36"/>
      <c r="E131" s="36"/>
      <c r="F131" s="36"/>
      <c r="G131" s="36"/>
      <c r="H131" s="36"/>
      <c r="I131" s="10" t="s">
        <v>6</v>
      </c>
      <c r="J131" s="122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23"/>
      <c r="AH131" s="23"/>
      <c r="AI131" s="23"/>
    </row>
    <row r="132" ht="30.0" customHeight="1">
      <c r="B132" s="32" t="s">
        <v>127</v>
      </c>
      <c r="C132" s="61"/>
      <c r="D132" s="61"/>
      <c r="E132" s="61"/>
      <c r="F132" s="61"/>
      <c r="G132" s="61"/>
      <c r="H132" s="61"/>
      <c r="I132" s="61"/>
      <c r="J132" s="10" t="s">
        <v>6</v>
      </c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23"/>
      <c r="AH132" s="23"/>
      <c r="AI132" s="23"/>
    </row>
    <row r="133" ht="30.0" customHeight="1">
      <c r="B133" s="32" t="s">
        <v>244</v>
      </c>
      <c r="C133" s="36"/>
      <c r="D133" s="36"/>
      <c r="E133" s="36"/>
      <c r="F133" s="36"/>
      <c r="G133" s="36"/>
      <c r="H133" s="36"/>
      <c r="I133" s="36"/>
      <c r="J133" s="10" t="s">
        <v>6</v>
      </c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23"/>
      <c r="AH133" s="23"/>
      <c r="AI133" s="23"/>
    </row>
    <row r="134" ht="30.0" customHeight="1">
      <c r="B134" s="32" t="s">
        <v>142</v>
      </c>
      <c r="C134" s="61"/>
      <c r="D134" s="61"/>
      <c r="E134" s="61"/>
      <c r="F134" s="61"/>
      <c r="G134" s="61"/>
      <c r="H134" s="61"/>
      <c r="I134" s="61"/>
      <c r="J134" s="10" t="s">
        <v>6</v>
      </c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23"/>
      <c r="AH134" s="23"/>
      <c r="AI134" s="23"/>
    </row>
    <row r="135" ht="30.0" customHeight="1">
      <c r="B135" s="32" t="s">
        <v>245</v>
      </c>
      <c r="C135" s="36"/>
      <c r="D135" s="36"/>
      <c r="E135" s="36"/>
      <c r="F135" s="36"/>
      <c r="G135" s="36"/>
      <c r="H135" s="36"/>
      <c r="I135" s="36"/>
      <c r="J135" s="10" t="s">
        <v>6</v>
      </c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23"/>
      <c r="AH135" s="23"/>
      <c r="AI135" s="23"/>
    </row>
    <row r="136" ht="30.0" customHeight="1">
      <c r="B136" s="32" t="s">
        <v>134</v>
      </c>
      <c r="C136" s="36"/>
      <c r="D136" s="36"/>
      <c r="E136" s="36"/>
      <c r="F136" s="36"/>
      <c r="G136" s="36"/>
      <c r="H136" s="36"/>
      <c r="I136" s="36"/>
      <c r="J136" s="36"/>
      <c r="K136" s="10" t="s">
        <v>6</v>
      </c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23"/>
      <c r="AH136" s="23"/>
      <c r="AI136" s="23"/>
    </row>
    <row r="137" ht="30.0" customHeight="1">
      <c r="B137" s="32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23"/>
      <c r="AH137" s="23"/>
      <c r="AI137" s="23"/>
    </row>
    <row r="138" ht="30.0" customHeight="1">
      <c r="B138" s="32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23"/>
      <c r="AH138" s="23"/>
      <c r="AI138" s="23"/>
    </row>
    <row r="139" ht="30.0" customHeight="1">
      <c r="B139" s="32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23"/>
      <c r="AH139" s="23"/>
      <c r="AI139" s="23"/>
    </row>
    <row r="140" ht="30.0" customHeight="1">
      <c r="B140" s="32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23"/>
      <c r="AH140" s="23"/>
      <c r="AI140" s="23"/>
    </row>
    <row r="141" ht="30.0" customHeight="1">
      <c r="B141" s="32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23"/>
      <c r="AH141" s="23"/>
      <c r="AI141" s="23"/>
    </row>
    <row r="142" ht="30.0" customHeight="1">
      <c r="B142" s="32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25"/>
      <c r="AH142" s="25"/>
      <c r="AI142" s="25"/>
    </row>
    <row r="143" ht="30.0" customHeight="1">
      <c r="B143" s="32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25"/>
      <c r="AH143" s="25"/>
      <c r="AI143" s="25"/>
    </row>
    <row r="144" ht="30.0" customHeight="1">
      <c r="B144" s="32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25"/>
      <c r="AH144" s="25"/>
      <c r="AI144" s="25"/>
    </row>
    <row r="145" ht="30.0" customHeight="1">
      <c r="B145" s="48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25"/>
      <c r="AH145" s="25"/>
      <c r="AI145" s="25"/>
    </row>
    <row r="146" ht="30.0" customHeight="1">
      <c r="B146" s="48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</row>
    <row r="147" ht="30.0" customHeight="1">
      <c r="B147" s="48" t="str">
        <f>Abril!MonthName&amp;" Total"</f>
        <v>Abril Total</v>
      </c>
      <c r="C147" s="25">
        <f>SUBTOTAL(103,Abril!$C$7)</f>
        <v>0</v>
      </c>
      <c r="D147" s="25">
        <f>SUBTOTAL(103,Abril!$D$7)</f>
        <v>0</v>
      </c>
      <c r="E147" s="25">
        <f>SUBTOTAL(103,Abril!$E$7)</f>
        <v>0</v>
      </c>
      <c r="F147" s="25"/>
      <c r="G147" s="25"/>
      <c r="H147" s="25">
        <f>SUBTOTAL(103,Abril!$H$7)</f>
        <v>0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>
        <f>SUBTOTAL(103,Abril!$AE$7)</f>
        <v>0</v>
      </c>
      <c r="AF147" s="25">
        <f>SUBTOTAL(103,Abril!$AF$7)</f>
        <v>0</v>
      </c>
      <c r="AG147" s="25">
        <f>SUM(C147:AF147)</f>
        <v>0</v>
      </c>
      <c r="AH147" s="25"/>
      <c r="AI147" s="25"/>
    </row>
    <row r="148" ht="30.0" customHeight="1">
      <c r="AG148" s="5"/>
      <c r="AH148" s="5"/>
      <c r="AI148" s="5"/>
    </row>
    <row r="149" ht="30.0" customHeight="1">
      <c r="B149" s="15" t="s">
        <v>295</v>
      </c>
      <c r="C149" s="27" t="s">
        <v>160</v>
      </c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39">
        <v>2026.0</v>
      </c>
      <c r="AH149" s="15"/>
      <c r="AI149" s="15"/>
    </row>
    <row r="150" ht="30.0" customHeight="1">
      <c r="B150" s="30"/>
      <c r="C150" s="16" t="str">
        <f>TEXT(WEEKDAY(DATE(Abril!CalendarioAño,1,7),1),"ddd")</f>
        <v>mié</v>
      </c>
      <c r="D150" s="16" t="str">
        <f>TEXT(WEEKDAY(DATE(Abril!CalendarioAño,1,8),1),"ddd")</f>
        <v>jue</v>
      </c>
      <c r="E150" s="16" t="str">
        <f>TEXT(WEEKDAY(DATE(Abril!CalendarioAño,1,9),1),"ddd")</f>
        <v>vie</v>
      </c>
      <c r="F150" s="16" t="str">
        <f>TEXT(WEEKDAY(DATE(Abril!CalendarioAño,1,10),1),"ddd")</f>
        <v>sáb</v>
      </c>
      <c r="G150" s="16" t="str">
        <f>TEXT(WEEKDAY(DATE(Abril!CalendarioAño,1,11),1),"ddd")</f>
        <v>dom</v>
      </c>
      <c r="H150" s="16" t="str">
        <f>TEXT(WEEKDAY(DATE(Abril!CalendarioAño,1,12),1),"ddd")</f>
        <v>lun</v>
      </c>
      <c r="I150" s="16" t="str">
        <f>TEXT(WEEKDAY(DATE(Abril!CalendarioAño,1,13),1),"ddd")</f>
        <v>mar</v>
      </c>
      <c r="J150" s="16" t="str">
        <f>TEXT(WEEKDAY(DATE(Abril!CalendarioAño,1,14),1),"ddd")</f>
        <v>mié</v>
      </c>
      <c r="K150" s="16" t="str">
        <f>TEXT(WEEKDAY(DATE(Abril!CalendarioAño,1,15),1),"ddd")</f>
        <v>jue</v>
      </c>
      <c r="L150" s="16" t="str">
        <f>TEXT(WEEKDAY(DATE(Abril!CalendarioAño,1,16),1),"ddd")</f>
        <v>vie</v>
      </c>
      <c r="M150" s="16" t="str">
        <f>TEXT(WEEKDAY(DATE(Abril!CalendarioAño,1,17),1),"ddd")</f>
        <v>sáb</v>
      </c>
      <c r="N150" s="16" t="str">
        <f>TEXT(WEEKDAY(DATE(Abril!CalendarioAño,1,18),1),"ddd")</f>
        <v>dom</v>
      </c>
      <c r="O150" s="16" t="str">
        <f>TEXT(WEEKDAY(DATE(Abril!CalendarioAño,1,19),1),"ddd")</f>
        <v>lun</v>
      </c>
      <c r="P150" s="16" t="str">
        <f>TEXT(WEEKDAY(DATE(Abril!CalendarioAño,1,20),1),"ddd")</f>
        <v>mar</v>
      </c>
      <c r="Q150" s="16" t="str">
        <f>TEXT(WEEKDAY(DATE(Abril!CalendarioAño,1,21),1),"ddd")</f>
        <v>mié</v>
      </c>
      <c r="R150" s="16" t="str">
        <f>TEXT(WEEKDAY(DATE(Abril!CalendarioAño,1,22),1),"ddd")</f>
        <v>jue</v>
      </c>
      <c r="S150" s="16" t="str">
        <f>TEXT(WEEKDAY(DATE(Abril!CalendarioAño,1,23),1),"ddd")</f>
        <v>vie</v>
      </c>
      <c r="T150" s="16" t="str">
        <f>TEXT(WEEKDAY(DATE(Abril!CalendarioAño,1,24),1),"ddd")</f>
        <v>sáb</v>
      </c>
      <c r="U150" s="16" t="str">
        <f>TEXT(WEEKDAY(DATE(Abril!CalendarioAño,1,25),1),"ddd")</f>
        <v>dom</v>
      </c>
      <c r="V150" s="16" t="str">
        <f>TEXT(WEEKDAY(DATE(Abril!CalendarioAño,1,26),1),"ddd")</f>
        <v>lun</v>
      </c>
      <c r="W150" s="16" t="str">
        <f>TEXT(WEEKDAY(DATE(Abril!CalendarioAño,1,27),1),"ddd")</f>
        <v>mar</v>
      </c>
      <c r="X150" s="16" t="str">
        <f>TEXT(WEEKDAY(DATE(Abril!CalendarioAño,1,28),1),"ddd")</f>
        <v>mié</v>
      </c>
      <c r="Y150" s="16" t="str">
        <f>TEXT(WEEKDAY(DATE(Abril!CalendarioAño,1,29),1),"ddd")</f>
        <v>jue</v>
      </c>
      <c r="Z150" s="16" t="str">
        <f>TEXT(WEEKDAY(DATE(Abril!CalendarioAño,1,30),1),"ddd")</f>
        <v>vie</v>
      </c>
      <c r="AA150" s="16" t="str">
        <f>TEXT(WEEKDAY(DATE(Abril!CalendarioAño,1,31),1),"ddd")</f>
        <v>sáb</v>
      </c>
      <c r="AB150" s="16" t="str">
        <f>TEXT(WEEKDAY(DATE(Abril!CalendarioAño,1,25),1),"ddd")</f>
        <v>dom</v>
      </c>
      <c r="AC150" s="16" t="str">
        <f>TEXT(WEEKDAY(DATE(Abril!CalendarioAño,1,26),1),"ddd")</f>
        <v>lun</v>
      </c>
      <c r="AD150" s="16" t="str">
        <f>TEXT(WEEKDAY(DATE(Abril!CalendarioAño,1,27),1),"ddd")</f>
        <v>mar</v>
      </c>
      <c r="AE150" s="16" t="str">
        <f>TEXT(WEEKDAY(DATE(Abril!CalendarioAño,1,28),1),"ddd")</f>
        <v>mié</v>
      </c>
      <c r="AF150" s="16" t="str">
        <f>TEXT(WEEKDAY(DATE(Abril!CalendarioAño,1,29),1),"ddd")</f>
        <v>jue</v>
      </c>
      <c r="AG150" s="30"/>
      <c r="AH150" s="14"/>
      <c r="AI150" s="14"/>
    </row>
    <row r="151" ht="30.0" customHeight="1">
      <c r="A151" s="17"/>
      <c r="B151" s="31" t="s">
        <v>14</v>
      </c>
      <c r="C151" s="19" t="s">
        <v>15</v>
      </c>
      <c r="D151" s="19" t="s">
        <v>16</v>
      </c>
      <c r="E151" s="19" t="s">
        <v>17</v>
      </c>
      <c r="F151" s="19" t="s">
        <v>18</v>
      </c>
      <c r="G151" s="19" t="s">
        <v>19</v>
      </c>
      <c r="H151" s="19" t="s">
        <v>20</v>
      </c>
      <c r="I151" s="19" t="s">
        <v>21</v>
      </c>
      <c r="J151" s="19" t="s">
        <v>22</v>
      </c>
      <c r="K151" s="19" t="s">
        <v>23</v>
      </c>
      <c r="L151" s="19" t="s">
        <v>24</v>
      </c>
      <c r="M151" s="19" t="s">
        <v>25</v>
      </c>
      <c r="N151" s="19" t="s">
        <v>26</v>
      </c>
      <c r="O151" s="19" t="s">
        <v>27</v>
      </c>
      <c r="P151" s="19" t="s">
        <v>28</v>
      </c>
      <c r="Q151" s="19" t="s">
        <v>29</v>
      </c>
      <c r="R151" s="19" t="s">
        <v>30</v>
      </c>
      <c r="S151" s="19" t="s">
        <v>31</v>
      </c>
      <c r="T151" s="19" t="s">
        <v>32</v>
      </c>
      <c r="U151" s="19" t="s">
        <v>33</v>
      </c>
      <c r="V151" s="19" t="s">
        <v>34</v>
      </c>
      <c r="W151" s="19" t="s">
        <v>35</v>
      </c>
      <c r="X151" s="19" t="s">
        <v>36</v>
      </c>
      <c r="Y151" s="19" t="s">
        <v>37</v>
      </c>
      <c r="Z151" s="19" t="s">
        <v>38</v>
      </c>
      <c r="AA151" s="19" t="s">
        <v>39</v>
      </c>
      <c r="AB151" s="19" t="s">
        <v>40</v>
      </c>
      <c r="AC151" s="19" t="s">
        <v>41</v>
      </c>
      <c r="AD151" s="19" t="s">
        <v>42</v>
      </c>
      <c r="AE151" s="19" t="s">
        <v>43</v>
      </c>
      <c r="AF151" s="19" t="s">
        <v>44</v>
      </c>
      <c r="AG151" s="19" t="s">
        <v>46</v>
      </c>
      <c r="AH151" s="19"/>
      <c r="AI151" s="19"/>
    </row>
    <row r="152" ht="30.0" customHeight="1">
      <c r="B152" s="32" t="s">
        <v>168</v>
      </c>
      <c r="C152" s="36"/>
      <c r="D152" s="36"/>
      <c r="E152" s="36"/>
      <c r="F152" s="36"/>
      <c r="G152" s="36"/>
      <c r="H152" s="10" t="s">
        <v>6</v>
      </c>
      <c r="I152" s="36"/>
      <c r="J152" s="10" t="s">
        <v>6</v>
      </c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23"/>
      <c r="AH152" s="23"/>
      <c r="AI152" s="23"/>
    </row>
    <row r="153" ht="30.0" customHeight="1">
      <c r="B153" s="40" t="s">
        <v>170</v>
      </c>
      <c r="C153" s="61"/>
      <c r="D153" s="61"/>
      <c r="E153" s="61"/>
      <c r="F153" s="61"/>
      <c r="G153" s="61"/>
      <c r="H153" s="10" t="s">
        <v>6</v>
      </c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23"/>
      <c r="AH153" s="23"/>
      <c r="AI153" s="23"/>
    </row>
    <row r="154" ht="30.0" customHeight="1">
      <c r="B154" s="40" t="s">
        <v>141</v>
      </c>
      <c r="C154" s="36"/>
      <c r="D154" s="36"/>
      <c r="E154" s="36"/>
      <c r="F154" s="36"/>
      <c r="G154" s="36"/>
      <c r="H154" s="10" t="s">
        <v>6</v>
      </c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23"/>
      <c r="AH154" s="23"/>
      <c r="AI154" s="23"/>
    </row>
    <row r="155" ht="30.0" customHeight="1">
      <c r="B155" s="32" t="s">
        <v>208</v>
      </c>
      <c r="C155" s="61"/>
      <c r="D155" s="61"/>
      <c r="E155" s="61"/>
      <c r="F155" s="61"/>
      <c r="G155" s="61"/>
      <c r="H155" s="10" t="s">
        <v>6</v>
      </c>
      <c r="I155" s="61"/>
      <c r="J155" s="10" t="s">
        <v>6</v>
      </c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23"/>
      <c r="AH155" s="23"/>
      <c r="AI155" s="23"/>
    </row>
    <row r="156" ht="30.0" customHeight="1">
      <c r="B156" s="32" t="s">
        <v>288</v>
      </c>
      <c r="C156" s="36"/>
      <c r="D156" s="36"/>
      <c r="E156" s="36"/>
      <c r="F156" s="36"/>
      <c r="G156" s="36"/>
      <c r="H156" s="10" t="s">
        <v>6</v>
      </c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23"/>
      <c r="AH156" s="23"/>
      <c r="AI156" s="23"/>
    </row>
    <row r="157" ht="30.0" customHeight="1">
      <c r="B157" s="32" t="s">
        <v>207</v>
      </c>
      <c r="C157" s="36"/>
      <c r="D157" s="36"/>
      <c r="E157" s="36"/>
      <c r="F157" s="36"/>
      <c r="G157" s="36"/>
      <c r="H157" s="36"/>
      <c r="I157" s="122"/>
      <c r="J157" s="10" t="s">
        <v>6</v>
      </c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23"/>
      <c r="AH157" s="23"/>
      <c r="AI157" s="23"/>
    </row>
    <row r="158" ht="30.0" customHeight="1">
      <c r="B158" s="32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23"/>
      <c r="AH158" s="23"/>
      <c r="AI158" s="23"/>
    </row>
    <row r="159" ht="30.0" customHeight="1">
      <c r="B159" s="32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23"/>
      <c r="AH159" s="23"/>
      <c r="AI159" s="23"/>
    </row>
    <row r="160" ht="30.0" customHeight="1">
      <c r="B160" s="32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23"/>
      <c r="AH160" s="23"/>
      <c r="AI160" s="23"/>
    </row>
    <row r="161" ht="30.0" customHeight="1">
      <c r="B161" s="32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23"/>
      <c r="AH161" s="23"/>
      <c r="AI161" s="23"/>
    </row>
    <row r="162" ht="30.0" customHeight="1">
      <c r="B162" s="20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33"/>
      <c r="N162" s="21"/>
      <c r="O162" s="21"/>
      <c r="P162" s="21"/>
      <c r="Q162" s="21"/>
      <c r="R162" s="21"/>
      <c r="S162" s="21"/>
      <c r="T162" s="33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3"/>
      <c r="AH162" s="23"/>
      <c r="AI162" s="23"/>
    </row>
    <row r="163" ht="30.0" customHeight="1">
      <c r="B163" s="20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33"/>
      <c r="N163" s="21"/>
      <c r="O163" s="21"/>
      <c r="P163" s="21"/>
      <c r="Q163" s="21"/>
      <c r="R163" s="21"/>
      <c r="S163" s="21"/>
      <c r="T163" s="33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3"/>
      <c r="AH163" s="23"/>
      <c r="AI163" s="23"/>
    </row>
    <row r="164" ht="30.0" customHeight="1">
      <c r="B164" s="48" t="str">
        <f>Abril!MonthName&amp;" Total"</f>
        <v>Abril Total</v>
      </c>
      <c r="C164" s="25">
        <f>SUBTOTAL(103,Abril!$C$7)</f>
        <v>0</v>
      </c>
      <c r="D164" s="25">
        <f>SUBTOTAL(103,Abril!$D$7)</f>
        <v>0</v>
      </c>
      <c r="E164" s="25">
        <f>SUBTOTAL(103,Abril!$E$7)</f>
        <v>0</v>
      </c>
      <c r="F164" s="25"/>
      <c r="G164" s="25"/>
      <c r="H164" s="25">
        <f>SUBTOTAL(103,Abril!$H$7)</f>
        <v>0</v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>
        <f>SUBTOTAL(103,Abril!$Y$7)</f>
        <v>0</v>
      </c>
      <c r="Z164" s="25">
        <f>SUBTOTAL(103,Abril!$Z$7)</f>
        <v>0</v>
      </c>
      <c r="AA164" s="25">
        <f>SUBTOTAL(103,Abril!$AA$7)</f>
        <v>0</v>
      </c>
      <c r="AB164" s="25">
        <f>SUBTOTAL(103,Abril!$AB$7)</f>
        <v>0</v>
      </c>
      <c r="AC164" s="25">
        <f>SUBTOTAL(103,Abril!$AC$7)</f>
        <v>0</v>
      </c>
      <c r="AD164" s="25">
        <f>SUBTOTAL(103,Abril!$AD$7)</f>
        <v>0</v>
      </c>
      <c r="AE164" s="25">
        <f>SUBTOTAL(103,Abril!$AE$7)</f>
        <v>0</v>
      </c>
      <c r="AF164" s="25">
        <f>SUBTOTAL(103,Abril!$AF$7)</f>
        <v>0</v>
      </c>
      <c r="AG164" s="25">
        <f>SUM(C164:AF164)</f>
        <v>0</v>
      </c>
      <c r="AH164" s="25"/>
      <c r="AI164" s="25"/>
    </row>
    <row r="165" ht="30.0" customHeight="1">
      <c r="AG165" s="5"/>
      <c r="AH165" s="5"/>
      <c r="AI165" s="5"/>
    </row>
    <row r="166" ht="30.0" customHeight="1">
      <c r="A166" s="50"/>
      <c r="B166" s="15" t="s">
        <v>295</v>
      </c>
      <c r="C166" s="27" t="s">
        <v>171</v>
      </c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39">
        <v>2026.0</v>
      </c>
      <c r="AH166" s="15"/>
      <c r="AI166" s="15"/>
    </row>
    <row r="167" ht="30.0" customHeight="1">
      <c r="A167" s="50"/>
      <c r="B167" s="56"/>
      <c r="C167" s="16" t="str">
        <f>TEXT(WEEKDAY(DATE(Abril!CalendarioAño,1,7),1),"ddd")</f>
        <v>mié</v>
      </c>
      <c r="D167" s="16" t="str">
        <f>TEXT(WEEKDAY(DATE(Abril!CalendarioAño,1,8),1),"ddd")</f>
        <v>jue</v>
      </c>
      <c r="E167" s="16" t="str">
        <f>TEXT(WEEKDAY(DATE(Abril!CalendarioAño,1,9),1),"ddd")</f>
        <v>vie</v>
      </c>
      <c r="F167" s="16" t="str">
        <f>TEXT(WEEKDAY(DATE(Abril!CalendarioAño,1,10),1),"ddd")</f>
        <v>sáb</v>
      </c>
      <c r="G167" s="16" t="str">
        <f>TEXT(WEEKDAY(DATE(Abril!CalendarioAño,1,11),1),"ddd")</f>
        <v>dom</v>
      </c>
      <c r="H167" s="16" t="str">
        <f>TEXT(WEEKDAY(DATE(Abril!CalendarioAño,1,12),1),"ddd")</f>
        <v>lun</v>
      </c>
      <c r="I167" s="16" t="str">
        <f>TEXT(WEEKDAY(DATE(Abril!CalendarioAño,1,13),1),"ddd")</f>
        <v>mar</v>
      </c>
      <c r="J167" s="16" t="str">
        <f>TEXT(WEEKDAY(DATE(Abril!CalendarioAño,1,14),1),"ddd")</f>
        <v>mié</v>
      </c>
      <c r="K167" s="16" t="str">
        <f>TEXT(WEEKDAY(DATE(Abril!CalendarioAño,1,15),1),"ddd")</f>
        <v>jue</v>
      </c>
      <c r="L167" s="16" t="str">
        <f>TEXT(WEEKDAY(DATE(Abril!CalendarioAño,1,16),1),"ddd")</f>
        <v>vie</v>
      </c>
      <c r="M167" s="16" t="str">
        <f>TEXT(WEEKDAY(DATE(Abril!CalendarioAño,1,17),1),"ddd")</f>
        <v>sáb</v>
      </c>
      <c r="N167" s="16" t="str">
        <f>TEXT(WEEKDAY(DATE(Abril!CalendarioAño,1,18),1),"ddd")</f>
        <v>dom</v>
      </c>
      <c r="O167" s="16" t="str">
        <f>TEXT(WEEKDAY(DATE(Abril!CalendarioAño,1,19),1),"ddd")</f>
        <v>lun</v>
      </c>
      <c r="P167" s="16" t="str">
        <f>TEXT(WEEKDAY(DATE(Abril!CalendarioAño,1,20),1),"ddd")</f>
        <v>mar</v>
      </c>
      <c r="Q167" s="16" t="str">
        <f>TEXT(WEEKDAY(DATE(Abril!CalendarioAño,1,21),1),"ddd")</f>
        <v>mié</v>
      </c>
      <c r="R167" s="16" t="str">
        <f>TEXT(WEEKDAY(DATE(Abril!CalendarioAño,1,22),1),"ddd")</f>
        <v>jue</v>
      </c>
      <c r="S167" s="16" t="str">
        <f>TEXT(WEEKDAY(DATE(Abril!CalendarioAño,1,23),1),"ddd")</f>
        <v>vie</v>
      </c>
      <c r="T167" s="16" t="str">
        <f>TEXT(WEEKDAY(DATE(Abril!CalendarioAño,1,24),1),"ddd")</f>
        <v>sáb</v>
      </c>
      <c r="U167" s="16" t="str">
        <f>TEXT(WEEKDAY(DATE(Abril!CalendarioAño,1,25),1),"ddd")</f>
        <v>dom</v>
      </c>
      <c r="V167" s="16" t="str">
        <f>TEXT(WEEKDAY(DATE(Abril!CalendarioAño,1,26),1),"ddd")</f>
        <v>lun</v>
      </c>
      <c r="W167" s="16" t="str">
        <f>TEXT(WEEKDAY(DATE(Abril!CalendarioAño,1,27),1),"ddd")</f>
        <v>mar</v>
      </c>
      <c r="X167" s="16" t="str">
        <f>TEXT(WEEKDAY(DATE(Abril!CalendarioAño,1,28),1),"ddd")</f>
        <v>mié</v>
      </c>
      <c r="Y167" s="16" t="str">
        <f>TEXT(WEEKDAY(DATE(Abril!CalendarioAño,1,29),1),"ddd")</f>
        <v>jue</v>
      </c>
      <c r="Z167" s="16" t="str">
        <f>TEXT(WEEKDAY(DATE(Abril!CalendarioAño,1,30),1),"ddd")</f>
        <v>vie</v>
      </c>
      <c r="AA167" s="16" t="str">
        <f>TEXT(WEEKDAY(DATE(Abril!CalendarioAño,1,31),1),"ddd")</f>
        <v>sáb</v>
      </c>
      <c r="AB167" s="16" t="str">
        <f>TEXT(WEEKDAY(DATE(Abril!CalendarioAño,1,25),1),"ddd")</f>
        <v>dom</v>
      </c>
      <c r="AC167" s="16" t="str">
        <f>TEXT(WEEKDAY(DATE(Abril!CalendarioAño,1,26),1),"ddd")</f>
        <v>lun</v>
      </c>
      <c r="AD167" s="16" t="str">
        <f>TEXT(WEEKDAY(DATE(Abril!CalendarioAño,1,27),1),"ddd")</f>
        <v>mar</v>
      </c>
      <c r="AE167" s="16" t="str">
        <f>TEXT(WEEKDAY(DATE(Abril!CalendarioAño,1,28),1),"ddd")</f>
        <v>mié</v>
      </c>
      <c r="AF167" s="16" t="str">
        <f>TEXT(WEEKDAY(DATE(Abril!CalendarioAño,1,29),1),"ddd")</f>
        <v>jue</v>
      </c>
      <c r="AG167" s="57"/>
      <c r="AH167" s="119"/>
      <c r="AI167" s="119"/>
    </row>
    <row r="168" ht="30.0" customHeight="1">
      <c r="A168" s="18"/>
      <c r="B168" s="31" t="s">
        <v>14</v>
      </c>
      <c r="C168" s="19" t="s">
        <v>15</v>
      </c>
      <c r="D168" s="19" t="s">
        <v>16</v>
      </c>
      <c r="E168" s="19" t="s">
        <v>17</v>
      </c>
      <c r="F168" s="19" t="s">
        <v>18</v>
      </c>
      <c r="G168" s="19" t="s">
        <v>19</v>
      </c>
      <c r="H168" s="19" t="s">
        <v>20</v>
      </c>
      <c r="I168" s="19" t="s">
        <v>21</v>
      </c>
      <c r="J168" s="19" t="s">
        <v>22</v>
      </c>
      <c r="K168" s="19" t="s">
        <v>23</v>
      </c>
      <c r="L168" s="19" t="s">
        <v>24</v>
      </c>
      <c r="M168" s="19" t="s">
        <v>25</v>
      </c>
      <c r="N168" s="19" t="s">
        <v>26</v>
      </c>
      <c r="O168" s="19" t="s">
        <v>27</v>
      </c>
      <c r="P168" s="19" t="s">
        <v>28</v>
      </c>
      <c r="Q168" s="19" t="s">
        <v>29</v>
      </c>
      <c r="R168" s="19" t="s">
        <v>30</v>
      </c>
      <c r="S168" s="19" t="s">
        <v>31</v>
      </c>
      <c r="T168" s="19" t="s">
        <v>32</v>
      </c>
      <c r="U168" s="19" t="s">
        <v>33</v>
      </c>
      <c r="V168" s="19" t="s">
        <v>34</v>
      </c>
      <c r="W168" s="19" t="s">
        <v>35</v>
      </c>
      <c r="X168" s="19" t="s">
        <v>36</v>
      </c>
      <c r="Y168" s="19" t="s">
        <v>37</v>
      </c>
      <c r="Z168" s="19" t="s">
        <v>38</v>
      </c>
      <c r="AA168" s="19" t="s">
        <v>39</v>
      </c>
      <c r="AB168" s="19" t="s">
        <v>40</v>
      </c>
      <c r="AC168" s="19" t="s">
        <v>41</v>
      </c>
      <c r="AD168" s="19" t="s">
        <v>42</v>
      </c>
      <c r="AE168" s="19" t="s">
        <v>43</v>
      </c>
      <c r="AF168" s="19" t="s">
        <v>44</v>
      </c>
      <c r="AG168" s="19" t="s">
        <v>46</v>
      </c>
      <c r="AH168" s="19"/>
      <c r="AI168" s="19"/>
    </row>
    <row r="169" ht="30.0" customHeight="1">
      <c r="A169" s="50"/>
      <c r="B169" s="58" t="s">
        <v>173</v>
      </c>
      <c r="C169" s="36"/>
      <c r="D169" s="36"/>
      <c r="E169" s="36"/>
      <c r="F169" s="36"/>
      <c r="G169" s="36"/>
      <c r="H169" s="10" t="s">
        <v>6</v>
      </c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59"/>
      <c r="AH169" s="59"/>
      <c r="AI169" s="59"/>
    </row>
    <row r="170" ht="30.0" customHeight="1">
      <c r="A170" s="50"/>
      <c r="B170" s="60" t="s">
        <v>172</v>
      </c>
      <c r="C170" s="61"/>
      <c r="D170" s="61"/>
      <c r="E170" s="61"/>
      <c r="F170" s="61"/>
      <c r="G170" s="61"/>
      <c r="H170" s="10" t="s">
        <v>6</v>
      </c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59"/>
      <c r="AH170" s="59"/>
      <c r="AI170" s="59"/>
    </row>
    <row r="171" ht="30.0" customHeight="1">
      <c r="A171" s="50"/>
      <c r="B171" s="58" t="s">
        <v>175</v>
      </c>
      <c r="C171" s="36"/>
      <c r="D171" s="36"/>
      <c r="E171" s="36"/>
      <c r="F171" s="36"/>
      <c r="G171" s="36"/>
      <c r="H171" s="10" t="s">
        <v>6</v>
      </c>
      <c r="I171" s="36"/>
      <c r="J171" s="10" t="s">
        <v>6</v>
      </c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59"/>
      <c r="AH171" s="59"/>
      <c r="AI171" s="59"/>
    </row>
    <row r="172" ht="30.0" customHeight="1">
      <c r="A172" s="50"/>
      <c r="B172" s="60" t="s">
        <v>290</v>
      </c>
      <c r="C172" s="61"/>
      <c r="D172" s="61"/>
      <c r="E172" s="61"/>
      <c r="F172" s="61"/>
      <c r="G172" s="61"/>
      <c r="H172" s="61"/>
      <c r="I172" s="61"/>
      <c r="J172" s="10" t="s">
        <v>6</v>
      </c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59"/>
      <c r="AH172" s="59"/>
      <c r="AI172" s="59"/>
    </row>
    <row r="173" ht="30.0" customHeight="1">
      <c r="A173" s="50"/>
      <c r="B173" s="60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59"/>
      <c r="AH173" s="59"/>
      <c r="AI173" s="59"/>
    </row>
    <row r="174" ht="30.0" customHeight="1">
      <c r="A174" s="50"/>
      <c r="B174" s="58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59"/>
      <c r="AH174" s="59"/>
      <c r="AI174" s="59"/>
    </row>
    <row r="175" ht="30.0" customHeight="1">
      <c r="A175" s="50"/>
      <c r="B175" s="58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59"/>
      <c r="AH175" s="59"/>
      <c r="AI175" s="59"/>
    </row>
    <row r="176" ht="30.0" customHeight="1">
      <c r="A176" s="50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59"/>
      <c r="AH176" s="59"/>
      <c r="AI176" s="59"/>
    </row>
    <row r="177" ht="30.0" customHeight="1">
      <c r="A177" s="50"/>
      <c r="B177" s="62" t="str">
        <f>Abril!MonthName&amp;" Total"</f>
        <v>Abril Total</v>
      </c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5"/>
      <c r="AH177" s="65"/>
      <c r="AI177" s="65"/>
    </row>
    <row r="178" ht="30.0" customHeight="1">
      <c r="B178" s="123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124"/>
      <c r="AH178" s="124"/>
      <c r="AI178" s="124"/>
    </row>
    <row r="179" ht="30.0" customHeight="1">
      <c r="A179" s="50"/>
      <c r="B179" s="15" t="s">
        <v>295</v>
      </c>
      <c r="C179" s="27" t="s">
        <v>179</v>
      </c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39">
        <v>2026.0</v>
      </c>
      <c r="AH179" s="15"/>
      <c r="AI179" s="15"/>
    </row>
    <row r="180" ht="30.0" customHeight="1">
      <c r="A180" s="50"/>
      <c r="B180" s="56"/>
      <c r="C180" s="16" t="str">
        <f>TEXT(WEEKDAY(DATE(Abril!CalendarioAño,1,7),1),"ddd")</f>
        <v>mié</v>
      </c>
      <c r="D180" s="16" t="str">
        <f>TEXT(WEEKDAY(DATE(Abril!CalendarioAño,1,8),1),"ddd")</f>
        <v>jue</v>
      </c>
      <c r="E180" s="16" t="str">
        <f>TEXT(WEEKDAY(DATE(Abril!CalendarioAño,1,9),1),"ddd")</f>
        <v>vie</v>
      </c>
      <c r="F180" s="16" t="str">
        <f>TEXT(WEEKDAY(DATE(Abril!CalendarioAño,1,10),1),"ddd")</f>
        <v>sáb</v>
      </c>
      <c r="G180" s="16" t="str">
        <f>TEXT(WEEKDAY(DATE(Abril!CalendarioAño,1,11),1),"ddd")</f>
        <v>dom</v>
      </c>
      <c r="H180" s="16" t="str">
        <f>TEXT(WEEKDAY(DATE(Abril!CalendarioAño,1,12),1),"ddd")</f>
        <v>lun</v>
      </c>
      <c r="I180" s="16" t="str">
        <f>TEXT(WEEKDAY(DATE(Abril!CalendarioAño,1,13),1),"ddd")</f>
        <v>mar</v>
      </c>
      <c r="J180" s="16" t="str">
        <f>TEXT(WEEKDAY(DATE(Abril!CalendarioAño,1,14),1),"ddd")</f>
        <v>mié</v>
      </c>
      <c r="K180" s="16" t="str">
        <f>TEXT(WEEKDAY(DATE(Abril!CalendarioAño,1,15),1),"ddd")</f>
        <v>jue</v>
      </c>
      <c r="L180" s="16" t="str">
        <f>TEXT(WEEKDAY(DATE(Abril!CalendarioAño,1,16),1),"ddd")</f>
        <v>vie</v>
      </c>
      <c r="M180" s="16" t="str">
        <f>TEXT(WEEKDAY(DATE(Abril!CalendarioAño,1,17),1),"ddd")</f>
        <v>sáb</v>
      </c>
      <c r="N180" s="16" t="str">
        <f>TEXT(WEEKDAY(DATE(Abril!CalendarioAño,1,18),1),"ddd")</f>
        <v>dom</v>
      </c>
      <c r="O180" s="16" t="str">
        <f>TEXT(WEEKDAY(DATE(Abril!CalendarioAño,1,19),1),"ddd")</f>
        <v>lun</v>
      </c>
      <c r="P180" s="16" t="str">
        <f>TEXT(WEEKDAY(DATE(Abril!CalendarioAño,1,20),1),"ddd")</f>
        <v>mar</v>
      </c>
      <c r="Q180" s="16" t="str">
        <f>TEXT(WEEKDAY(DATE(Abril!CalendarioAño,1,21),1),"ddd")</f>
        <v>mié</v>
      </c>
      <c r="R180" s="16" t="str">
        <f>TEXT(WEEKDAY(DATE(Abril!CalendarioAño,1,22),1),"ddd")</f>
        <v>jue</v>
      </c>
      <c r="S180" s="16" t="str">
        <f>TEXT(WEEKDAY(DATE(Abril!CalendarioAño,1,23),1),"ddd")</f>
        <v>vie</v>
      </c>
      <c r="T180" s="16" t="str">
        <f>TEXT(WEEKDAY(DATE(Abril!CalendarioAño,1,24),1),"ddd")</f>
        <v>sáb</v>
      </c>
      <c r="U180" s="16" t="str">
        <f>TEXT(WEEKDAY(DATE(Abril!CalendarioAño,1,25),1),"ddd")</f>
        <v>dom</v>
      </c>
      <c r="V180" s="16" t="str">
        <f>TEXT(WEEKDAY(DATE(Abril!CalendarioAño,1,26),1),"ddd")</f>
        <v>lun</v>
      </c>
      <c r="W180" s="16" t="str">
        <f>TEXT(WEEKDAY(DATE(Abril!CalendarioAño,1,27),1),"ddd")</f>
        <v>mar</v>
      </c>
      <c r="X180" s="16" t="str">
        <f>TEXT(WEEKDAY(DATE(Abril!CalendarioAño,1,28),1),"ddd")</f>
        <v>mié</v>
      </c>
      <c r="Y180" s="16" t="str">
        <f>TEXT(WEEKDAY(DATE(Abril!CalendarioAño,1,29),1),"ddd")</f>
        <v>jue</v>
      </c>
      <c r="Z180" s="16" t="str">
        <f>TEXT(WEEKDAY(DATE(Abril!CalendarioAño,1,30),1),"ddd")</f>
        <v>vie</v>
      </c>
      <c r="AA180" s="16" t="str">
        <f>TEXT(WEEKDAY(DATE(Abril!CalendarioAño,1,31),1),"ddd")</f>
        <v>sáb</v>
      </c>
      <c r="AB180" s="16" t="str">
        <f>TEXT(WEEKDAY(DATE(Abril!CalendarioAño,1,25),1),"ddd")</f>
        <v>dom</v>
      </c>
      <c r="AC180" s="16" t="str">
        <f>TEXT(WEEKDAY(DATE(Abril!CalendarioAño,1,26),1),"ddd")</f>
        <v>lun</v>
      </c>
      <c r="AD180" s="16" t="str">
        <f>TEXT(WEEKDAY(DATE(Abril!CalendarioAño,1,27),1),"ddd")</f>
        <v>mar</v>
      </c>
      <c r="AE180" s="16" t="str">
        <f>TEXT(WEEKDAY(DATE(Abril!CalendarioAño,1,28),1),"ddd")</f>
        <v>mié</v>
      </c>
      <c r="AF180" s="16" t="str">
        <f>TEXT(WEEKDAY(DATE(Abril!CalendarioAño,1,29),1),"ddd")</f>
        <v>jue</v>
      </c>
      <c r="AG180" s="57"/>
      <c r="AH180" s="119"/>
      <c r="AI180" s="119"/>
    </row>
    <row r="181" ht="30.0" customHeight="1">
      <c r="A181" s="18"/>
      <c r="B181" s="31" t="s">
        <v>14</v>
      </c>
      <c r="C181" s="19" t="s">
        <v>15</v>
      </c>
      <c r="D181" s="19" t="s">
        <v>16</v>
      </c>
      <c r="E181" s="19" t="s">
        <v>17</v>
      </c>
      <c r="F181" s="19" t="s">
        <v>18</v>
      </c>
      <c r="G181" s="19" t="s">
        <v>19</v>
      </c>
      <c r="H181" s="19" t="s">
        <v>20</v>
      </c>
      <c r="I181" s="19" t="s">
        <v>21</v>
      </c>
      <c r="J181" s="19" t="s">
        <v>22</v>
      </c>
      <c r="K181" s="19" t="s">
        <v>23</v>
      </c>
      <c r="L181" s="19" t="s">
        <v>24</v>
      </c>
      <c r="M181" s="19" t="s">
        <v>25</v>
      </c>
      <c r="N181" s="19" t="s">
        <v>26</v>
      </c>
      <c r="O181" s="19" t="s">
        <v>27</v>
      </c>
      <c r="P181" s="19" t="s">
        <v>28</v>
      </c>
      <c r="Q181" s="19" t="s">
        <v>29</v>
      </c>
      <c r="R181" s="19" t="s">
        <v>30</v>
      </c>
      <c r="S181" s="19" t="s">
        <v>31</v>
      </c>
      <c r="T181" s="19" t="s">
        <v>32</v>
      </c>
      <c r="U181" s="19" t="s">
        <v>33</v>
      </c>
      <c r="V181" s="19" t="s">
        <v>34</v>
      </c>
      <c r="W181" s="19" t="s">
        <v>35</v>
      </c>
      <c r="X181" s="19" t="s">
        <v>36</v>
      </c>
      <c r="Y181" s="19" t="s">
        <v>37</v>
      </c>
      <c r="Z181" s="19" t="s">
        <v>38</v>
      </c>
      <c r="AA181" s="19" t="s">
        <v>39</v>
      </c>
      <c r="AB181" s="19" t="s">
        <v>40</v>
      </c>
      <c r="AC181" s="19" t="s">
        <v>41</v>
      </c>
      <c r="AD181" s="19" t="s">
        <v>42</v>
      </c>
      <c r="AE181" s="19" t="s">
        <v>43</v>
      </c>
      <c r="AF181" s="19" t="s">
        <v>44</v>
      </c>
      <c r="AG181" s="19" t="s">
        <v>46</v>
      </c>
      <c r="AH181" s="19"/>
      <c r="AI181" s="19"/>
    </row>
    <row r="182" ht="30.0" customHeight="1">
      <c r="A182" s="50"/>
      <c r="B182" s="58" t="s">
        <v>272</v>
      </c>
      <c r="C182" s="36"/>
      <c r="D182" s="36"/>
      <c r="E182" s="36"/>
      <c r="F182" s="36"/>
      <c r="G182" s="36"/>
      <c r="H182" s="36"/>
      <c r="I182" s="10" t="s">
        <v>6</v>
      </c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59"/>
      <c r="AH182" s="59"/>
      <c r="AI182" s="59"/>
    </row>
    <row r="183" ht="30.0" customHeight="1">
      <c r="A183" s="50"/>
      <c r="B183" s="60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59"/>
      <c r="AH183" s="59"/>
      <c r="AI183" s="59"/>
    </row>
    <row r="184" ht="30.0" customHeight="1">
      <c r="A184" s="50"/>
      <c r="B184" s="58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59"/>
      <c r="AH184" s="59"/>
      <c r="AI184" s="59"/>
    </row>
    <row r="185" ht="30.0" customHeight="1">
      <c r="A185" s="50"/>
      <c r="B185" s="36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59"/>
      <c r="AH185" s="59"/>
      <c r="AI185" s="59"/>
    </row>
    <row r="186" ht="30.0" customHeight="1">
      <c r="A186" s="50"/>
      <c r="B186" s="6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59"/>
      <c r="AH186" s="59"/>
      <c r="AI186" s="59"/>
    </row>
    <row r="187" ht="30.0" customHeight="1">
      <c r="A187" s="50"/>
      <c r="B187" s="62"/>
      <c r="C187" s="63">
        <f>SUBTOTAL(103,Abril!$C$7)</f>
        <v>0</v>
      </c>
      <c r="D187" s="63">
        <f>SUBTOTAL(103,Abril!$D$7)</f>
        <v>0</v>
      </c>
      <c r="E187" s="63">
        <f>SUBTOTAL(103,Abril!$E$7)</f>
        <v>0</v>
      </c>
      <c r="F187" s="63"/>
      <c r="G187" s="63"/>
      <c r="H187" s="63">
        <f>SUBTOTAL(103,Abril!$H$7)</f>
        <v>0</v>
      </c>
      <c r="I187" s="63">
        <f>SUBTOTAL(103,Abril!$I$7)</f>
        <v>0</v>
      </c>
      <c r="J187" s="63">
        <f>SUBTOTAL(103,Abril!$J$7)</f>
        <v>0</v>
      </c>
      <c r="K187" s="63">
        <f>SUBTOTAL(103,Abril!$K$7)</f>
        <v>0</v>
      </c>
      <c r="L187" s="63">
        <f>SUBTOTAL(103,Abril!$L$7)</f>
        <v>0</v>
      </c>
      <c r="M187" s="63"/>
      <c r="N187" s="63">
        <f>SUBTOTAL(103,Abril!$N$7)</f>
        <v>0</v>
      </c>
      <c r="O187" s="63">
        <f>SUBTOTAL(103,Abril!$O$7)</f>
        <v>0</v>
      </c>
      <c r="P187" s="63">
        <f>SUBTOTAL(103,Abril!$P$7)</f>
        <v>0</v>
      </c>
      <c r="Q187" s="63">
        <f>SUBTOTAL(103,Abril!$Q$7)</f>
        <v>0</v>
      </c>
      <c r="R187" s="63">
        <f>SUBTOTAL(103,Abril!$R$7)</f>
        <v>0</v>
      </c>
      <c r="S187" s="63">
        <f>SUBTOTAL(103,Abril!$S$7)</f>
        <v>0</v>
      </c>
      <c r="T187" s="63">
        <f>SUBTOTAL(103,Abril!$T$7)</f>
        <v>0</v>
      </c>
      <c r="U187" s="63">
        <f>SUBTOTAL(103,Abril!$U$7)</f>
        <v>0</v>
      </c>
      <c r="V187" s="63"/>
      <c r="W187" s="63">
        <f>SUBTOTAL(103,Abril!$W$7)</f>
        <v>0</v>
      </c>
      <c r="X187" s="63">
        <f>SUBTOTAL(103,Abril!$X$7)</f>
        <v>0</v>
      </c>
      <c r="Y187" s="63">
        <f>SUBTOTAL(103,Abril!$Y$7)</f>
        <v>0</v>
      </c>
      <c r="Z187" s="63">
        <f>SUBTOTAL(103,Abril!$Z$7)</f>
        <v>0</v>
      </c>
      <c r="AA187" s="63">
        <f>SUBTOTAL(103,Abril!$AA$7)</f>
        <v>0</v>
      </c>
      <c r="AB187" s="63">
        <f>SUBTOTAL(103,Abril!$AB$7)</f>
        <v>0</v>
      </c>
      <c r="AC187" s="63">
        <f>SUBTOTAL(103,Abril!$AC$7)</f>
        <v>0</v>
      </c>
      <c r="AD187" s="63">
        <f>SUBTOTAL(103,Abril!$AD$7)</f>
        <v>0</v>
      </c>
      <c r="AE187" s="63">
        <f>SUBTOTAL(103,Abril!$AE$7)</f>
        <v>0</v>
      </c>
      <c r="AF187" s="63">
        <f>SUBTOTAL(103,Abril!$AF$7)</f>
        <v>0</v>
      </c>
      <c r="AG187" s="65"/>
      <c r="AH187" s="65"/>
      <c r="AI187" s="65"/>
    </row>
    <row r="188" ht="30.0" customHeight="1">
      <c r="AG188" s="5"/>
      <c r="AH188" s="5"/>
      <c r="AI188" s="5"/>
    </row>
    <row r="189" ht="30.0" customHeight="1">
      <c r="A189" s="50"/>
      <c r="B189" s="15" t="s">
        <v>295</v>
      </c>
      <c r="C189" s="27" t="s">
        <v>183</v>
      </c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39">
        <v>2026.0</v>
      </c>
      <c r="AH189" s="15"/>
      <c r="AI189" s="15"/>
    </row>
    <row r="190" ht="30.0" customHeight="1">
      <c r="A190" s="50"/>
      <c r="B190" s="56"/>
      <c r="C190" s="16" t="str">
        <f>TEXT(WEEKDAY(DATE(Abril!CalendarioAño,1,7),1),"ddd")</f>
        <v>mié</v>
      </c>
      <c r="D190" s="16" t="str">
        <f>TEXT(WEEKDAY(DATE(Abril!CalendarioAño,1,8),1),"ddd")</f>
        <v>jue</v>
      </c>
      <c r="E190" s="16" t="str">
        <f>TEXT(WEEKDAY(DATE(Abril!CalendarioAño,1,9),1),"ddd")</f>
        <v>vie</v>
      </c>
      <c r="F190" s="16" t="str">
        <f>TEXT(WEEKDAY(DATE(Abril!CalendarioAño,1,10),1),"ddd")</f>
        <v>sáb</v>
      </c>
      <c r="G190" s="16" t="str">
        <f>TEXT(WEEKDAY(DATE(Abril!CalendarioAño,1,11),1),"ddd")</f>
        <v>dom</v>
      </c>
      <c r="H190" s="16" t="str">
        <f>TEXT(WEEKDAY(DATE(Abril!CalendarioAño,1,12),1),"ddd")</f>
        <v>lun</v>
      </c>
      <c r="I190" s="16" t="str">
        <f>TEXT(WEEKDAY(DATE(Abril!CalendarioAño,1,13),1),"ddd")</f>
        <v>mar</v>
      </c>
      <c r="J190" s="16" t="str">
        <f>TEXT(WEEKDAY(DATE(Abril!CalendarioAño,1,14),1),"ddd")</f>
        <v>mié</v>
      </c>
      <c r="K190" s="16" t="str">
        <f>TEXT(WEEKDAY(DATE(Abril!CalendarioAño,1,15),1),"ddd")</f>
        <v>jue</v>
      </c>
      <c r="L190" s="16" t="str">
        <f>TEXT(WEEKDAY(DATE(Abril!CalendarioAño,1,16),1),"ddd")</f>
        <v>vie</v>
      </c>
      <c r="M190" s="16" t="str">
        <f>TEXT(WEEKDAY(DATE(Abril!CalendarioAño,1,17),1),"ddd")</f>
        <v>sáb</v>
      </c>
      <c r="N190" s="16" t="str">
        <f>TEXT(WEEKDAY(DATE(Abril!CalendarioAño,1,18),1),"ddd")</f>
        <v>dom</v>
      </c>
      <c r="O190" s="16" t="str">
        <f>TEXT(WEEKDAY(DATE(Abril!CalendarioAño,1,19),1),"ddd")</f>
        <v>lun</v>
      </c>
      <c r="P190" s="16" t="str">
        <f>TEXT(WEEKDAY(DATE(Abril!CalendarioAño,1,20),1),"ddd")</f>
        <v>mar</v>
      </c>
      <c r="Q190" s="16" t="str">
        <f>TEXT(WEEKDAY(DATE(Abril!CalendarioAño,1,21),1),"ddd")</f>
        <v>mié</v>
      </c>
      <c r="R190" s="16" t="str">
        <f>TEXT(WEEKDAY(DATE(Abril!CalendarioAño,1,22),1),"ddd")</f>
        <v>jue</v>
      </c>
      <c r="S190" s="16" t="str">
        <f>TEXT(WEEKDAY(DATE(Abril!CalendarioAño,1,23),1),"ddd")</f>
        <v>vie</v>
      </c>
      <c r="T190" s="16" t="str">
        <f>TEXT(WEEKDAY(DATE(Abril!CalendarioAño,1,24),1),"ddd")</f>
        <v>sáb</v>
      </c>
      <c r="U190" s="16" t="str">
        <f>TEXT(WEEKDAY(DATE(Abril!CalendarioAño,1,25),1),"ddd")</f>
        <v>dom</v>
      </c>
      <c r="V190" s="16" t="str">
        <f>TEXT(WEEKDAY(DATE(Abril!CalendarioAño,1,26),1),"ddd")</f>
        <v>lun</v>
      </c>
      <c r="W190" s="16" t="str">
        <f>TEXT(WEEKDAY(DATE(Abril!CalendarioAño,1,27),1),"ddd")</f>
        <v>mar</v>
      </c>
      <c r="X190" s="16" t="str">
        <f>TEXT(WEEKDAY(DATE(Abril!CalendarioAño,1,28),1),"ddd")</f>
        <v>mié</v>
      </c>
      <c r="Y190" s="16" t="str">
        <f>TEXT(WEEKDAY(DATE(Abril!CalendarioAño,1,29),1),"ddd")</f>
        <v>jue</v>
      </c>
      <c r="Z190" s="16" t="str">
        <f>TEXT(WEEKDAY(DATE(Abril!CalendarioAño,1,30),1),"ddd")</f>
        <v>vie</v>
      </c>
      <c r="AA190" s="16" t="str">
        <f>TEXT(WEEKDAY(DATE(Abril!CalendarioAño,1,31),1),"ddd")</f>
        <v>sáb</v>
      </c>
      <c r="AB190" s="16" t="str">
        <f>TEXT(WEEKDAY(DATE(Abril!CalendarioAño,1,25),1),"ddd")</f>
        <v>dom</v>
      </c>
      <c r="AC190" s="16" t="str">
        <f>TEXT(WEEKDAY(DATE(Abril!CalendarioAño,1,26),1),"ddd")</f>
        <v>lun</v>
      </c>
      <c r="AD190" s="16" t="str">
        <f>TEXT(WEEKDAY(DATE(Abril!CalendarioAño,1,27),1),"ddd")</f>
        <v>mar</v>
      </c>
      <c r="AE190" s="16" t="str">
        <f>TEXT(WEEKDAY(DATE(Abril!CalendarioAño,1,28),1),"ddd")</f>
        <v>mié</v>
      </c>
      <c r="AF190" s="16" t="str">
        <f>TEXT(WEEKDAY(DATE(Abril!CalendarioAño,1,29),1),"ddd")</f>
        <v>jue</v>
      </c>
      <c r="AG190" s="57"/>
      <c r="AH190" s="119"/>
      <c r="AI190" s="119"/>
    </row>
    <row r="191" ht="30.0" customHeight="1">
      <c r="A191" s="18"/>
      <c r="B191" s="66" t="s">
        <v>14</v>
      </c>
      <c r="C191" s="19" t="s">
        <v>15</v>
      </c>
      <c r="D191" s="19" t="s">
        <v>16</v>
      </c>
      <c r="E191" s="19" t="s">
        <v>17</v>
      </c>
      <c r="F191" s="19" t="s">
        <v>18</v>
      </c>
      <c r="G191" s="19" t="s">
        <v>19</v>
      </c>
      <c r="H191" s="19" t="s">
        <v>20</v>
      </c>
      <c r="I191" s="19" t="s">
        <v>21</v>
      </c>
      <c r="J191" s="19" t="s">
        <v>22</v>
      </c>
      <c r="K191" s="19" t="s">
        <v>23</v>
      </c>
      <c r="L191" s="19" t="s">
        <v>24</v>
      </c>
      <c r="M191" s="19" t="s">
        <v>25</v>
      </c>
      <c r="N191" s="19" t="s">
        <v>26</v>
      </c>
      <c r="O191" s="19" t="s">
        <v>27</v>
      </c>
      <c r="P191" s="19" t="s">
        <v>28</v>
      </c>
      <c r="Q191" s="19" t="s">
        <v>29</v>
      </c>
      <c r="R191" s="19" t="s">
        <v>30</v>
      </c>
      <c r="S191" s="19" t="s">
        <v>31</v>
      </c>
      <c r="T191" s="19" t="s">
        <v>32</v>
      </c>
      <c r="U191" s="19" t="s">
        <v>33</v>
      </c>
      <c r="V191" s="19" t="s">
        <v>34</v>
      </c>
      <c r="W191" s="19" t="s">
        <v>35</v>
      </c>
      <c r="X191" s="19" t="s">
        <v>36</v>
      </c>
      <c r="Y191" s="19" t="s">
        <v>37</v>
      </c>
      <c r="Z191" s="19" t="s">
        <v>38</v>
      </c>
      <c r="AA191" s="19" t="s">
        <v>39</v>
      </c>
      <c r="AB191" s="19" t="s">
        <v>40</v>
      </c>
      <c r="AC191" s="19" t="s">
        <v>41</v>
      </c>
      <c r="AD191" s="19" t="s">
        <v>42</v>
      </c>
      <c r="AE191" s="19" t="s">
        <v>43</v>
      </c>
      <c r="AF191" s="19" t="s">
        <v>44</v>
      </c>
      <c r="AG191" s="19" t="s">
        <v>46</v>
      </c>
      <c r="AH191" s="19"/>
      <c r="AI191" s="19"/>
    </row>
    <row r="192" ht="30.0" customHeight="1">
      <c r="A192" s="50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59"/>
      <c r="AH192" s="59"/>
      <c r="AI192" s="59"/>
    </row>
    <row r="193" ht="30.0" customHeight="1">
      <c r="A193" s="50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7"/>
      <c r="AH193" s="67"/>
      <c r="AI193" s="67"/>
    </row>
    <row r="194" ht="30.0" customHeight="1">
      <c r="A194" s="50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59"/>
      <c r="AH194" s="59"/>
      <c r="AI194" s="59"/>
    </row>
    <row r="195" ht="30.0" customHeight="1">
      <c r="A195" s="50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7"/>
      <c r="AH195" s="67"/>
      <c r="AI195" s="67"/>
    </row>
    <row r="196" ht="30.0" customHeight="1">
      <c r="A196" s="50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59"/>
      <c r="AH196" s="59"/>
      <c r="AI196" s="59"/>
    </row>
    <row r="197" ht="30.0" customHeight="1">
      <c r="A197" s="50"/>
      <c r="B197" s="62" t="str">
        <f>Abril!MonthName&amp;" Total"</f>
        <v>Abril Total</v>
      </c>
      <c r="C197" s="63">
        <f>SUBTOTAL(103,Abril!$C$7)</f>
        <v>0</v>
      </c>
      <c r="D197" s="63">
        <f>SUBTOTAL(103,Abril!$D$7)</f>
        <v>0</v>
      </c>
      <c r="E197" s="63">
        <f>SUBTOTAL(103,Abril!$E$7)</f>
        <v>0</v>
      </c>
      <c r="F197" s="63"/>
      <c r="G197" s="63"/>
      <c r="H197" s="63">
        <f>SUBTOTAL(103,Abril!$H$7)</f>
        <v>0</v>
      </c>
      <c r="I197" s="63">
        <f>SUBTOTAL(103,Abril!$I$7)</f>
        <v>0</v>
      </c>
      <c r="J197" s="63">
        <f>SUBTOTAL(103,Abril!$J$7)</f>
        <v>0</v>
      </c>
      <c r="K197" s="63">
        <f>SUBTOTAL(103,Abril!$K$7)</f>
        <v>0</v>
      </c>
      <c r="L197" s="63">
        <f>SUBTOTAL(103,Abril!$L$7)</f>
        <v>0</v>
      </c>
      <c r="M197" s="63"/>
      <c r="N197" s="63">
        <f>SUBTOTAL(103,Abril!$N$7)</f>
        <v>0</v>
      </c>
      <c r="O197" s="63">
        <f>SUBTOTAL(103,Abril!$O$7)</f>
        <v>0</v>
      </c>
      <c r="P197" s="63">
        <f>SUBTOTAL(103,Abril!$P$7)</f>
        <v>0</v>
      </c>
      <c r="Q197" s="63">
        <f>SUBTOTAL(103,Abril!$Q$7)</f>
        <v>0</v>
      </c>
      <c r="R197" s="63">
        <f>SUBTOTAL(103,Abril!$R$7)</f>
        <v>0</v>
      </c>
      <c r="S197" s="63">
        <f>SUBTOTAL(103,Abril!$S$7)</f>
        <v>0</v>
      </c>
      <c r="T197" s="63">
        <f>SUBTOTAL(103,Abril!$T$7)</f>
        <v>0</v>
      </c>
      <c r="U197" s="63">
        <f>SUBTOTAL(103,Abril!$U$7)</f>
        <v>0</v>
      </c>
      <c r="V197" s="63"/>
      <c r="W197" s="63">
        <f>SUBTOTAL(103,Abril!$W$7)</f>
        <v>0</v>
      </c>
      <c r="X197" s="63">
        <f>SUBTOTAL(103,Abril!$X$7)</f>
        <v>0</v>
      </c>
      <c r="Y197" s="63">
        <f>SUBTOTAL(103,Abril!$Y$7)</f>
        <v>0</v>
      </c>
      <c r="Z197" s="63">
        <f>SUBTOTAL(103,Abril!$Z$7)</f>
        <v>0</v>
      </c>
      <c r="AA197" s="63">
        <f>SUBTOTAL(103,Abril!$AA$7)</f>
        <v>0</v>
      </c>
      <c r="AB197" s="63">
        <f>SUBTOTAL(103,Abril!$AB$7)</f>
        <v>0</v>
      </c>
      <c r="AC197" s="63">
        <f>SUBTOTAL(103,Abril!$AC$7)</f>
        <v>0</v>
      </c>
      <c r="AD197" s="63">
        <f>SUBTOTAL(103,Abril!$AD$7)</f>
        <v>0</v>
      </c>
      <c r="AE197" s="63">
        <f>SUBTOTAL(103,Abril!$AE$7)</f>
        <v>0</v>
      </c>
      <c r="AF197" s="63">
        <f>SUBTOTAL(103,Abril!$AF$7)</f>
        <v>0</v>
      </c>
      <c r="AG197" s="65">
        <f>SUM(C197:AF197)</f>
        <v>0</v>
      </c>
      <c r="AH197" s="65"/>
      <c r="AI197" s="65"/>
    </row>
    <row r="198" ht="30.0" customHeight="1">
      <c r="AG198" s="5"/>
      <c r="AH198" s="5"/>
      <c r="AI198" s="5"/>
    </row>
    <row r="199" ht="30.0" customHeight="1">
      <c r="AG199" s="5"/>
      <c r="AH199" s="5"/>
      <c r="AI199" s="5"/>
    </row>
    <row r="200" ht="30.0" customHeight="1">
      <c r="AG200" s="5"/>
      <c r="AH200" s="5"/>
      <c r="AI200" s="5"/>
    </row>
    <row r="201" ht="30.0" customHeight="1">
      <c r="AG201" s="5"/>
      <c r="AH201" s="5"/>
      <c r="AI201" s="5"/>
    </row>
    <row r="202" ht="30.0" customHeight="1">
      <c r="AG202" s="5"/>
      <c r="AH202" s="5"/>
      <c r="AI202" s="5"/>
    </row>
    <row r="203" ht="30.0" customHeight="1">
      <c r="AG203" s="5"/>
      <c r="AH203" s="5"/>
      <c r="AI203" s="5"/>
    </row>
    <row r="204" ht="30.0" customHeight="1">
      <c r="AG204" s="5"/>
      <c r="AH204" s="5"/>
      <c r="AI204" s="5"/>
    </row>
    <row r="205" ht="30.0" customHeight="1">
      <c r="AG205" s="5"/>
      <c r="AH205" s="5"/>
      <c r="AI205" s="5"/>
    </row>
    <row r="206" ht="30.0" customHeight="1">
      <c r="AG206" s="5"/>
      <c r="AH206" s="5"/>
      <c r="AI206" s="5"/>
    </row>
    <row r="207" ht="30.0" customHeight="1">
      <c r="AG207" s="5"/>
      <c r="AH207" s="5"/>
      <c r="AI207" s="5"/>
    </row>
    <row r="208" ht="30.0" customHeight="1">
      <c r="AG208" s="5"/>
      <c r="AH208" s="5"/>
      <c r="AI208" s="5"/>
    </row>
    <row r="209" ht="30.0" customHeight="1">
      <c r="AG209" s="5"/>
      <c r="AH209" s="5"/>
      <c r="AI209" s="5"/>
    </row>
    <row r="210" ht="30.0" customHeight="1">
      <c r="AG210" s="5"/>
      <c r="AH210" s="5"/>
      <c r="AI210" s="5"/>
    </row>
    <row r="211" ht="30.0" customHeight="1">
      <c r="AG211" s="5"/>
      <c r="AH211" s="5"/>
      <c r="AI211" s="5"/>
    </row>
    <row r="212" ht="30.0" customHeight="1">
      <c r="AG212" s="5"/>
      <c r="AH212" s="5"/>
      <c r="AI212" s="5"/>
    </row>
    <row r="213" ht="30.0" customHeight="1">
      <c r="AG213" s="5"/>
      <c r="AH213" s="5"/>
      <c r="AI213" s="5"/>
    </row>
    <row r="214" ht="30.0" customHeight="1">
      <c r="AG214" s="5"/>
      <c r="AH214" s="5"/>
      <c r="AI214" s="5"/>
    </row>
    <row r="215" ht="30.0" customHeight="1">
      <c r="AG215" s="5"/>
      <c r="AH215" s="5"/>
      <c r="AI215" s="5"/>
    </row>
    <row r="216" ht="30.0" customHeight="1">
      <c r="AG216" s="5"/>
      <c r="AH216" s="5"/>
      <c r="AI216" s="5"/>
    </row>
    <row r="217" ht="30.0" customHeight="1">
      <c r="AG217" s="5"/>
      <c r="AH217" s="5"/>
      <c r="AI217" s="5"/>
    </row>
    <row r="218" ht="30.0" customHeight="1">
      <c r="AG218" s="5"/>
      <c r="AH218" s="5"/>
      <c r="AI218" s="5"/>
    </row>
    <row r="219" ht="30.0" customHeight="1">
      <c r="AG219" s="5"/>
      <c r="AH219" s="5"/>
      <c r="AI219" s="5"/>
    </row>
    <row r="220" ht="30.0" customHeight="1">
      <c r="AG220" s="5"/>
      <c r="AH220" s="5"/>
      <c r="AI220" s="5"/>
    </row>
    <row r="221" ht="30.0" customHeight="1">
      <c r="AG221" s="5"/>
      <c r="AH221" s="5"/>
      <c r="AI221" s="5"/>
    </row>
    <row r="222" ht="30.0" customHeight="1">
      <c r="AG222" s="5"/>
      <c r="AH222" s="5"/>
      <c r="AI222" s="5"/>
    </row>
    <row r="223" ht="30.0" customHeight="1">
      <c r="AG223" s="5"/>
      <c r="AH223" s="5"/>
      <c r="AI223" s="5"/>
    </row>
    <row r="224" ht="30.0" customHeight="1">
      <c r="AG224" s="5"/>
      <c r="AH224" s="5"/>
      <c r="AI224" s="5"/>
    </row>
    <row r="225" ht="30.0" customHeight="1">
      <c r="AG225" s="5"/>
      <c r="AH225" s="5"/>
      <c r="AI225" s="5"/>
    </row>
    <row r="226" ht="30.0" customHeight="1">
      <c r="AG226" s="5"/>
      <c r="AH226" s="5"/>
      <c r="AI226" s="5"/>
    </row>
    <row r="227" ht="30.0" customHeight="1">
      <c r="AG227" s="5"/>
      <c r="AH227" s="5"/>
      <c r="AI227" s="5"/>
    </row>
    <row r="228" ht="30.0" customHeight="1">
      <c r="AG228" s="5"/>
      <c r="AH228" s="5"/>
      <c r="AI228" s="5"/>
    </row>
    <row r="229" ht="30.0" customHeight="1">
      <c r="AG229" s="5"/>
      <c r="AH229" s="5"/>
      <c r="AI229" s="5"/>
    </row>
    <row r="230" ht="30.0" customHeight="1">
      <c r="AG230" s="5"/>
      <c r="AH230" s="5"/>
      <c r="AI230" s="5"/>
    </row>
    <row r="231" ht="30.0" customHeight="1">
      <c r="AG231" s="5"/>
      <c r="AH231" s="5"/>
      <c r="AI231" s="5"/>
    </row>
    <row r="232" ht="30.0" customHeight="1">
      <c r="AG232" s="5"/>
      <c r="AH232" s="5"/>
      <c r="AI232" s="5"/>
    </row>
    <row r="233" ht="30.0" customHeight="1">
      <c r="AG233" s="5"/>
      <c r="AH233" s="5"/>
      <c r="AI233" s="5"/>
    </row>
    <row r="234" ht="30.0" customHeight="1">
      <c r="AG234" s="5"/>
      <c r="AH234" s="5"/>
      <c r="AI234" s="5"/>
    </row>
    <row r="235" ht="30.0" customHeight="1">
      <c r="AG235" s="5"/>
      <c r="AH235" s="5"/>
      <c r="AI235" s="5"/>
    </row>
    <row r="236" ht="30.0" customHeight="1">
      <c r="AG236" s="5"/>
      <c r="AH236" s="5"/>
      <c r="AI236" s="5"/>
    </row>
    <row r="237" ht="30.0" customHeight="1">
      <c r="AG237" s="5"/>
      <c r="AH237" s="5"/>
      <c r="AI237" s="5"/>
    </row>
    <row r="238" ht="30.0" customHeight="1">
      <c r="AG238" s="5"/>
      <c r="AH238" s="5"/>
      <c r="AI238" s="5"/>
    </row>
    <row r="239" ht="30.0" customHeight="1">
      <c r="AG239" s="5"/>
      <c r="AH239" s="5"/>
      <c r="AI239" s="5"/>
    </row>
    <row r="240" ht="30.0" customHeight="1">
      <c r="AG240" s="5"/>
      <c r="AH240" s="5"/>
      <c r="AI240" s="5"/>
    </row>
    <row r="241" ht="30.0" customHeight="1">
      <c r="AG241" s="5"/>
      <c r="AH241" s="5"/>
      <c r="AI241" s="5"/>
    </row>
    <row r="242" ht="30.0" customHeight="1">
      <c r="AG242" s="5"/>
      <c r="AH242" s="5"/>
      <c r="AI242" s="5"/>
    </row>
    <row r="243" ht="30.0" customHeight="1">
      <c r="AG243" s="5"/>
      <c r="AH243" s="5"/>
      <c r="AI243" s="5"/>
    </row>
    <row r="244" ht="30.0" customHeight="1">
      <c r="AG244" s="5"/>
      <c r="AH244" s="5"/>
      <c r="AI244" s="5"/>
    </row>
    <row r="245" ht="30.0" customHeight="1">
      <c r="AG245" s="5"/>
      <c r="AH245" s="5"/>
      <c r="AI245" s="5"/>
    </row>
    <row r="246" ht="30.0" customHeight="1">
      <c r="AG246" s="5"/>
      <c r="AH246" s="5"/>
      <c r="AI246" s="5"/>
    </row>
    <row r="247" ht="30.0" customHeight="1">
      <c r="AG247" s="5"/>
      <c r="AH247" s="5"/>
      <c r="AI247" s="5"/>
    </row>
    <row r="248" ht="30.0" customHeight="1">
      <c r="AG248" s="5"/>
      <c r="AH248" s="5"/>
      <c r="AI248" s="5"/>
    </row>
    <row r="249" ht="30.0" customHeight="1">
      <c r="AG249" s="5"/>
      <c r="AH249" s="5"/>
      <c r="AI249" s="5"/>
    </row>
    <row r="250" ht="30.0" customHeight="1">
      <c r="AG250" s="5"/>
      <c r="AH250" s="5"/>
      <c r="AI250" s="5"/>
    </row>
    <row r="251" ht="30.0" customHeight="1">
      <c r="AG251" s="5"/>
      <c r="AH251" s="5"/>
      <c r="AI251" s="5"/>
    </row>
    <row r="252" ht="30.0" customHeight="1">
      <c r="AG252" s="5"/>
      <c r="AH252" s="5"/>
      <c r="AI252" s="5"/>
    </row>
    <row r="253" ht="30.0" customHeight="1">
      <c r="AG253" s="5"/>
      <c r="AH253" s="5"/>
      <c r="AI253" s="5"/>
    </row>
    <row r="254" ht="30.0" customHeight="1">
      <c r="AG254" s="5"/>
      <c r="AH254" s="5"/>
      <c r="AI254" s="5"/>
    </row>
    <row r="255" ht="30.0" customHeight="1">
      <c r="AG255" s="5"/>
      <c r="AH255" s="5"/>
      <c r="AI255" s="5"/>
    </row>
    <row r="256" ht="30.0" customHeight="1">
      <c r="AG256" s="5"/>
      <c r="AH256" s="5"/>
      <c r="AI256" s="5"/>
    </row>
    <row r="257" ht="30.0" customHeight="1">
      <c r="AG257" s="5"/>
      <c r="AH257" s="5"/>
      <c r="AI257" s="5"/>
    </row>
    <row r="258" ht="30.0" customHeight="1">
      <c r="AG258" s="5"/>
      <c r="AH258" s="5"/>
      <c r="AI258" s="5"/>
    </row>
    <row r="259" ht="30.0" customHeight="1">
      <c r="AG259" s="5"/>
      <c r="AH259" s="5"/>
      <c r="AI259" s="5"/>
    </row>
    <row r="260" ht="30.0" customHeight="1">
      <c r="AG260" s="5"/>
      <c r="AH260" s="5"/>
      <c r="AI260" s="5"/>
    </row>
    <row r="261" ht="30.0" customHeight="1">
      <c r="AG261" s="5"/>
      <c r="AH261" s="5"/>
      <c r="AI261" s="5"/>
    </row>
    <row r="262" ht="30.0" customHeight="1">
      <c r="AG262" s="5"/>
      <c r="AH262" s="5"/>
      <c r="AI262" s="5"/>
    </row>
    <row r="263" ht="30.0" customHeight="1">
      <c r="AG263" s="5"/>
      <c r="AH263" s="5"/>
      <c r="AI263" s="5"/>
    </row>
    <row r="264" ht="30.0" customHeight="1">
      <c r="AG264" s="5"/>
      <c r="AH264" s="5"/>
      <c r="AI264" s="5"/>
    </row>
    <row r="265" ht="30.0" customHeight="1">
      <c r="AG265" s="5"/>
      <c r="AH265" s="5"/>
      <c r="AI265" s="5"/>
    </row>
    <row r="266" ht="30.0" customHeight="1">
      <c r="AG266" s="5"/>
      <c r="AH266" s="5"/>
      <c r="AI266" s="5"/>
    </row>
    <row r="267" ht="30.0" customHeight="1">
      <c r="AG267" s="5"/>
      <c r="AH267" s="5"/>
      <c r="AI267" s="5"/>
    </row>
    <row r="268" ht="30.0" customHeight="1">
      <c r="AG268" s="5"/>
      <c r="AH268" s="5"/>
      <c r="AI268" s="5"/>
    </row>
    <row r="269" ht="30.0" customHeight="1">
      <c r="AG269" s="5"/>
      <c r="AH269" s="5"/>
      <c r="AI269" s="5"/>
    </row>
    <row r="270" ht="30.0" customHeight="1">
      <c r="AG270" s="5"/>
      <c r="AH270" s="5"/>
      <c r="AI270" s="5"/>
    </row>
    <row r="271" ht="30.0" customHeight="1">
      <c r="AG271" s="5"/>
      <c r="AH271" s="5"/>
      <c r="AI271" s="5"/>
    </row>
    <row r="272" ht="30.0" customHeight="1">
      <c r="AG272" s="5"/>
      <c r="AH272" s="5"/>
      <c r="AI272" s="5"/>
    </row>
    <row r="273" ht="30.0" customHeight="1">
      <c r="AG273" s="5"/>
      <c r="AH273" s="5"/>
      <c r="AI273" s="5"/>
    </row>
    <row r="274" ht="30.0" customHeight="1">
      <c r="AG274" s="5"/>
      <c r="AH274" s="5"/>
      <c r="AI274" s="5"/>
    </row>
    <row r="275" ht="30.0" customHeight="1">
      <c r="AG275" s="5"/>
      <c r="AH275" s="5"/>
      <c r="AI275" s="5"/>
    </row>
    <row r="276" ht="30.0" customHeight="1">
      <c r="AG276" s="5"/>
      <c r="AH276" s="5"/>
      <c r="AI276" s="5"/>
    </row>
    <row r="277" ht="30.0" customHeight="1">
      <c r="AG277" s="5"/>
      <c r="AH277" s="5"/>
      <c r="AI277" s="5"/>
    </row>
    <row r="278" ht="30.0" customHeight="1">
      <c r="AG278" s="5"/>
      <c r="AH278" s="5"/>
      <c r="AI278" s="5"/>
    </row>
    <row r="279" ht="30.0" customHeight="1">
      <c r="AG279" s="5"/>
      <c r="AH279" s="5"/>
      <c r="AI279" s="5"/>
    </row>
    <row r="280" ht="30.0" customHeight="1">
      <c r="AG280" s="5"/>
      <c r="AH280" s="5"/>
      <c r="AI280" s="5"/>
    </row>
    <row r="281" ht="30.0" customHeight="1">
      <c r="AG281" s="5"/>
      <c r="AH281" s="5"/>
      <c r="AI281" s="5"/>
    </row>
    <row r="282" ht="30.0" customHeight="1">
      <c r="AG282" s="5"/>
      <c r="AH282" s="5"/>
      <c r="AI282" s="5"/>
    </row>
    <row r="283" ht="30.0" customHeight="1">
      <c r="AG283" s="5"/>
      <c r="AH283" s="5"/>
      <c r="AI283" s="5"/>
    </row>
    <row r="284" ht="30.0" customHeight="1">
      <c r="AG284" s="5"/>
      <c r="AH284" s="5"/>
      <c r="AI284" s="5"/>
    </row>
    <row r="285" ht="30.0" customHeight="1">
      <c r="AG285" s="5"/>
      <c r="AH285" s="5"/>
      <c r="AI285" s="5"/>
    </row>
    <row r="286" ht="30.0" customHeight="1">
      <c r="AG286" s="5"/>
      <c r="AH286" s="5"/>
      <c r="AI286" s="5"/>
    </row>
    <row r="287" ht="30.0" customHeight="1">
      <c r="AG287" s="5"/>
      <c r="AH287" s="5"/>
      <c r="AI287" s="5"/>
    </row>
    <row r="288" ht="30.0" customHeight="1">
      <c r="AG288" s="5"/>
      <c r="AH288" s="5"/>
      <c r="AI288" s="5"/>
    </row>
    <row r="289" ht="30.0" customHeight="1">
      <c r="AG289" s="5"/>
      <c r="AH289" s="5"/>
      <c r="AI289" s="5"/>
    </row>
    <row r="290" ht="30.0" customHeight="1">
      <c r="AG290" s="5"/>
      <c r="AH290" s="5"/>
      <c r="AI290" s="5"/>
    </row>
    <row r="291" ht="30.0" customHeight="1">
      <c r="AG291" s="5"/>
      <c r="AH291" s="5"/>
      <c r="AI291" s="5"/>
    </row>
    <row r="292" ht="30.0" customHeight="1">
      <c r="AG292" s="5"/>
      <c r="AH292" s="5"/>
      <c r="AI292" s="5"/>
    </row>
    <row r="293" ht="30.0" customHeight="1">
      <c r="AG293" s="5"/>
      <c r="AH293" s="5"/>
      <c r="AI293" s="5"/>
    </row>
    <row r="294" ht="30.0" customHeight="1">
      <c r="AG294" s="5"/>
      <c r="AH294" s="5"/>
      <c r="AI294" s="5"/>
    </row>
    <row r="295" ht="30.0" customHeight="1">
      <c r="AG295" s="5"/>
      <c r="AH295" s="5"/>
      <c r="AI295" s="5"/>
    </row>
    <row r="296" ht="30.0" customHeight="1">
      <c r="AG296" s="5"/>
      <c r="AH296" s="5"/>
      <c r="AI296" s="5"/>
    </row>
    <row r="297" ht="30.0" customHeight="1">
      <c r="AG297" s="5"/>
      <c r="AH297" s="5"/>
      <c r="AI297" s="5"/>
    </row>
    <row r="298" ht="30.0" customHeight="1">
      <c r="AG298" s="5"/>
      <c r="AH298" s="5"/>
      <c r="AI298" s="5"/>
    </row>
    <row r="299" ht="30.0" customHeight="1">
      <c r="AG299" s="5"/>
      <c r="AH299" s="5"/>
      <c r="AI299" s="5"/>
    </row>
    <row r="300" ht="30.0" customHeight="1">
      <c r="AG300" s="5"/>
      <c r="AH300" s="5"/>
      <c r="AI300" s="5"/>
    </row>
    <row r="301" ht="30.0" customHeight="1">
      <c r="AG301" s="5"/>
      <c r="AH301" s="5"/>
      <c r="AI301" s="5"/>
    </row>
    <row r="302" ht="30.0" customHeight="1">
      <c r="AG302" s="5"/>
      <c r="AH302" s="5"/>
      <c r="AI302" s="5"/>
    </row>
    <row r="303" ht="30.0" customHeight="1">
      <c r="AG303" s="5"/>
      <c r="AH303" s="5"/>
      <c r="AI303" s="5"/>
    </row>
    <row r="304" ht="30.0" customHeight="1">
      <c r="AG304" s="5"/>
      <c r="AH304" s="5"/>
      <c r="AI304" s="5"/>
    </row>
    <row r="305" ht="30.0" customHeight="1">
      <c r="AG305" s="5"/>
      <c r="AH305" s="5"/>
      <c r="AI305" s="5"/>
    </row>
    <row r="306" ht="30.0" customHeight="1">
      <c r="AG306" s="5"/>
      <c r="AH306" s="5"/>
      <c r="AI306" s="5"/>
    </row>
    <row r="307" ht="30.0" customHeight="1">
      <c r="AG307" s="5"/>
      <c r="AH307" s="5"/>
      <c r="AI307" s="5"/>
    </row>
    <row r="308" ht="30.0" customHeight="1">
      <c r="AG308" s="5"/>
      <c r="AH308" s="5"/>
      <c r="AI308" s="5"/>
    </row>
    <row r="309" ht="30.0" customHeight="1">
      <c r="AG309" s="5"/>
      <c r="AH309" s="5"/>
      <c r="AI309" s="5"/>
    </row>
    <row r="310" ht="30.0" customHeight="1">
      <c r="AG310" s="5"/>
      <c r="AH310" s="5"/>
      <c r="AI310" s="5"/>
    </row>
    <row r="311" ht="30.0" customHeight="1">
      <c r="AG311" s="5"/>
      <c r="AH311" s="5"/>
      <c r="AI311" s="5"/>
    </row>
    <row r="312" ht="30.0" customHeight="1">
      <c r="AG312" s="5"/>
      <c r="AH312" s="5"/>
      <c r="AI312" s="5"/>
    </row>
    <row r="313" ht="30.0" customHeight="1">
      <c r="AG313" s="5"/>
      <c r="AH313" s="5"/>
      <c r="AI313" s="5"/>
    </row>
    <row r="314" ht="30.0" customHeight="1">
      <c r="AG314" s="5"/>
      <c r="AH314" s="5"/>
      <c r="AI314" s="5"/>
    </row>
    <row r="315" ht="30.0" customHeight="1">
      <c r="AG315" s="5"/>
      <c r="AH315" s="5"/>
      <c r="AI315" s="5"/>
    </row>
    <row r="316" ht="30.0" customHeight="1">
      <c r="AG316" s="5"/>
      <c r="AH316" s="5"/>
      <c r="AI316" s="5"/>
    </row>
    <row r="317" ht="30.0" customHeight="1">
      <c r="AG317" s="5"/>
      <c r="AH317" s="5"/>
      <c r="AI317" s="5"/>
    </row>
    <row r="318" ht="30.0" customHeight="1">
      <c r="AG318" s="5"/>
      <c r="AH318" s="5"/>
      <c r="AI318" s="5"/>
    </row>
    <row r="319" ht="30.0" customHeight="1">
      <c r="AG319" s="5"/>
      <c r="AH319" s="5"/>
      <c r="AI319" s="5"/>
    </row>
    <row r="320" ht="30.0" customHeight="1">
      <c r="AG320" s="5"/>
      <c r="AH320" s="5"/>
      <c r="AI320" s="5"/>
    </row>
    <row r="321" ht="30.0" customHeight="1">
      <c r="AG321" s="5"/>
      <c r="AH321" s="5"/>
      <c r="AI321" s="5"/>
    </row>
    <row r="322" ht="30.0" customHeight="1">
      <c r="AG322" s="5"/>
      <c r="AH322" s="5"/>
      <c r="AI322" s="5"/>
    </row>
    <row r="323" ht="30.0" customHeight="1">
      <c r="AG323" s="5"/>
      <c r="AH323" s="5"/>
      <c r="AI323" s="5"/>
    </row>
    <row r="324" ht="30.0" customHeight="1">
      <c r="AG324" s="5"/>
      <c r="AH324" s="5"/>
      <c r="AI324" s="5"/>
    </row>
    <row r="325" ht="30.0" customHeight="1">
      <c r="AG325" s="5"/>
      <c r="AH325" s="5"/>
      <c r="AI325" s="5"/>
    </row>
    <row r="326" ht="30.0" customHeight="1">
      <c r="AG326" s="5"/>
      <c r="AH326" s="5"/>
      <c r="AI326" s="5"/>
    </row>
    <row r="327" ht="30.0" customHeight="1">
      <c r="AG327" s="5"/>
      <c r="AH327" s="5"/>
      <c r="AI327" s="5"/>
    </row>
    <row r="328" ht="30.0" customHeight="1">
      <c r="AG328" s="5"/>
      <c r="AH328" s="5"/>
      <c r="AI328" s="5"/>
    </row>
    <row r="329" ht="30.0" customHeight="1">
      <c r="AG329" s="5"/>
      <c r="AH329" s="5"/>
      <c r="AI329" s="5"/>
    </row>
    <row r="330" ht="30.0" customHeight="1">
      <c r="AG330" s="5"/>
      <c r="AH330" s="5"/>
      <c r="AI330" s="5"/>
    </row>
    <row r="331" ht="30.0" customHeight="1">
      <c r="AG331" s="5"/>
      <c r="AH331" s="5"/>
      <c r="AI331" s="5"/>
    </row>
    <row r="332" ht="30.0" customHeight="1">
      <c r="AG332" s="5"/>
      <c r="AH332" s="5"/>
      <c r="AI332" s="5"/>
    </row>
    <row r="333" ht="30.0" customHeight="1">
      <c r="AG333" s="5"/>
      <c r="AH333" s="5"/>
      <c r="AI333" s="5"/>
    </row>
    <row r="334" ht="30.0" customHeight="1">
      <c r="AG334" s="5"/>
      <c r="AH334" s="5"/>
      <c r="AI334" s="5"/>
    </row>
    <row r="335" ht="30.0" customHeight="1">
      <c r="AG335" s="5"/>
      <c r="AH335" s="5"/>
      <c r="AI335" s="5"/>
    </row>
    <row r="336" ht="30.0" customHeight="1">
      <c r="AG336" s="5"/>
      <c r="AH336" s="5"/>
      <c r="AI336" s="5"/>
    </row>
    <row r="337" ht="30.0" customHeight="1">
      <c r="AG337" s="5"/>
      <c r="AH337" s="5"/>
      <c r="AI337" s="5"/>
    </row>
    <row r="338" ht="30.0" customHeight="1">
      <c r="AG338" s="5"/>
      <c r="AH338" s="5"/>
      <c r="AI338" s="5"/>
    </row>
    <row r="339" ht="30.0" customHeight="1">
      <c r="AG339" s="5"/>
      <c r="AH339" s="5"/>
      <c r="AI339" s="5"/>
    </row>
    <row r="340" ht="30.0" customHeight="1">
      <c r="AG340" s="5"/>
      <c r="AH340" s="5"/>
      <c r="AI340" s="5"/>
    </row>
    <row r="341" ht="30.0" customHeight="1">
      <c r="AG341" s="5"/>
      <c r="AH341" s="5"/>
      <c r="AI341" s="5"/>
    </row>
    <row r="342" ht="30.0" customHeight="1">
      <c r="AG342" s="5"/>
      <c r="AH342" s="5"/>
      <c r="AI342" s="5"/>
    </row>
    <row r="343" ht="30.0" customHeight="1">
      <c r="AG343" s="5"/>
      <c r="AH343" s="5"/>
      <c r="AI343" s="5"/>
    </row>
    <row r="344" ht="30.0" customHeight="1">
      <c r="AG344" s="5"/>
      <c r="AH344" s="5"/>
      <c r="AI344" s="5"/>
    </row>
    <row r="345" ht="30.0" customHeight="1">
      <c r="AG345" s="5"/>
      <c r="AH345" s="5"/>
      <c r="AI345" s="5"/>
    </row>
    <row r="346" ht="30.0" customHeight="1">
      <c r="AG346" s="5"/>
      <c r="AH346" s="5"/>
      <c r="AI346" s="5"/>
    </row>
    <row r="347" ht="30.0" customHeight="1">
      <c r="AG347" s="5"/>
      <c r="AH347" s="5"/>
      <c r="AI347" s="5"/>
    </row>
    <row r="348" ht="30.0" customHeight="1">
      <c r="AG348" s="5"/>
      <c r="AH348" s="5"/>
      <c r="AI348" s="5"/>
    </row>
    <row r="349" ht="30.0" customHeight="1">
      <c r="AG349" s="5"/>
      <c r="AH349" s="5"/>
      <c r="AI349" s="5"/>
    </row>
    <row r="350" ht="30.0" customHeight="1">
      <c r="AG350" s="5"/>
      <c r="AH350" s="5"/>
      <c r="AI350" s="5"/>
    </row>
    <row r="351" ht="30.0" customHeight="1">
      <c r="AG351" s="5"/>
      <c r="AH351" s="5"/>
      <c r="AI351" s="5"/>
    </row>
    <row r="352" ht="30.0" customHeight="1">
      <c r="AG352" s="5"/>
      <c r="AH352" s="5"/>
      <c r="AI352" s="5"/>
    </row>
    <row r="353" ht="30.0" customHeight="1">
      <c r="AG353" s="5"/>
      <c r="AH353" s="5"/>
      <c r="AI353" s="5"/>
    </row>
    <row r="354" ht="30.0" customHeight="1">
      <c r="AG354" s="5"/>
      <c r="AH354" s="5"/>
      <c r="AI354" s="5"/>
    </row>
    <row r="355" ht="30.0" customHeight="1">
      <c r="AG355" s="5"/>
      <c r="AH355" s="5"/>
      <c r="AI355" s="5"/>
    </row>
    <row r="356" ht="30.0" customHeight="1">
      <c r="AG356" s="5"/>
      <c r="AH356" s="5"/>
      <c r="AI356" s="5"/>
    </row>
    <row r="357" ht="30.0" customHeight="1">
      <c r="AG357" s="5"/>
      <c r="AH357" s="5"/>
      <c r="AI357" s="5"/>
    </row>
    <row r="358" ht="30.0" customHeight="1">
      <c r="AG358" s="5"/>
      <c r="AH358" s="5"/>
      <c r="AI358" s="5"/>
    </row>
    <row r="359" ht="30.0" customHeight="1">
      <c r="AG359" s="5"/>
      <c r="AH359" s="5"/>
      <c r="AI359" s="5"/>
    </row>
    <row r="360" ht="30.0" customHeight="1">
      <c r="AG360" s="5"/>
      <c r="AH360" s="5"/>
      <c r="AI360" s="5"/>
    </row>
    <row r="361" ht="30.0" customHeight="1">
      <c r="AG361" s="5"/>
      <c r="AH361" s="5"/>
      <c r="AI361" s="5"/>
    </row>
    <row r="362" ht="30.0" customHeight="1">
      <c r="AG362" s="5"/>
      <c r="AH362" s="5"/>
      <c r="AI362" s="5"/>
    </row>
    <row r="363" ht="30.0" customHeight="1">
      <c r="AG363" s="5"/>
      <c r="AH363" s="5"/>
      <c r="AI363" s="5"/>
    </row>
    <row r="364" ht="30.0" customHeight="1">
      <c r="AG364" s="5"/>
      <c r="AH364" s="5"/>
      <c r="AI364" s="5"/>
    </row>
    <row r="365" ht="30.0" customHeight="1">
      <c r="AG365" s="5"/>
      <c r="AH365" s="5"/>
      <c r="AI365" s="5"/>
    </row>
    <row r="366" ht="30.0" customHeight="1">
      <c r="AG366" s="5"/>
      <c r="AH366" s="5"/>
      <c r="AI366" s="5"/>
    </row>
    <row r="367" ht="30.0" customHeight="1">
      <c r="AG367" s="5"/>
      <c r="AH367" s="5"/>
      <c r="AI367" s="5"/>
    </row>
    <row r="368" ht="30.0" customHeight="1">
      <c r="AG368" s="5"/>
      <c r="AH368" s="5"/>
      <c r="AI368" s="5"/>
    </row>
    <row r="369" ht="30.0" customHeight="1">
      <c r="AG369" s="5"/>
      <c r="AH369" s="5"/>
      <c r="AI369" s="5"/>
    </row>
    <row r="370" ht="30.0" customHeight="1">
      <c r="AG370" s="5"/>
      <c r="AH370" s="5"/>
      <c r="AI370" s="5"/>
    </row>
    <row r="371" ht="30.0" customHeight="1">
      <c r="AG371" s="5"/>
      <c r="AH371" s="5"/>
      <c r="AI371" s="5"/>
    </row>
    <row r="372" ht="30.0" customHeight="1">
      <c r="AG372" s="5"/>
      <c r="AH372" s="5"/>
      <c r="AI372" s="5"/>
    </row>
    <row r="373" ht="30.0" customHeight="1">
      <c r="AG373" s="5"/>
      <c r="AH373" s="5"/>
      <c r="AI373" s="5"/>
    </row>
    <row r="374" ht="30.0" customHeight="1">
      <c r="AG374" s="5"/>
      <c r="AH374" s="5"/>
      <c r="AI374" s="5"/>
    </row>
    <row r="375" ht="30.0" customHeight="1">
      <c r="AG375" s="5"/>
      <c r="AH375" s="5"/>
      <c r="AI375" s="5"/>
    </row>
    <row r="376" ht="30.0" customHeight="1">
      <c r="AG376" s="5"/>
      <c r="AH376" s="5"/>
      <c r="AI376" s="5"/>
    </row>
    <row r="377" ht="30.0" customHeight="1">
      <c r="AG377" s="5"/>
      <c r="AH377" s="5"/>
      <c r="AI377" s="5"/>
    </row>
    <row r="378" ht="30.0" customHeight="1">
      <c r="AG378" s="5"/>
      <c r="AH378" s="5"/>
      <c r="AI378" s="5"/>
    </row>
    <row r="379" ht="30.0" customHeight="1">
      <c r="AG379" s="5"/>
      <c r="AH379" s="5"/>
      <c r="AI379" s="5"/>
    </row>
    <row r="380" ht="30.0" customHeight="1">
      <c r="AG380" s="5"/>
      <c r="AH380" s="5"/>
      <c r="AI380" s="5"/>
    </row>
    <row r="381" ht="30.0" customHeight="1">
      <c r="AG381" s="5"/>
      <c r="AH381" s="5"/>
      <c r="AI381" s="5"/>
    </row>
    <row r="382" ht="30.0" customHeight="1">
      <c r="AG382" s="5"/>
      <c r="AH382" s="5"/>
      <c r="AI382" s="5"/>
    </row>
    <row r="383" ht="30.0" customHeight="1">
      <c r="AG383" s="5"/>
      <c r="AH383" s="5"/>
      <c r="AI383" s="5"/>
    </row>
    <row r="384" ht="30.0" customHeight="1">
      <c r="AG384" s="5"/>
      <c r="AH384" s="5"/>
      <c r="AI384" s="5"/>
    </row>
    <row r="385" ht="30.0" customHeight="1">
      <c r="AG385" s="5"/>
      <c r="AH385" s="5"/>
      <c r="AI385" s="5"/>
    </row>
    <row r="386" ht="30.0" customHeight="1">
      <c r="AG386" s="5"/>
      <c r="AH386" s="5"/>
      <c r="AI386" s="5"/>
    </row>
    <row r="387" ht="30.0" customHeight="1">
      <c r="AG387" s="5"/>
      <c r="AH387" s="5"/>
      <c r="AI387" s="5"/>
    </row>
    <row r="388" ht="30.0" customHeight="1">
      <c r="AG388" s="5"/>
      <c r="AH388" s="5"/>
      <c r="AI388" s="5"/>
    </row>
    <row r="389" ht="30.0" customHeight="1">
      <c r="AG389" s="5"/>
      <c r="AH389" s="5"/>
      <c r="AI389" s="5"/>
    </row>
    <row r="390" ht="30.0" customHeight="1">
      <c r="AG390" s="5"/>
      <c r="AH390" s="5"/>
      <c r="AI390" s="5"/>
    </row>
    <row r="391" ht="30.0" customHeight="1">
      <c r="AG391" s="5"/>
      <c r="AH391" s="5"/>
      <c r="AI391" s="5"/>
    </row>
    <row r="392" ht="30.0" customHeight="1">
      <c r="AG392" s="5"/>
      <c r="AH392" s="5"/>
      <c r="AI392" s="5"/>
    </row>
    <row r="393" ht="30.0" customHeight="1">
      <c r="AG393" s="5"/>
      <c r="AH393" s="5"/>
      <c r="AI393" s="5"/>
    </row>
    <row r="394" ht="30.0" customHeight="1">
      <c r="AG394" s="5"/>
      <c r="AH394" s="5"/>
      <c r="AI394" s="5"/>
    </row>
    <row r="395" ht="30.0" customHeight="1">
      <c r="AG395" s="5"/>
      <c r="AH395" s="5"/>
      <c r="AI395" s="5"/>
    </row>
    <row r="396" ht="30.0" customHeight="1">
      <c r="AG396" s="5"/>
      <c r="AH396" s="5"/>
      <c r="AI396" s="5"/>
    </row>
    <row r="397" ht="30.0" customHeight="1">
      <c r="AG397" s="5"/>
      <c r="AH397" s="5"/>
      <c r="AI397" s="5"/>
    </row>
    <row r="398" ht="30.0" customHeight="1">
      <c r="AG398" s="5"/>
      <c r="AH398" s="5"/>
      <c r="AI398" s="5"/>
    </row>
    <row r="399" ht="30.0" customHeight="1">
      <c r="AG399" s="5"/>
      <c r="AH399" s="5"/>
      <c r="AI399" s="5"/>
    </row>
    <row r="400" ht="30.0" customHeight="1">
      <c r="AG400" s="5"/>
      <c r="AH400" s="5"/>
      <c r="AI400" s="5"/>
    </row>
    <row r="401" ht="30.0" customHeight="1">
      <c r="AG401" s="5"/>
      <c r="AH401" s="5"/>
      <c r="AI401" s="5"/>
    </row>
    <row r="402" ht="30.0" customHeight="1">
      <c r="AG402" s="5"/>
      <c r="AH402" s="5"/>
      <c r="AI402" s="5"/>
    </row>
    <row r="403" ht="30.0" customHeight="1">
      <c r="AG403" s="5"/>
      <c r="AH403" s="5"/>
      <c r="AI403" s="5"/>
    </row>
    <row r="404" ht="30.0" customHeight="1">
      <c r="AG404" s="5"/>
      <c r="AH404" s="5"/>
      <c r="AI404" s="5"/>
    </row>
    <row r="405" ht="30.0" customHeight="1">
      <c r="AG405" s="5"/>
      <c r="AH405" s="5"/>
      <c r="AI405" s="5"/>
    </row>
    <row r="406" ht="30.0" customHeight="1">
      <c r="AG406" s="5"/>
      <c r="AH406" s="5"/>
      <c r="AI406" s="5"/>
    </row>
    <row r="407" ht="30.0" customHeight="1">
      <c r="AG407" s="5"/>
      <c r="AH407" s="5"/>
      <c r="AI407" s="5"/>
    </row>
    <row r="408" ht="30.0" customHeight="1">
      <c r="AG408" s="5"/>
      <c r="AH408" s="5"/>
      <c r="AI408" s="5"/>
    </row>
    <row r="409" ht="30.0" customHeight="1">
      <c r="AG409" s="5"/>
      <c r="AH409" s="5"/>
      <c r="AI409" s="5"/>
    </row>
    <row r="410" ht="30.0" customHeight="1">
      <c r="AG410" s="5"/>
      <c r="AH410" s="5"/>
      <c r="AI410" s="5"/>
    </row>
    <row r="411" ht="30.0" customHeight="1">
      <c r="AG411" s="5"/>
      <c r="AH411" s="5"/>
      <c r="AI411" s="5"/>
    </row>
    <row r="412" ht="30.0" customHeight="1">
      <c r="AG412" s="5"/>
      <c r="AH412" s="5"/>
      <c r="AI412" s="5"/>
    </row>
    <row r="413" ht="30.0" customHeight="1">
      <c r="AG413" s="5"/>
      <c r="AH413" s="5"/>
      <c r="AI413" s="5"/>
    </row>
    <row r="414" ht="30.0" customHeight="1">
      <c r="AG414" s="5"/>
      <c r="AH414" s="5"/>
      <c r="AI414" s="5"/>
    </row>
    <row r="415" ht="30.0" customHeight="1">
      <c r="AG415" s="5"/>
      <c r="AH415" s="5"/>
      <c r="AI415" s="5"/>
    </row>
    <row r="416" ht="30.0" customHeight="1">
      <c r="AG416" s="5"/>
      <c r="AH416" s="5"/>
      <c r="AI416" s="5"/>
    </row>
    <row r="417" ht="30.0" customHeight="1">
      <c r="AG417" s="5"/>
      <c r="AH417" s="5"/>
      <c r="AI417" s="5"/>
    </row>
    <row r="418" ht="30.0" customHeight="1">
      <c r="AG418" s="5"/>
      <c r="AH418" s="5"/>
      <c r="AI418" s="5"/>
    </row>
    <row r="419" ht="30.0" customHeight="1">
      <c r="AG419" s="5"/>
      <c r="AH419" s="5"/>
      <c r="AI419" s="5"/>
    </row>
    <row r="420" ht="30.0" customHeight="1">
      <c r="AG420" s="5"/>
      <c r="AH420" s="5"/>
      <c r="AI420" s="5"/>
    </row>
    <row r="421" ht="30.0" customHeight="1">
      <c r="AG421" s="5"/>
      <c r="AH421" s="5"/>
      <c r="AI421" s="5"/>
    </row>
    <row r="422" ht="30.0" customHeight="1">
      <c r="AG422" s="5"/>
      <c r="AH422" s="5"/>
      <c r="AI422" s="5"/>
    </row>
    <row r="423" ht="30.0" customHeight="1">
      <c r="AG423" s="5"/>
      <c r="AH423" s="5"/>
      <c r="AI423" s="5"/>
    </row>
    <row r="424" ht="30.0" customHeight="1">
      <c r="AG424" s="5"/>
      <c r="AH424" s="5"/>
      <c r="AI424" s="5"/>
    </row>
    <row r="425" ht="30.0" customHeight="1">
      <c r="AG425" s="5"/>
      <c r="AH425" s="5"/>
      <c r="AI425" s="5"/>
    </row>
    <row r="426" ht="30.0" customHeight="1">
      <c r="AG426" s="5"/>
      <c r="AH426" s="5"/>
      <c r="AI426" s="5"/>
    </row>
    <row r="427" ht="30.0" customHeight="1">
      <c r="AG427" s="5"/>
      <c r="AH427" s="5"/>
      <c r="AI427" s="5"/>
    </row>
    <row r="428" ht="30.0" customHeight="1">
      <c r="AG428" s="5"/>
      <c r="AH428" s="5"/>
      <c r="AI428" s="5"/>
    </row>
    <row r="429" ht="30.0" customHeight="1">
      <c r="AG429" s="5"/>
      <c r="AH429" s="5"/>
      <c r="AI429" s="5"/>
    </row>
    <row r="430" ht="30.0" customHeight="1">
      <c r="AG430" s="5"/>
      <c r="AH430" s="5"/>
      <c r="AI430" s="5"/>
    </row>
    <row r="431" ht="30.0" customHeight="1">
      <c r="AG431" s="5"/>
      <c r="AH431" s="5"/>
      <c r="AI431" s="5"/>
    </row>
    <row r="432" ht="30.0" customHeight="1">
      <c r="AG432" s="5"/>
      <c r="AH432" s="5"/>
      <c r="AI432" s="5"/>
    </row>
    <row r="433" ht="30.0" customHeight="1">
      <c r="AG433" s="5"/>
      <c r="AH433" s="5"/>
      <c r="AI433" s="5"/>
    </row>
    <row r="434" ht="30.0" customHeight="1">
      <c r="AG434" s="5"/>
      <c r="AH434" s="5"/>
      <c r="AI434" s="5"/>
    </row>
    <row r="435" ht="30.0" customHeight="1">
      <c r="AG435" s="5"/>
      <c r="AH435" s="5"/>
      <c r="AI435" s="5"/>
    </row>
    <row r="436" ht="30.0" customHeight="1">
      <c r="AG436" s="5"/>
      <c r="AH436" s="5"/>
      <c r="AI436" s="5"/>
    </row>
    <row r="437" ht="30.0" customHeight="1">
      <c r="AG437" s="5"/>
      <c r="AH437" s="5"/>
      <c r="AI437" s="5"/>
    </row>
    <row r="438" ht="30.0" customHeight="1">
      <c r="AG438" s="5"/>
      <c r="AH438" s="5"/>
      <c r="AI438" s="5"/>
    </row>
    <row r="439" ht="30.0" customHeight="1">
      <c r="AG439" s="5"/>
      <c r="AH439" s="5"/>
      <c r="AI439" s="5"/>
    </row>
    <row r="440" ht="30.0" customHeight="1">
      <c r="AG440" s="5"/>
      <c r="AH440" s="5"/>
      <c r="AI440" s="5"/>
    </row>
    <row r="441" ht="30.0" customHeight="1">
      <c r="AG441" s="5"/>
      <c r="AH441" s="5"/>
      <c r="AI441" s="5"/>
    </row>
    <row r="442" ht="30.0" customHeight="1">
      <c r="AG442" s="5"/>
      <c r="AH442" s="5"/>
      <c r="AI442" s="5"/>
    </row>
    <row r="443" ht="30.0" customHeight="1">
      <c r="AG443" s="5"/>
      <c r="AH443" s="5"/>
      <c r="AI443" s="5"/>
    </row>
    <row r="444" ht="30.0" customHeight="1">
      <c r="AG444" s="5"/>
      <c r="AH444" s="5"/>
      <c r="AI444" s="5"/>
    </row>
    <row r="445" ht="30.0" customHeight="1">
      <c r="AG445" s="5"/>
      <c r="AH445" s="5"/>
      <c r="AI445" s="5"/>
    </row>
    <row r="446" ht="30.0" customHeight="1">
      <c r="AG446" s="5"/>
      <c r="AH446" s="5"/>
      <c r="AI446" s="5"/>
    </row>
    <row r="447" ht="30.0" customHeight="1">
      <c r="AG447" s="5"/>
      <c r="AH447" s="5"/>
      <c r="AI447" s="5"/>
    </row>
    <row r="448" ht="30.0" customHeight="1">
      <c r="AG448" s="5"/>
      <c r="AH448" s="5"/>
      <c r="AI448" s="5"/>
    </row>
    <row r="449" ht="30.0" customHeight="1">
      <c r="AG449" s="5"/>
      <c r="AH449" s="5"/>
      <c r="AI449" s="5"/>
    </row>
    <row r="450" ht="30.0" customHeight="1">
      <c r="AG450" s="5"/>
      <c r="AH450" s="5"/>
      <c r="AI450" s="5"/>
    </row>
    <row r="451" ht="30.0" customHeight="1">
      <c r="AG451" s="5"/>
      <c r="AH451" s="5"/>
      <c r="AI451" s="5"/>
    </row>
    <row r="452" ht="30.0" customHeight="1">
      <c r="AG452" s="5"/>
      <c r="AH452" s="5"/>
      <c r="AI452" s="5"/>
    </row>
    <row r="453" ht="30.0" customHeight="1">
      <c r="AG453" s="5"/>
      <c r="AH453" s="5"/>
      <c r="AI453" s="5"/>
    </row>
    <row r="454" ht="30.0" customHeight="1">
      <c r="AG454" s="5"/>
      <c r="AH454" s="5"/>
      <c r="AI454" s="5"/>
    </row>
    <row r="455" ht="30.0" customHeight="1">
      <c r="AG455" s="5"/>
      <c r="AH455" s="5"/>
      <c r="AI455" s="5"/>
    </row>
    <row r="456" ht="30.0" customHeight="1">
      <c r="AG456" s="5"/>
      <c r="AH456" s="5"/>
      <c r="AI456" s="5"/>
    </row>
    <row r="457" ht="30.0" customHeight="1">
      <c r="AG457" s="5"/>
      <c r="AH457" s="5"/>
      <c r="AI457" s="5"/>
    </row>
    <row r="458" ht="30.0" customHeight="1">
      <c r="AG458" s="5"/>
      <c r="AH458" s="5"/>
      <c r="AI458" s="5"/>
    </row>
    <row r="459" ht="30.0" customHeight="1">
      <c r="AG459" s="5"/>
      <c r="AH459" s="5"/>
      <c r="AI459" s="5"/>
    </row>
    <row r="460" ht="30.0" customHeight="1">
      <c r="AG460" s="5"/>
      <c r="AH460" s="5"/>
      <c r="AI460" s="5"/>
    </row>
    <row r="461" ht="30.0" customHeight="1">
      <c r="AG461" s="5"/>
      <c r="AH461" s="5"/>
      <c r="AI461" s="5"/>
    </row>
    <row r="462" ht="30.0" customHeight="1">
      <c r="AG462" s="5"/>
      <c r="AH462" s="5"/>
      <c r="AI462" s="5"/>
    </row>
    <row r="463" ht="30.0" customHeight="1">
      <c r="AG463" s="5"/>
      <c r="AH463" s="5"/>
      <c r="AI463" s="5"/>
    </row>
    <row r="464" ht="30.0" customHeight="1">
      <c r="AG464" s="5"/>
      <c r="AH464" s="5"/>
      <c r="AI464" s="5"/>
    </row>
    <row r="465" ht="30.0" customHeight="1">
      <c r="AG465" s="5"/>
      <c r="AH465" s="5"/>
      <c r="AI465" s="5"/>
    </row>
    <row r="466" ht="30.0" customHeight="1">
      <c r="AG466" s="5"/>
      <c r="AH466" s="5"/>
      <c r="AI466" s="5"/>
    </row>
    <row r="467" ht="30.0" customHeight="1">
      <c r="AG467" s="5"/>
      <c r="AH467" s="5"/>
      <c r="AI467" s="5"/>
    </row>
    <row r="468" ht="30.0" customHeight="1">
      <c r="AG468" s="5"/>
      <c r="AH468" s="5"/>
      <c r="AI468" s="5"/>
    </row>
    <row r="469" ht="30.0" customHeight="1">
      <c r="AG469" s="5"/>
      <c r="AH469" s="5"/>
      <c r="AI469" s="5"/>
    </row>
    <row r="470" ht="30.0" customHeight="1">
      <c r="AG470" s="5"/>
      <c r="AH470" s="5"/>
      <c r="AI470" s="5"/>
    </row>
    <row r="471" ht="30.0" customHeight="1">
      <c r="AG471" s="5"/>
      <c r="AH471" s="5"/>
      <c r="AI471" s="5"/>
    </row>
    <row r="472" ht="30.0" customHeight="1">
      <c r="AG472" s="5"/>
      <c r="AH472" s="5"/>
      <c r="AI472" s="5"/>
    </row>
    <row r="473" ht="30.0" customHeight="1">
      <c r="AG473" s="5"/>
      <c r="AH473" s="5"/>
      <c r="AI473" s="5"/>
    </row>
    <row r="474" ht="30.0" customHeight="1">
      <c r="AG474" s="5"/>
      <c r="AH474" s="5"/>
      <c r="AI474" s="5"/>
    </row>
    <row r="475" ht="30.0" customHeight="1">
      <c r="AG475" s="5"/>
      <c r="AH475" s="5"/>
      <c r="AI475" s="5"/>
    </row>
    <row r="476" ht="30.0" customHeight="1">
      <c r="AG476" s="5"/>
      <c r="AH476" s="5"/>
      <c r="AI476" s="5"/>
    </row>
    <row r="477" ht="30.0" customHeight="1">
      <c r="AG477" s="5"/>
      <c r="AH477" s="5"/>
      <c r="AI477" s="5"/>
    </row>
    <row r="478" ht="30.0" customHeight="1">
      <c r="AG478" s="5"/>
      <c r="AH478" s="5"/>
      <c r="AI478" s="5"/>
    </row>
    <row r="479" ht="30.0" customHeight="1">
      <c r="AG479" s="5"/>
      <c r="AH479" s="5"/>
      <c r="AI479" s="5"/>
    </row>
    <row r="480" ht="30.0" customHeight="1">
      <c r="AG480" s="5"/>
      <c r="AH480" s="5"/>
      <c r="AI480" s="5"/>
    </row>
    <row r="481" ht="30.0" customHeight="1">
      <c r="AG481" s="5"/>
      <c r="AH481" s="5"/>
      <c r="AI481" s="5"/>
    </row>
    <row r="482" ht="30.0" customHeight="1">
      <c r="AG482" s="5"/>
      <c r="AH482" s="5"/>
      <c r="AI482" s="5"/>
    </row>
    <row r="483" ht="30.0" customHeight="1">
      <c r="AG483" s="5"/>
      <c r="AH483" s="5"/>
      <c r="AI483" s="5"/>
    </row>
    <row r="484" ht="30.0" customHeight="1">
      <c r="AG484" s="5"/>
      <c r="AH484" s="5"/>
      <c r="AI484" s="5"/>
    </row>
    <row r="485" ht="30.0" customHeight="1">
      <c r="AG485" s="5"/>
      <c r="AH485" s="5"/>
      <c r="AI485" s="5"/>
    </row>
    <row r="486" ht="30.0" customHeight="1">
      <c r="AG486" s="5"/>
      <c r="AH486" s="5"/>
      <c r="AI486" s="5"/>
    </row>
    <row r="487" ht="30.0" customHeight="1">
      <c r="AG487" s="5"/>
      <c r="AH487" s="5"/>
      <c r="AI487" s="5"/>
    </row>
    <row r="488" ht="30.0" customHeight="1">
      <c r="AG488" s="5"/>
      <c r="AH488" s="5"/>
      <c r="AI488" s="5"/>
    </row>
    <row r="489" ht="30.0" customHeight="1">
      <c r="AG489" s="5"/>
      <c r="AH489" s="5"/>
      <c r="AI489" s="5"/>
    </row>
    <row r="490" ht="30.0" customHeight="1">
      <c r="AG490" s="5"/>
      <c r="AH490" s="5"/>
      <c r="AI490" s="5"/>
    </row>
    <row r="491" ht="30.0" customHeight="1">
      <c r="AG491" s="5"/>
      <c r="AH491" s="5"/>
      <c r="AI491" s="5"/>
    </row>
    <row r="492" ht="30.0" customHeight="1">
      <c r="AG492" s="5"/>
      <c r="AH492" s="5"/>
      <c r="AI492" s="5"/>
    </row>
    <row r="493" ht="30.0" customHeight="1">
      <c r="AG493" s="5"/>
      <c r="AH493" s="5"/>
      <c r="AI493" s="5"/>
    </row>
    <row r="494" ht="30.0" customHeight="1">
      <c r="AG494" s="5"/>
      <c r="AH494" s="5"/>
      <c r="AI494" s="5"/>
    </row>
    <row r="495" ht="30.0" customHeight="1">
      <c r="AG495" s="5"/>
      <c r="AH495" s="5"/>
      <c r="AI495" s="5"/>
    </row>
    <row r="496" ht="30.0" customHeight="1">
      <c r="AG496" s="5"/>
      <c r="AH496" s="5"/>
      <c r="AI496" s="5"/>
    </row>
    <row r="497" ht="30.0" customHeight="1">
      <c r="AG497" s="5"/>
      <c r="AH497" s="5"/>
      <c r="AI497" s="5"/>
    </row>
    <row r="498" ht="30.0" customHeight="1">
      <c r="AG498" s="5"/>
      <c r="AH498" s="5"/>
      <c r="AI498" s="5"/>
    </row>
    <row r="499" ht="30.0" customHeight="1">
      <c r="AG499" s="5"/>
      <c r="AH499" s="5"/>
      <c r="AI499" s="5"/>
    </row>
    <row r="500" ht="30.0" customHeight="1">
      <c r="AG500" s="5"/>
      <c r="AH500" s="5"/>
      <c r="AI500" s="5"/>
    </row>
    <row r="501" ht="30.0" customHeight="1">
      <c r="AG501" s="5"/>
      <c r="AH501" s="5"/>
      <c r="AI501" s="5"/>
    </row>
    <row r="502" ht="30.0" customHeight="1">
      <c r="AG502" s="5"/>
      <c r="AH502" s="5"/>
      <c r="AI502" s="5"/>
    </row>
    <row r="503" ht="30.0" customHeight="1">
      <c r="AG503" s="5"/>
      <c r="AH503" s="5"/>
      <c r="AI503" s="5"/>
    </row>
    <row r="504" ht="30.0" customHeight="1">
      <c r="AG504" s="5"/>
      <c r="AH504" s="5"/>
      <c r="AI504" s="5"/>
    </row>
    <row r="505" ht="30.0" customHeight="1">
      <c r="AG505" s="5"/>
      <c r="AH505" s="5"/>
      <c r="AI505" s="5"/>
    </row>
    <row r="506" ht="30.0" customHeight="1">
      <c r="AG506" s="5"/>
      <c r="AH506" s="5"/>
      <c r="AI506" s="5"/>
    </row>
    <row r="507" ht="30.0" customHeight="1">
      <c r="AG507" s="5"/>
      <c r="AH507" s="5"/>
      <c r="AI507" s="5"/>
    </row>
    <row r="508" ht="30.0" customHeight="1">
      <c r="AG508" s="5"/>
      <c r="AH508" s="5"/>
      <c r="AI508" s="5"/>
    </row>
    <row r="509" ht="30.0" customHeight="1">
      <c r="AG509" s="5"/>
      <c r="AH509" s="5"/>
      <c r="AI509" s="5"/>
    </row>
    <row r="510" ht="30.0" customHeight="1">
      <c r="AG510" s="5"/>
      <c r="AH510" s="5"/>
      <c r="AI510" s="5"/>
    </row>
    <row r="511" ht="30.0" customHeight="1">
      <c r="AG511" s="5"/>
      <c r="AH511" s="5"/>
      <c r="AI511" s="5"/>
    </row>
    <row r="512" ht="30.0" customHeight="1">
      <c r="AG512" s="5"/>
      <c r="AH512" s="5"/>
      <c r="AI512" s="5"/>
    </row>
    <row r="513" ht="30.0" customHeight="1">
      <c r="AG513" s="5"/>
      <c r="AH513" s="5"/>
      <c r="AI513" s="5"/>
    </row>
    <row r="514" ht="30.0" customHeight="1">
      <c r="AG514" s="5"/>
      <c r="AH514" s="5"/>
      <c r="AI514" s="5"/>
    </row>
    <row r="515" ht="30.0" customHeight="1">
      <c r="AG515" s="5"/>
      <c r="AH515" s="5"/>
      <c r="AI515" s="5"/>
    </row>
    <row r="516" ht="30.0" customHeight="1">
      <c r="AG516" s="5"/>
      <c r="AH516" s="5"/>
      <c r="AI516" s="5"/>
    </row>
    <row r="517" ht="30.0" customHeight="1">
      <c r="AG517" s="5"/>
      <c r="AH517" s="5"/>
      <c r="AI517" s="5"/>
    </row>
    <row r="518" ht="30.0" customHeight="1">
      <c r="AG518" s="5"/>
      <c r="AH518" s="5"/>
      <c r="AI518" s="5"/>
    </row>
    <row r="519" ht="30.0" customHeight="1">
      <c r="AG519" s="5"/>
      <c r="AH519" s="5"/>
      <c r="AI519" s="5"/>
    </row>
    <row r="520" ht="30.0" customHeight="1">
      <c r="AG520" s="5"/>
      <c r="AH520" s="5"/>
      <c r="AI520" s="5"/>
    </row>
    <row r="521" ht="30.0" customHeight="1">
      <c r="AG521" s="5"/>
      <c r="AH521" s="5"/>
      <c r="AI521" s="5"/>
    </row>
    <row r="522" ht="30.0" customHeight="1">
      <c r="AG522" s="5"/>
      <c r="AH522" s="5"/>
      <c r="AI522" s="5"/>
    </row>
    <row r="523" ht="30.0" customHeight="1">
      <c r="AG523" s="5"/>
      <c r="AH523" s="5"/>
      <c r="AI523" s="5"/>
    </row>
    <row r="524" ht="30.0" customHeight="1">
      <c r="AG524" s="5"/>
      <c r="AH524" s="5"/>
      <c r="AI524" s="5"/>
    </row>
    <row r="525" ht="30.0" customHeight="1">
      <c r="AG525" s="5"/>
      <c r="AH525" s="5"/>
      <c r="AI525" s="5"/>
    </row>
    <row r="526" ht="30.0" customHeight="1">
      <c r="AG526" s="5"/>
      <c r="AH526" s="5"/>
      <c r="AI526" s="5"/>
    </row>
    <row r="527" ht="30.0" customHeight="1">
      <c r="AG527" s="5"/>
      <c r="AH527" s="5"/>
      <c r="AI527" s="5"/>
    </row>
    <row r="528" ht="30.0" customHeight="1">
      <c r="AG528" s="5"/>
      <c r="AH528" s="5"/>
      <c r="AI528" s="5"/>
    </row>
    <row r="529" ht="30.0" customHeight="1">
      <c r="AG529" s="5"/>
      <c r="AH529" s="5"/>
      <c r="AI529" s="5"/>
    </row>
    <row r="530" ht="30.0" customHeight="1">
      <c r="AG530" s="5"/>
      <c r="AH530" s="5"/>
      <c r="AI530" s="5"/>
    </row>
    <row r="531" ht="30.0" customHeight="1">
      <c r="AG531" s="5"/>
      <c r="AH531" s="5"/>
      <c r="AI531" s="5"/>
    </row>
    <row r="532" ht="30.0" customHeight="1">
      <c r="AG532" s="5"/>
      <c r="AH532" s="5"/>
      <c r="AI532" s="5"/>
    </row>
    <row r="533" ht="30.0" customHeight="1">
      <c r="AG533" s="5"/>
      <c r="AH533" s="5"/>
      <c r="AI533" s="5"/>
    </row>
    <row r="534" ht="30.0" customHeight="1">
      <c r="AG534" s="5"/>
      <c r="AH534" s="5"/>
      <c r="AI534" s="5"/>
    </row>
    <row r="535" ht="30.0" customHeight="1">
      <c r="AG535" s="5"/>
      <c r="AH535" s="5"/>
      <c r="AI535" s="5"/>
    </row>
    <row r="536" ht="30.0" customHeight="1">
      <c r="AG536" s="5"/>
      <c r="AH536" s="5"/>
      <c r="AI536" s="5"/>
    </row>
    <row r="537" ht="30.0" customHeight="1">
      <c r="AG537" s="5"/>
      <c r="AH537" s="5"/>
      <c r="AI537" s="5"/>
    </row>
    <row r="538" ht="30.0" customHeight="1">
      <c r="AG538" s="5"/>
      <c r="AH538" s="5"/>
      <c r="AI538" s="5"/>
    </row>
    <row r="539" ht="30.0" customHeight="1">
      <c r="AG539" s="5"/>
      <c r="AH539" s="5"/>
      <c r="AI539" s="5"/>
    </row>
    <row r="540" ht="30.0" customHeight="1">
      <c r="AG540" s="5"/>
      <c r="AH540" s="5"/>
      <c r="AI540" s="5"/>
    </row>
    <row r="541" ht="30.0" customHeight="1">
      <c r="AG541" s="5"/>
      <c r="AH541" s="5"/>
      <c r="AI541" s="5"/>
    </row>
    <row r="542" ht="30.0" customHeight="1">
      <c r="AG542" s="5"/>
      <c r="AH542" s="5"/>
      <c r="AI542" s="5"/>
    </row>
    <row r="543" ht="30.0" customHeight="1">
      <c r="AG543" s="5"/>
      <c r="AH543" s="5"/>
      <c r="AI543" s="5"/>
    </row>
    <row r="544" ht="30.0" customHeight="1">
      <c r="AG544" s="5"/>
      <c r="AH544" s="5"/>
      <c r="AI544" s="5"/>
    </row>
    <row r="545" ht="30.0" customHeight="1">
      <c r="AG545" s="5"/>
      <c r="AH545" s="5"/>
      <c r="AI545" s="5"/>
    </row>
    <row r="546" ht="30.0" customHeight="1">
      <c r="AG546" s="5"/>
      <c r="AH546" s="5"/>
      <c r="AI546" s="5"/>
    </row>
    <row r="547" ht="30.0" customHeight="1">
      <c r="AG547" s="5"/>
      <c r="AH547" s="5"/>
      <c r="AI547" s="5"/>
    </row>
    <row r="548" ht="30.0" customHeight="1">
      <c r="AG548" s="5"/>
      <c r="AH548" s="5"/>
      <c r="AI548" s="5"/>
    </row>
    <row r="549" ht="30.0" customHeight="1">
      <c r="AG549" s="5"/>
      <c r="AH549" s="5"/>
      <c r="AI549" s="5"/>
    </row>
    <row r="550" ht="30.0" customHeight="1">
      <c r="AG550" s="5"/>
      <c r="AH550" s="5"/>
      <c r="AI550" s="5"/>
    </row>
    <row r="551" ht="30.0" customHeight="1">
      <c r="AG551" s="5"/>
      <c r="AH551" s="5"/>
      <c r="AI551" s="5"/>
    </row>
    <row r="552" ht="30.0" customHeight="1">
      <c r="AG552" s="5"/>
      <c r="AH552" s="5"/>
      <c r="AI552" s="5"/>
    </row>
    <row r="553" ht="30.0" customHeight="1">
      <c r="AG553" s="5"/>
      <c r="AH553" s="5"/>
      <c r="AI553" s="5"/>
    </row>
    <row r="554" ht="30.0" customHeight="1">
      <c r="AG554" s="5"/>
      <c r="AH554" s="5"/>
      <c r="AI554" s="5"/>
    </row>
    <row r="555" ht="30.0" customHeight="1">
      <c r="AG555" s="5"/>
      <c r="AH555" s="5"/>
      <c r="AI555" s="5"/>
    </row>
    <row r="556" ht="30.0" customHeight="1">
      <c r="AG556" s="5"/>
      <c r="AH556" s="5"/>
      <c r="AI556" s="5"/>
    </row>
    <row r="557" ht="30.0" customHeight="1">
      <c r="AG557" s="5"/>
      <c r="AH557" s="5"/>
      <c r="AI557" s="5"/>
    </row>
    <row r="558" ht="30.0" customHeight="1">
      <c r="AG558" s="5"/>
      <c r="AH558" s="5"/>
      <c r="AI558" s="5"/>
    </row>
    <row r="559" ht="30.0" customHeight="1">
      <c r="AG559" s="5"/>
      <c r="AH559" s="5"/>
      <c r="AI559" s="5"/>
    </row>
    <row r="560" ht="30.0" customHeight="1">
      <c r="AG560" s="5"/>
      <c r="AH560" s="5"/>
      <c r="AI560" s="5"/>
    </row>
    <row r="561" ht="30.0" customHeight="1">
      <c r="AG561" s="5"/>
      <c r="AH561" s="5"/>
      <c r="AI561" s="5"/>
    </row>
    <row r="562" ht="30.0" customHeight="1">
      <c r="AG562" s="5"/>
      <c r="AH562" s="5"/>
      <c r="AI562" s="5"/>
    </row>
    <row r="563" ht="30.0" customHeight="1">
      <c r="AG563" s="5"/>
      <c r="AH563" s="5"/>
      <c r="AI563" s="5"/>
    </row>
    <row r="564" ht="30.0" customHeight="1">
      <c r="AG564" s="5"/>
      <c r="AH564" s="5"/>
      <c r="AI564" s="5"/>
    </row>
    <row r="565" ht="30.0" customHeight="1">
      <c r="AG565" s="5"/>
      <c r="AH565" s="5"/>
      <c r="AI565" s="5"/>
    </row>
    <row r="566" ht="30.0" customHeight="1">
      <c r="AG566" s="5"/>
      <c r="AH566" s="5"/>
      <c r="AI566" s="5"/>
    </row>
    <row r="567" ht="30.0" customHeight="1">
      <c r="AG567" s="5"/>
      <c r="AH567" s="5"/>
      <c r="AI567" s="5"/>
    </row>
    <row r="568" ht="30.0" customHeight="1">
      <c r="AG568" s="5"/>
      <c r="AH568" s="5"/>
      <c r="AI568" s="5"/>
    </row>
    <row r="569" ht="30.0" customHeight="1">
      <c r="AG569" s="5"/>
      <c r="AH569" s="5"/>
      <c r="AI569" s="5"/>
    </row>
    <row r="570" ht="30.0" customHeight="1">
      <c r="AG570" s="5"/>
      <c r="AH570" s="5"/>
      <c r="AI570" s="5"/>
    </row>
    <row r="571" ht="30.0" customHeight="1">
      <c r="AG571" s="5"/>
      <c r="AH571" s="5"/>
      <c r="AI571" s="5"/>
    </row>
    <row r="572" ht="30.0" customHeight="1">
      <c r="AG572" s="5"/>
      <c r="AH572" s="5"/>
      <c r="AI572" s="5"/>
    </row>
    <row r="573" ht="30.0" customHeight="1">
      <c r="AG573" s="5"/>
      <c r="AH573" s="5"/>
      <c r="AI573" s="5"/>
    </row>
    <row r="574" ht="30.0" customHeight="1">
      <c r="AG574" s="5"/>
      <c r="AH574" s="5"/>
      <c r="AI574" s="5"/>
    </row>
    <row r="575" ht="30.0" customHeight="1">
      <c r="AG575" s="5"/>
      <c r="AH575" s="5"/>
      <c r="AI575" s="5"/>
    </row>
    <row r="576" ht="30.0" customHeight="1">
      <c r="AG576" s="5"/>
      <c r="AH576" s="5"/>
      <c r="AI576" s="5"/>
    </row>
    <row r="577" ht="30.0" customHeight="1">
      <c r="AG577" s="5"/>
      <c r="AH577" s="5"/>
      <c r="AI577" s="5"/>
    </row>
    <row r="578" ht="30.0" customHeight="1">
      <c r="AG578" s="5"/>
      <c r="AH578" s="5"/>
      <c r="AI578" s="5"/>
    </row>
    <row r="579" ht="30.0" customHeight="1">
      <c r="AG579" s="5"/>
      <c r="AH579" s="5"/>
      <c r="AI579" s="5"/>
    </row>
    <row r="580" ht="30.0" customHeight="1">
      <c r="AG580" s="5"/>
      <c r="AH580" s="5"/>
      <c r="AI580" s="5"/>
    </row>
    <row r="581" ht="30.0" customHeight="1">
      <c r="AG581" s="5"/>
      <c r="AH581" s="5"/>
      <c r="AI581" s="5"/>
    </row>
    <row r="582" ht="30.0" customHeight="1">
      <c r="AG582" s="5"/>
      <c r="AH582" s="5"/>
      <c r="AI582" s="5"/>
    </row>
    <row r="583" ht="30.0" customHeight="1">
      <c r="AG583" s="5"/>
      <c r="AH583" s="5"/>
      <c r="AI583" s="5"/>
    </row>
    <row r="584" ht="30.0" customHeight="1">
      <c r="AG584" s="5"/>
      <c r="AH584" s="5"/>
      <c r="AI584" s="5"/>
    </row>
    <row r="585" ht="30.0" customHeight="1">
      <c r="AG585" s="5"/>
      <c r="AH585" s="5"/>
      <c r="AI585" s="5"/>
    </row>
    <row r="586" ht="30.0" customHeight="1">
      <c r="AG586" s="5"/>
      <c r="AH586" s="5"/>
      <c r="AI586" s="5"/>
    </row>
    <row r="587" ht="30.0" customHeight="1">
      <c r="AG587" s="5"/>
      <c r="AH587" s="5"/>
      <c r="AI587" s="5"/>
    </row>
    <row r="588" ht="30.0" customHeight="1">
      <c r="AG588" s="5"/>
      <c r="AH588" s="5"/>
      <c r="AI588" s="5"/>
    </row>
    <row r="589" ht="30.0" customHeight="1">
      <c r="AG589" s="5"/>
      <c r="AH589" s="5"/>
      <c r="AI589" s="5"/>
    </row>
    <row r="590" ht="30.0" customHeight="1">
      <c r="AG590" s="5"/>
      <c r="AH590" s="5"/>
      <c r="AI590" s="5"/>
    </row>
    <row r="591" ht="30.0" customHeight="1">
      <c r="AG591" s="5"/>
      <c r="AH591" s="5"/>
      <c r="AI591" s="5"/>
    </row>
    <row r="592" ht="30.0" customHeight="1">
      <c r="AG592" s="5"/>
      <c r="AH592" s="5"/>
      <c r="AI592" s="5"/>
    </row>
    <row r="593" ht="30.0" customHeight="1">
      <c r="AG593" s="5"/>
      <c r="AH593" s="5"/>
      <c r="AI593" s="5"/>
    </row>
    <row r="594" ht="30.0" customHeight="1">
      <c r="AG594" s="5"/>
      <c r="AH594" s="5"/>
      <c r="AI594" s="5"/>
    </row>
    <row r="595" ht="30.0" customHeight="1">
      <c r="AG595" s="5"/>
      <c r="AH595" s="5"/>
      <c r="AI595" s="5"/>
    </row>
    <row r="596" ht="30.0" customHeight="1">
      <c r="AG596" s="5"/>
      <c r="AH596" s="5"/>
      <c r="AI596" s="5"/>
    </row>
    <row r="597" ht="30.0" customHeight="1">
      <c r="AG597" s="5"/>
      <c r="AH597" s="5"/>
      <c r="AI597" s="5"/>
    </row>
    <row r="598" ht="30.0" customHeight="1">
      <c r="AG598" s="5"/>
      <c r="AH598" s="5"/>
      <c r="AI598" s="5"/>
    </row>
    <row r="599" ht="30.0" customHeight="1">
      <c r="AG599" s="5"/>
      <c r="AH599" s="5"/>
      <c r="AI599" s="5"/>
    </row>
    <row r="600" ht="30.0" customHeight="1">
      <c r="AG600" s="5"/>
      <c r="AH600" s="5"/>
      <c r="AI600" s="5"/>
    </row>
    <row r="601" ht="30.0" customHeight="1">
      <c r="AG601" s="5"/>
      <c r="AH601" s="5"/>
      <c r="AI601" s="5"/>
    </row>
    <row r="602" ht="30.0" customHeight="1">
      <c r="AG602" s="5"/>
      <c r="AH602" s="5"/>
      <c r="AI602" s="5"/>
    </row>
    <row r="603" ht="30.0" customHeight="1">
      <c r="AG603" s="5"/>
      <c r="AH603" s="5"/>
      <c r="AI603" s="5"/>
    </row>
    <row r="604" ht="30.0" customHeight="1">
      <c r="AG604" s="5"/>
      <c r="AH604" s="5"/>
      <c r="AI604" s="5"/>
    </row>
    <row r="605" ht="30.0" customHeight="1">
      <c r="AG605" s="5"/>
      <c r="AH605" s="5"/>
      <c r="AI605" s="5"/>
    </row>
    <row r="606" ht="30.0" customHeight="1">
      <c r="AG606" s="5"/>
      <c r="AH606" s="5"/>
      <c r="AI606" s="5"/>
    </row>
    <row r="607" ht="30.0" customHeight="1">
      <c r="AG607" s="5"/>
      <c r="AH607" s="5"/>
      <c r="AI607" s="5"/>
    </row>
    <row r="608" ht="30.0" customHeight="1">
      <c r="AG608" s="5"/>
      <c r="AH608" s="5"/>
      <c r="AI608" s="5"/>
    </row>
    <row r="609" ht="30.0" customHeight="1">
      <c r="AG609" s="5"/>
      <c r="AH609" s="5"/>
      <c r="AI609" s="5"/>
    </row>
    <row r="610" ht="30.0" customHeight="1">
      <c r="AG610" s="5"/>
      <c r="AH610" s="5"/>
      <c r="AI610" s="5"/>
    </row>
    <row r="611" ht="30.0" customHeight="1">
      <c r="AG611" s="5"/>
      <c r="AH611" s="5"/>
      <c r="AI611" s="5"/>
    </row>
    <row r="612" ht="30.0" customHeight="1">
      <c r="AG612" s="5"/>
      <c r="AH612" s="5"/>
      <c r="AI612" s="5"/>
    </row>
    <row r="613" ht="30.0" customHeight="1">
      <c r="AG613" s="5"/>
      <c r="AH613" s="5"/>
      <c r="AI613" s="5"/>
    </row>
    <row r="614" ht="30.0" customHeight="1">
      <c r="AG614" s="5"/>
      <c r="AH614" s="5"/>
      <c r="AI614" s="5"/>
    </row>
    <row r="615" ht="30.0" customHeight="1">
      <c r="AG615" s="5"/>
      <c r="AH615" s="5"/>
      <c r="AI615" s="5"/>
    </row>
    <row r="616" ht="30.0" customHeight="1">
      <c r="AG616" s="5"/>
      <c r="AH616" s="5"/>
      <c r="AI616" s="5"/>
    </row>
    <row r="617" ht="30.0" customHeight="1">
      <c r="AG617" s="5"/>
      <c r="AH617" s="5"/>
      <c r="AI617" s="5"/>
    </row>
    <row r="618" ht="30.0" customHeight="1">
      <c r="AG618" s="5"/>
      <c r="AH618" s="5"/>
      <c r="AI618" s="5"/>
    </row>
    <row r="619" ht="30.0" customHeight="1">
      <c r="AG619" s="5"/>
      <c r="AH619" s="5"/>
      <c r="AI619" s="5"/>
    </row>
    <row r="620" ht="30.0" customHeight="1">
      <c r="AG620" s="5"/>
      <c r="AH620" s="5"/>
      <c r="AI620" s="5"/>
    </row>
    <row r="621" ht="30.0" customHeight="1">
      <c r="AG621" s="5"/>
      <c r="AH621" s="5"/>
      <c r="AI621" s="5"/>
    </row>
    <row r="622" ht="30.0" customHeight="1">
      <c r="AG622" s="5"/>
      <c r="AH622" s="5"/>
      <c r="AI622" s="5"/>
    </row>
    <row r="623" ht="30.0" customHeight="1">
      <c r="AG623" s="5"/>
      <c r="AH623" s="5"/>
      <c r="AI623" s="5"/>
    </row>
    <row r="624" ht="30.0" customHeight="1">
      <c r="AG624" s="5"/>
      <c r="AH624" s="5"/>
      <c r="AI624" s="5"/>
    </row>
    <row r="625" ht="30.0" customHeight="1">
      <c r="AG625" s="5"/>
      <c r="AH625" s="5"/>
      <c r="AI625" s="5"/>
    </row>
    <row r="626" ht="30.0" customHeight="1">
      <c r="AG626" s="5"/>
      <c r="AH626" s="5"/>
      <c r="AI626" s="5"/>
    </row>
    <row r="627" ht="30.0" customHeight="1">
      <c r="AG627" s="5"/>
      <c r="AH627" s="5"/>
      <c r="AI627" s="5"/>
    </row>
    <row r="628" ht="30.0" customHeight="1">
      <c r="AG628" s="5"/>
      <c r="AH628" s="5"/>
      <c r="AI628" s="5"/>
    </row>
    <row r="629" ht="30.0" customHeight="1">
      <c r="AG629" s="5"/>
      <c r="AH629" s="5"/>
      <c r="AI629" s="5"/>
    </row>
    <row r="630" ht="30.0" customHeight="1">
      <c r="AG630" s="5"/>
      <c r="AH630" s="5"/>
      <c r="AI630" s="5"/>
    </row>
    <row r="631" ht="30.0" customHeight="1">
      <c r="AG631" s="5"/>
      <c r="AH631" s="5"/>
      <c r="AI631" s="5"/>
    </row>
    <row r="632" ht="30.0" customHeight="1">
      <c r="AG632" s="5"/>
      <c r="AH632" s="5"/>
      <c r="AI632" s="5"/>
    </row>
    <row r="633" ht="30.0" customHeight="1">
      <c r="AG633" s="5"/>
      <c r="AH633" s="5"/>
      <c r="AI633" s="5"/>
    </row>
    <row r="634" ht="30.0" customHeight="1">
      <c r="AG634" s="5"/>
      <c r="AH634" s="5"/>
      <c r="AI634" s="5"/>
    </row>
    <row r="635" ht="30.0" customHeight="1">
      <c r="AG635" s="5"/>
      <c r="AH635" s="5"/>
      <c r="AI635" s="5"/>
    </row>
    <row r="636" ht="30.0" customHeight="1">
      <c r="AG636" s="5"/>
      <c r="AH636" s="5"/>
      <c r="AI636" s="5"/>
    </row>
    <row r="637" ht="30.0" customHeight="1">
      <c r="AG637" s="5"/>
      <c r="AH637" s="5"/>
      <c r="AI637" s="5"/>
    </row>
    <row r="638" ht="30.0" customHeight="1">
      <c r="AG638" s="5"/>
      <c r="AH638" s="5"/>
      <c r="AI638" s="5"/>
    </row>
    <row r="639" ht="30.0" customHeight="1">
      <c r="AG639" s="5"/>
      <c r="AH639" s="5"/>
      <c r="AI639" s="5"/>
    </row>
    <row r="640" ht="30.0" customHeight="1">
      <c r="AG640" s="5"/>
      <c r="AH640" s="5"/>
      <c r="AI640" s="5"/>
    </row>
    <row r="641" ht="30.0" customHeight="1">
      <c r="AG641" s="5"/>
      <c r="AH641" s="5"/>
      <c r="AI641" s="5"/>
    </row>
    <row r="642" ht="30.0" customHeight="1">
      <c r="AG642" s="5"/>
      <c r="AH642" s="5"/>
      <c r="AI642" s="5"/>
    </row>
    <row r="643" ht="30.0" customHeight="1">
      <c r="AG643" s="5"/>
      <c r="AH643" s="5"/>
      <c r="AI643" s="5"/>
    </row>
    <row r="644" ht="30.0" customHeight="1">
      <c r="AG644" s="5"/>
      <c r="AH644" s="5"/>
      <c r="AI644" s="5"/>
    </row>
    <row r="645" ht="30.0" customHeight="1">
      <c r="AG645" s="5"/>
      <c r="AH645" s="5"/>
      <c r="AI645" s="5"/>
    </row>
    <row r="646" ht="30.0" customHeight="1">
      <c r="AG646" s="5"/>
      <c r="AH646" s="5"/>
      <c r="AI646" s="5"/>
    </row>
    <row r="647" ht="30.0" customHeight="1">
      <c r="AG647" s="5"/>
      <c r="AH647" s="5"/>
      <c r="AI647" s="5"/>
    </row>
    <row r="648" ht="30.0" customHeight="1">
      <c r="AG648" s="5"/>
      <c r="AH648" s="5"/>
      <c r="AI648" s="5"/>
    </row>
    <row r="649" ht="30.0" customHeight="1">
      <c r="AG649" s="5"/>
      <c r="AH649" s="5"/>
      <c r="AI649" s="5"/>
    </row>
    <row r="650" ht="30.0" customHeight="1">
      <c r="AG650" s="5"/>
      <c r="AH650" s="5"/>
      <c r="AI650" s="5"/>
    </row>
    <row r="651" ht="30.0" customHeight="1">
      <c r="AG651" s="5"/>
      <c r="AH651" s="5"/>
      <c r="AI651" s="5"/>
    </row>
    <row r="652" ht="30.0" customHeight="1">
      <c r="AG652" s="5"/>
      <c r="AH652" s="5"/>
      <c r="AI652" s="5"/>
    </row>
    <row r="653" ht="30.0" customHeight="1">
      <c r="AG653" s="5"/>
      <c r="AH653" s="5"/>
      <c r="AI653" s="5"/>
    </row>
    <row r="654" ht="30.0" customHeight="1">
      <c r="AG654" s="5"/>
      <c r="AH654" s="5"/>
      <c r="AI654" s="5"/>
    </row>
    <row r="655" ht="30.0" customHeight="1">
      <c r="AG655" s="5"/>
      <c r="AH655" s="5"/>
      <c r="AI655" s="5"/>
    </row>
    <row r="656" ht="30.0" customHeight="1">
      <c r="AG656" s="5"/>
      <c r="AH656" s="5"/>
      <c r="AI656" s="5"/>
    </row>
    <row r="657" ht="30.0" customHeight="1">
      <c r="AG657" s="5"/>
      <c r="AH657" s="5"/>
      <c r="AI657" s="5"/>
    </row>
    <row r="658" ht="30.0" customHeight="1">
      <c r="AG658" s="5"/>
      <c r="AH658" s="5"/>
      <c r="AI658" s="5"/>
    </row>
    <row r="659" ht="30.0" customHeight="1">
      <c r="AG659" s="5"/>
      <c r="AH659" s="5"/>
      <c r="AI659" s="5"/>
    </row>
    <row r="660" ht="30.0" customHeight="1">
      <c r="AG660" s="5"/>
      <c r="AH660" s="5"/>
      <c r="AI660" s="5"/>
    </row>
    <row r="661" ht="30.0" customHeight="1">
      <c r="AG661" s="5"/>
      <c r="AH661" s="5"/>
      <c r="AI661" s="5"/>
    </row>
    <row r="662" ht="30.0" customHeight="1">
      <c r="AG662" s="5"/>
      <c r="AH662" s="5"/>
      <c r="AI662" s="5"/>
    </row>
    <row r="663" ht="30.0" customHeight="1">
      <c r="AG663" s="5"/>
      <c r="AH663" s="5"/>
      <c r="AI663" s="5"/>
    </row>
    <row r="664" ht="30.0" customHeight="1">
      <c r="AG664" s="5"/>
      <c r="AH664" s="5"/>
      <c r="AI664" s="5"/>
    </row>
    <row r="665" ht="30.0" customHeight="1">
      <c r="AG665" s="5"/>
      <c r="AH665" s="5"/>
      <c r="AI665" s="5"/>
    </row>
    <row r="666" ht="30.0" customHeight="1">
      <c r="AG666" s="5"/>
      <c r="AH666" s="5"/>
      <c r="AI666" s="5"/>
    </row>
    <row r="667" ht="30.0" customHeight="1">
      <c r="AG667" s="5"/>
      <c r="AH667" s="5"/>
      <c r="AI667" s="5"/>
    </row>
    <row r="668" ht="30.0" customHeight="1">
      <c r="AG668" s="5"/>
      <c r="AH668" s="5"/>
      <c r="AI668" s="5"/>
    </row>
    <row r="669" ht="30.0" customHeight="1">
      <c r="AG669" s="5"/>
      <c r="AH669" s="5"/>
      <c r="AI669" s="5"/>
    </row>
    <row r="670" ht="30.0" customHeight="1">
      <c r="AG670" s="5"/>
      <c r="AH670" s="5"/>
      <c r="AI670" s="5"/>
    </row>
    <row r="671" ht="30.0" customHeight="1">
      <c r="AG671" s="5"/>
      <c r="AH671" s="5"/>
      <c r="AI671" s="5"/>
    </row>
    <row r="672" ht="30.0" customHeight="1">
      <c r="AG672" s="5"/>
      <c r="AH672" s="5"/>
      <c r="AI672" s="5"/>
    </row>
    <row r="673" ht="30.0" customHeight="1">
      <c r="AG673" s="5"/>
      <c r="AH673" s="5"/>
      <c r="AI673" s="5"/>
    </row>
    <row r="674" ht="30.0" customHeight="1">
      <c r="AG674" s="5"/>
      <c r="AH674" s="5"/>
      <c r="AI674" s="5"/>
    </row>
    <row r="675" ht="30.0" customHeight="1">
      <c r="AG675" s="5"/>
      <c r="AH675" s="5"/>
      <c r="AI675" s="5"/>
    </row>
    <row r="676" ht="30.0" customHeight="1">
      <c r="AG676" s="5"/>
      <c r="AH676" s="5"/>
      <c r="AI676" s="5"/>
    </row>
    <row r="677" ht="30.0" customHeight="1">
      <c r="AG677" s="5"/>
      <c r="AH677" s="5"/>
      <c r="AI677" s="5"/>
    </row>
    <row r="678" ht="30.0" customHeight="1">
      <c r="AG678" s="5"/>
      <c r="AH678" s="5"/>
      <c r="AI678" s="5"/>
    </row>
    <row r="679" ht="30.0" customHeight="1">
      <c r="AG679" s="5"/>
      <c r="AH679" s="5"/>
      <c r="AI679" s="5"/>
    </row>
    <row r="680" ht="30.0" customHeight="1">
      <c r="AG680" s="5"/>
      <c r="AH680" s="5"/>
      <c r="AI680" s="5"/>
    </row>
    <row r="681" ht="30.0" customHeight="1">
      <c r="AG681" s="5"/>
      <c r="AH681" s="5"/>
      <c r="AI681" s="5"/>
    </row>
    <row r="682" ht="30.0" customHeight="1">
      <c r="AG682" s="5"/>
      <c r="AH682" s="5"/>
      <c r="AI682" s="5"/>
    </row>
    <row r="683" ht="30.0" customHeight="1">
      <c r="AG683" s="5"/>
      <c r="AH683" s="5"/>
      <c r="AI683" s="5"/>
    </row>
    <row r="684" ht="30.0" customHeight="1">
      <c r="AG684" s="5"/>
      <c r="AH684" s="5"/>
      <c r="AI684" s="5"/>
    </row>
    <row r="685" ht="30.0" customHeight="1">
      <c r="AG685" s="5"/>
      <c r="AH685" s="5"/>
      <c r="AI685" s="5"/>
    </row>
    <row r="686" ht="30.0" customHeight="1">
      <c r="AG686" s="5"/>
      <c r="AH686" s="5"/>
      <c r="AI686" s="5"/>
    </row>
    <row r="687" ht="30.0" customHeight="1">
      <c r="AG687" s="5"/>
      <c r="AH687" s="5"/>
      <c r="AI687" s="5"/>
    </row>
    <row r="688" ht="30.0" customHeight="1">
      <c r="AG688" s="5"/>
      <c r="AH688" s="5"/>
      <c r="AI688" s="5"/>
    </row>
    <row r="689" ht="30.0" customHeight="1">
      <c r="AG689" s="5"/>
      <c r="AH689" s="5"/>
      <c r="AI689" s="5"/>
    </row>
    <row r="690" ht="30.0" customHeight="1">
      <c r="AG690" s="5"/>
      <c r="AH690" s="5"/>
      <c r="AI690" s="5"/>
    </row>
    <row r="691" ht="30.0" customHeight="1">
      <c r="AG691" s="5"/>
      <c r="AH691" s="5"/>
      <c r="AI691" s="5"/>
    </row>
    <row r="692" ht="30.0" customHeight="1">
      <c r="AG692" s="5"/>
      <c r="AH692" s="5"/>
      <c r="AI692" s="5"/>
    </row>
    <row r="693" ht="30.0" customHeight="1">
      <c r="AG693" s="5"/>
      <c r="AH693" s="5"/>
      <c r="AI693" s="5"/>
    </row>
    <row r="694" ht="30.0" customHeight="1">
      <c r="AG694" s="5"/>
      <c r="AH694" s="5"/>
      <c r="AI694" s="5"/>
    </row>
    <row r="695" ht="30.0" customHeight="1">
      <c r="AG695" s="5"/>
      <c r="AH695" s="5"/>
      <c r="AI695" s="5"/>
    </row>
    <row r="696" ht="30.0" customHeight="1">
      <c r="AG696" s="5"/>
      <c r="AH696" s="5"/>
      <c r="AI696" s="5"/>
    </row>
    <row r="697" ht="30.0" customHeight="1">
      <c r="AG697" s="5"/>
      <c r="AH697" s="5"/>
      <c r="AI697" s="5"/>
    </row>
    <row r="698" ht="30.0" customHeight="1">
      <c r="AG698" s="5"/>
      <c r="AH698" s="5"/>
      <c r="AI698" s="5"/>
    </row>
    <row r="699" ht="30.0" customHeight="1">
      <c r="AG699" s="5"/>
      <c r="AH699" s="5"/>
      <c r="AI699" s="5"/>
    </row>
    <row r="700" ht="30.0" customHeight="1">
      <c r="AG700" s="5"/>
      <c r="AH700" s="5"/>
      <c r="AI700" s="5"/>
    </row>
    <row r="701" ht="30.0" customHeight="1">
      <c r="AG701" s="5"/>
      <c r="AH701" s="5"/>
      <c r="AI701" s="5"/>
    </row>
    <row r="702" ht="30.0" customHeight="1">
      <c r="AG702" s="5"/>
      <c r="AH702" s="5"/>
      <c r="AI702" s="5"/>
    </row>
    <row r="703" ht="30.0" customHeight="1">
      <c r="AG703" s="5"/>
      <c r="AH703" s="5"/>
      <c r="AI703" s="5"/>
    </row>
    <row r="704" ht="30.0" customHeight="1">
      <c r="AG704" s="5"/>
      <c r="AH704" s="5"/>
      <c r="AI704" s="5"/>
    </row>
    <row r="705" ht="30.0" customHeight="1">
      <c r="AG705" s="5"/>
      <c r="AH705" s="5"/>
      <c r="AI705" s="5"/>
    </row>
    <row r="706" ht="30.0" customHeight="1">
      <c r="AG706" s="5"/>
      <c r="AH706" s="5"/>
      <c r="AI706" s="5"/>
    </row>
    <row r="707" ht="30.0" customHeight="1">
      <c r="AG707" s="5"/>
      <c r="AH707" s="5"/>
      <c r="AI707" s="5"/>
    </row>
    <row r="708" ht="30.0" customHeight="1">
      <c r="AG708" s="5"/>
      <c r="AH708" s="5"/>
      <c r="AI708" s="5"/>
    </row>
    <row r="709" ht="30.0" customHeight="1">
      <c r="AG709" s="5"/>
      <c r="AH709" s="5"/>
      <c r="AI709" s="5"/>
    </row>
    <row r="710" ht="30.0" customHeight="1">
      <c r="AG710" s="5"/>
      <c r="AH710" s="5"/>
      <c r="AI710" s="5"/>
    </row>
    <row r="711" ht="30.0" customHeight="1">
      <c r="AG711" s="5"/>
      <c r="AH711" s="5"/>
      <c r="AI711" s="5"/>
    </row>
    <row r="712" ht="30.0" customHeight="1">
      <c r="AG712" s="5"/>
      <c r="AH712" s="5"/>
      <c r="AI712" s="5"/>
    </row>
    <row r="713" ht="30.0" customHeight="1">
      <c r="AG713" s="5"/>
      <c r="AH713" s="5"/>
      <c r="AI713" s="5"/>
    </row>
    <row r="714" ht="30.0" customHeight="1">
      <c r="AG714" s="5"/>
      <c r="AH714" s="5"/>
      <c r="AI714" s="5"/>
    </row>
    <row r="715" ht="30.0" customHeight="1">
      <c r="AG715" s="5"/>
      <c r="AH715" s="5"/>
      <c r="AI715" s="5"/>
    </row>
    <row r="716" ht="30.0" customHeight="1">
      <c r="AG716" s="5"/>
      <c r="AH716" s="5"/>
      <c r="AI716" s="5"/>
    </row>
    <row r="717" ht="30.0" customHeight="1">
      <c r="AG717" s="5"/>
      <c r="AH717" s="5"/>
      <c r="AI717" s="5"/>
    </row>
    <row r="718" ht="30.0" customHeight="1">
      <c r="AG718" s="5"/>
      <c r="AH718" s="5"/>
      <c r="AI718" s="5"/>
    </row>
    <row r="719" ht="30.0" customHeight="1">
      <c r="AG719" s="5"/>
      <c r="AH719" s="5"/>
      <c r="AI719" s="5"/>
    </row>
    <row r="720" ht="30.0" customHeight="1">
      <c r="AG720" s="5"/>
      <c r="AH720" s="5"/>
      <c r="AI720" s="5"/>
    </row>
    <row r="721" ht="30.0" customHeight="1">
      <c r="AG721" s="5"/>
      <c r="AH721" s="5"/>
      <c r="AI721" s="5"/>
    </row>
    <row r="722" ht="30.0" customHeight="1">
      <c r="AG722" s="5"/>
      <c r="AH722" s="5"/>
      <c r="AI722" s="5"/>
    </row>
    <row r="723" ht="30.0" customHeight="1">
      <c r="AG723" s="5"/>
      <c r="AH723" s="5"/>
      <c r="AI723" s="5"/>
    </row>
    <row r="724" ht="30.0" customHeight="1">
      <c r="AG724" s="5"/>
      <c r="AH724" s="5"/>
      <c r="AI724" s="5"/>
    </row>
    <row r="725" ht="30.0" customHeight="1">
      <c r="AG725" s="5"/>
      <c r="AH725" s="5"/>
      <c r="AI725" s="5"/>
    </row>
    <row r="726" ht="30.0" customHeight="1">
      <c r="AG726" s="5"/>
      <c r="AH726" s="5"/>
      <c r="AI726" s="5"/>
    </row>
    <row r="727" ht="30.0" customHeight="1">
      <c r="AG727" s="5"/>
      <c r="AH727" s="5"/>
      <c r="AI727" s="5"/>
    </row>
    <row r="728" ht="30.0" customHeight="1">
      <c r="AG728" s="5"/>
      <c r="AH728" s="5"/>
      <c r="AI728" s="5"/>
    </row>
    <row r="729" ht="30.0" customHeight="1">
      <c r="AG729" s="5"/>
      <c r="AH729" s="5"/>
      <c r="AI729" s="5"/>
    </row>
    <row r="730" ht="30.0" customHeight="1">
      <c r="AG730" s="5"/>
      <c r="AH730" s="5"/>
      <c r="AI730" s="5"/>
    </row>
    <row r="731" ht="30.0" customHeight="1">
      <c r="AG731" s="5"/>
      <c r="AH731" s="5"/>
      <c r="AI731" s="5"/>
    </row>
    <row r="732" ht="30.0" customHeight="1">
      <c r="AG732" s="5"/>
      <c r="AH732" s="5"/>
      <c r="AI732" s="5"/>
    </row>
    <row r="733" ht="30.0" customHeight="1">
      <c r="AG733" s="5"/>
      <c r="AH733" s="5"/>
      <c r="AI733" s="5"/>
    </row>
    <row r="734" ht="30.0" customHeight="1">
      <c r="AG734" s="5"/>
      <c r="AH734" s="5"/>
      <c r="AI734" s="5"/>
    </row>
    <row r="735" ht="30.0" customHeight="1">
      <c r="AG735" s="5"/>
      <c r="AH735" s="5"/>
      <c r="AI735" s="5"/>
    </row>
    <row r="736" ht="30.0" customHeight="1">
      <c r="AG736" s="5"/>
      <c r="AH736" s="5"/>
      <c r="AI736" s="5"/>
    </row>
    <row r="737" ht="30.0" customHeight="1">
      <c r="AG737" s="5"/>
      <c r="AH737" s="5"/>
      <c r="AI737" s="5"/>
    </row>
    <row r="738" ht="30.0" customHeight="1">
      <c r="AG738" s="5"/>
      <c r="AH738" s="5"/>
      <c r="AI738" s="5"/>
    </row>
    <row r="739" ht="30.0" customHeight="1">
      <c r="AG739" s="5"/>
      <c r="AH739" s="5"/>
      <c r="AI739" s="5"/>
    </row>
    <row r="740" ht="30.0" customHeight="1">
      <c r="AG740" s="5"/>
      <c r="AH740" s="5"/>
      <c r="AI740" s="5"/>
    </row>
    <row r="741" ht="30.0" customHeight="1">
      <c r="AG741" s="5"/>
      <c r="AH741" s="5"/>
      <c r="AI741" s="5"/>
    </row>
    <row r="742" ht="30.0" customHeight="1">
      <c r="AG742" s="5"/>
      <c r="AH742" s="5"/>
      <c r="AI742" s="5"/>
    </row>
    <row r="743" ht="30.0" customHeight="1">
      <c r="AG743" s="5"/>
      <c r="AH743" s="5"/>
      <c r="AI743" s="5"/>
    </row>
    <row r="744" ht="30.0" customHeight="1">
      <c r="AG744" s="5"/>
      <c r="AH744" s="5"/>
      <c r="AI744" s="5"/>
    </row>
    <row r="745" ht="30.0" customHeight="1">
      <c r="AG745" s="5"/>
      <c r="AH745" s="5"/>
      <c r="AI745" s="5"/>
    </row>
    <row r="746" ht="30.0" customHeight="1">
      <c r="AG746" s="5"/>
      <c r="AH746" s="5"/>
      <c r="AI746" s="5"/>
    </row>
    <row r="747" ht="30.0" customHeight="1">
      <c r="AG747" s="5"/>
      <c r="AH747" s="5"/>
      <c r="AI747" s="5"/>
    </row>
    <row r="748" ht="30.0" customHeight="1">
      <c r="AG748" s="5"/>
      <c r="AH748" s="5"/>
      <c r="AI748" s="5"/>
    </row>
    <row r="749" ht="30.0" customHeight="1">
      <c r="AG749" s="5"/>
      <c r="AH749" s="5"/>
      <c r="AI749" s="5"/>
    </row>
    <row r="750" ht="30.0" customHeight="1">
      <c r="AG750" s="5"/>
      <c r="AH750" s="5"/>
      <c r="AI750" s="5"/>
    </row>
    <row r="751" ht="30.0" customHeight="1">
      <c r="AG751" s="5"/>
      <c r="AH751" s="5"/>
      <c r="AI751" s="5"/>
    </row>
    <row r="752" ht="30.0" customHeight="1">
      <c r="AG752" s="5"/>
      <c r="AH752" s="5"/>
      <c r="AI752" s="5"/>
    </row>
    <row r="753" ht="30.0" customHeight="1">
      <c r="AG753" s="5"/>
      <c r="AH753" s="5"/>
      <c r="AI753" s="5"/>
    </row>
    <row r="754" ht="30.0" customHeight="1">
      <c r="AG754" s="5"/>
      <c r="AH754" s="5"/>
      <c r="AI754" s="5"/>
    </row>
    <row r="755" ht="30.0" customHeight="1">
      <c r="AG755" s="5"/>
      <c r="AH755" s="5"/>
      <c r="AI755" s="5"/>
    </row>
    <row r="756" ht="30.0" customHeight="1">
      <c r="AG756" s="5"/>
      <c r="AH756" s="5"/>
      <c r="AI756" s="5"/>
    </row>
    <row r="757" ht="30.0" customHeight="1">
      <c r="AG757" s="5"/>
      <c r="AH757" s="5"/>
      <c r="AI757" s="5"/>
    </row>
    <row r="758" ht="30.0" customHeight="1">
      <c r="AG758" s="5"/>
      <c r="AH758" s="5"/>
      <c r="AI758" s="5"/>
    </row>
    <row r="759" ht="30.0" customHeight="1">
      <c r="AG759" s="5"/>
      <c r="AH759" s="5"/>
      <c r="AI759" s="5"/>
    </row>
    <row r="760" ht="30.0" customHeight="1">
      <c r="AG760" s="5"/>
      <c r="AH760" s="5"/>
      <c r="AI760" s="5"/>
    </row>
    <row r="761" ht="30.0" customHeight="1">
      <c r="AG761" s="5"/>
      <c r="AH761" s="5"/>
      <c r="AI761" s="5"/>
    </row>
    <row r="762" ht="30.0" customHeight="1">
      <c r="AG762" s="5"/>
      <c r="AH762" s="5"/>
      <c r="AI762" s="5"/>
    </row>
    <row r="763" ht="30.0" customHeight="1">
      <c r="AG763" s="5"/>
      <c r="AH763" s="5"/>
      <c r="AI763" s="5"/>
    </row>
    <row r="764" ht="30.0" customHeight="1">
      <c r="AG764" s="5"/>
      <c r="AH764" s="5"/>
      <c r="AI764" s="5"/>
    </row>
    <row r="765" ht="30.0" customHeight="1">
      <c r="AG765" s="5"/>
      <c r="AH765" s="5"/>
      <c r="AI765" s="5"/>
    </row>
    <row r="766" ht="30.0" customHeight="1">
      <c r="AG766" s="5"/>
      <c r="AH766" s="5"/>
      <c r="AI766" s="5"/>
    </row>
    <row r="767" ht="30.0" customHeight="1">
      <c r="AG767" s="5"/>
      <c r="AH767" s="5"/>
      <c r="AI767" s="5"/>
    </row>
    <row r="768" ht="30.0" customHeight="1">
      <c r="AG768" s="5"/>
      <c r="AH768" s="5"/>
      <c r="AI768" s="5"/>
    </row>
    <row r="769" ht="30.0" customHeight="1">
      <c r="AG769" s="5"/>
      <c r="AH769" s="5"/>
      <c r="AI769" s="5"/>
    </row>
    <row r="770" ht="30.0" customHeight="1">
      <c r="AG770" s="5"/>
      <c r="AH770" s="5"/>
      <c r="AI770" s="5"/>
    </row>
    <row r="771" ht="30.0" customHeight="1">
      <c r="AG771" s="5"/>
      <c r="AH771" s="5"/>
      <c r="AI771" s="5"/>
    </row>
    <row r="772" ht="30.0" customHeight="1">
      <c r="AG772" s="5"/>
      <c r="AH772" s="5"/>
      <c r="AI772" s="5"/>
    </row>
    <row r="773" ht="30.0" customHeight="1">
      <c r="AG773" s="5"/>
      <c r="AH773" s="5"/>
      <c r="AI773" s="5"/>
    </row>
    <row r="774" ht="30.0" customHeight="1">
      <c r="AG774" s="5"/>
      <c r="AH774" s="5"/>
      <c r="AI774" s="5"/>
    </row>
    <row r="775" ht="30.0" customHeight="1">
      <c r="AG775" s="5"/>
      <c r="AH775" s="5"/>
      <c r="AI775" s="5"/>
    </row>
    <row r="776" ht="30.0" customHeight="1">
      <c r="AG776" s="5"/>
      <c r="AH776" s="5"/>
      <c r="AI776" s="5"/>
    </row>
    <row r="777" ht="30.0" customHeight="1">
      <c r="AG777" s="5"/>
      <c r="AH777" s="5"/>
      <c r="AI777" s="5"/>
    </row>
    <row r="778" ht="30.0" customHeight="1">
      <c r="AG778" s="5"/>
      <c r="AH778" s="5"/>
      <c r="AI778" s="5"/>
    </row>
    <row r="779" ht="30.0" customHeight="1">
      <c r="AG779" s="5"/>
      <c r="AH779" s="5"/>
      <c r="AI779" s="5"/>
    </row>
    <row r="780" ht="30.0" customHeight="1">
      <c r="AG780" s="5"/>
      <c r="AH780" s="5"/>
      <c r="AI780" s="5"/>
    </row>
    <row r="781" ht="30.0" customHeight="1">
      <c r="AG781" s="5"/>
      <c r="AH781" s="5"/>
      <c r="AI781" s="5"/>
    </row>
    <row r="782" ht="30.0" customHeight="1">
      <c r="AG782" s="5"/>
      <c r="AH782" s="5"/>
      <c r="AI782" s="5"/>
    </row>
    <row r="783" ht="30.0" customHeight="1">
      <c r="AG783" s="5"/>
      <c r="AH783" s="5"/>
      <c r="AI783" s="5"/>
    </row>
    <row r="784" ht="30.0" customHeight="1">
      <c r="AG784" s="5"/>
      <c r="AH784" s="5"/>
      <c r="AI784" s="5"/>
    </row>
    <row r="785" ht="30.0" customHeight="1">
      <c r="AG785" s="5"/>
      <c r="AH785" s="5"/>
      <c r="AI785" s="5"/>
    </row>
    <row r="786" ht="30.0" customHeight="1">
      <c r="AG786" s="5"/>
      <c r="AH786" s="5"/>
      <c r="AI786" s="5"/>
    </row>
    <row r="787" ht="30.0" customHeight="1">
      <c r="AG787" s="5"/>
      <c r="AH787" s="5"/>
      <c r="AI787" s="5"/>
    </row>
    <row r="788" ht="30.0" customHeight="1">
      <c r="AG788" s="5"/>
      <c r="AH788" s="5"/>
      <c r="AI788" s="5"/>
    </row>
    <row r="789" ht="30.0" customHeight="1">
      <c r="AG789" s="5"/>
      <c r="AH789" s="5"/>
      <c r="AI789" s="5"/>
    </row>
    <row r="790" ht="30.0" customHeight="1">
      <c r="AG790" s="5"/>
      <c r="AH790" s="5"/>
      <c r="AI790" s="5"/>
    </row>
    <row r="791" ht="30.0" customHeight="1">
      <c r="AG791" s="5"/>
      <c r="AH791" s="5"/>
      <c r="AI791" s="5"/>
    </row>
    <row r="792" ht="30.0" customHeight="1">
      <c r="AG792" s="5"/>
      <c r="AH792" s="5"/>
      <c r="AI792" s="5"/>
    </row>
    <row r="793" ht="30.0" customHeight="1">
      <c r="AG793" s="5"/>
      <c r="AH793" s="5"/>
      <c r="AI793" s="5"/>
    </row>
    <row r="794" ht="30.0" customHeight="1">
      <c r="AG794" s="5"/>
      <c r="AH794" s="5"/>
      <c r="AI794" s="5"/>
    </row>
    <row r="795" ht="30.0" customHeight="1">
      <c r="AG795" s="5"/>
      <c r="AH795" s="5"/>
      <c r="AI795" s="5"/>
    </row>
    <row r="796" ht="30.0" customHeight="1">
      <c r="AG796" s="5"/>
      <c r="AH796" s="5"/>
      <c r="AI796" s="5"/>
    </row>
    <row r="797" ht="30.0" customHeight="1">
      <c r="AG797" s="5"/>
      <c r="AH797" s="5"/>
      <c r="AI797" s="5"/>
    </row>
    <row r="798" ht="30.0" customHeight="1">
      <c r="AG798" s="5"/>
      <c r="AH798" s="5"/>
      <c r="AI798" s="5"/>
    </row>
    <row r="799" ht="30.0" customHeight="1">
      <c r="AG799" s="5"/>
      <c r="AH799" s="5"/>
      <c r="AI799" s="5"/>
    </row>
    <row r="800" ht="30.0" customHeight="1">
      <c r="AG800" s="5"/>
      <c r="AH800" s="5"/>
      <c r="AI800" s="5"/>
    </row>
    <row r="801" ht="30.0" customHeight="1">
      <c r="AG801" s="5"/>
      <c r="AH801" s="5"/>
      <c r="AI801" s="5"/>
    </row>
    <row r="802" ht="30.0" customHeight="1">
      <c r="AG802" s="5"/>
      <c r="AH802" s="5"/>
      <c r="AI802" s="5"/>
    </row>
    <row r="803" ht="30.0" customHeight="1">
      <c r="AG803" s="5"/>
      <c r="AH803" s="5"/>
      <c r="AI803" s="5"/>
    </row>
    <row r="804" ht="30.0" customHeight="1">
      <c r="AG804" s="5"/>
      <c r="AH804" s="5"/>
      <c r="AI804" s="5"/>
    </row>
    <row r="805" ht="30.0" customHeight="1">
      <c r="AG805" s="5"/>
      <c r="AH805" s="5"/>
      <c r="AI805" s="5"/>
    </row>
    <row r="806" ht="30.0" customHeight="1">
      <c r="AG806" s="5"/>
      <c r="AH806" s="5"/>
      <c r="AI806" s="5"/>
    </row>
    <row r="807" ht="30.0" customHeight="1">
      <c r="AG807" s="5"/>
      <c r="AH807" s="5"/>
      <c r="AI807" s="5"/>
    </row>
    <row r="808" ht="30.0" customHeight="1">
      <c r="AG808" s="5"/>
      <c r="AH808" s="5"/>
      <c r="AI808" s="5"/>
    </row>
    <row r="809" ht="30.0" customHeight="1">
      <c r="AG809" s="5"/>
      <c r="AH809" s="5"/>
      <c r="AI809" s="5"/>
    </row>
    <row r="810" ht="30.0" customHeight="1">
      <c r="AG810" s="5"/>
      <c r="AH810" s="5"/>
      <c r="AI810" s="5"/>
    </row>
    <row r="811" ht="30.0" customHeight="1">
      <c r="AG811" s="5"/>
      <c r="AH811" s="5"/>
      <c r="AI811" s="5"/>
    </row>
    <row r="812" ht="30.0" customHeight="1">
      <c r="AG812" s="5"/>
      <c r="AH812" s="5"/>
      <c r="AI812" s="5"/>
    </row>
    <row r="813" ht="30.0" customHeight="1">
      <c r="AG813" s="5"/>
      <c r="AH813" s="5"/>
      <c r="AI813" s="5"/>
    </row>
    <row r="814" ht="30.0" customHeight="1">
      <c r="AG814" s="5"/>
      <c r="AH814" s="5"/>
      <c r="AI814" s="5"/>
    </row>
    <row r="815" ht="30.0" customHeight="1">
      <c r="AG815" s="5"/>
      <c r="AH815" s="5"/>
      <c r="AI815" s="5"/>
    </row>
    <row r="816" ht="30.0" customHeight="1">
      <c r="AG816" s="5"/>
      <c r="AH816" s="5"/>
      <c r="AI816" s="5"/>
    </row>
    <row r="817" ht="30.0" customHeight="1">
      <c r="AG817" s="5"/>
      <c r="AH817" s="5"/>
      <c r="AI817" s="5"/>
    </row>
    <row r="818" ht="30.0" customHeight="1">
      <c r="AG818" s="5"/>
      <c r="AH818" s="5"/>
      <c r="AI818" s="5"/>
    </row>
    <row r="819" ht="30.0" customHeight="1">
      <c r="AG819" s="5"/>
      <c r="AH819" s="5"/>
      <c r="AI819" s="5"/>
    </row>
    <row r="820" ht="30.0" customHeight="1">
      <c r="AG820" s="5"/>
      <c r="AH820" s="5"/>
      <c r="AI820" s="5"/>
    </row>
    <row r="821" ht="30.0" customHeight="1">
      <c r="AG821" s="5"/>
      <c r="AH821" s="5"/>
      <c r="AI821" s="5"/>
    </row>
    <row r="822" ht="30.0" customHeight="1">
      <c r="AG822" s="5"/>
      <c r="AH822" s="5"/>
      <c r="AI822" s="5"/>
    </row>
    <row r="823" ht="30.0" customHeight="1">
      <c r="AG823" s="5"/>
      <c r="AH823" s="5"/>
      <c r="AI823" s="5"/>
    </row>
    <row r="824" ht="30.0" customHeight="1">
      <c r="AG824" s="5"/>
      <c r="AH824" s="5"/>
      <c r="AI824" s="5"/>
    </row>
    <row r="825" ht="30.0" customHeight="1">
      <c r="AG825" s="5"/>
      <c r="AH825" s="5"/>
      <c r="AI825" s="5"/>
    </row>
    <row r="826" ht="30.0" customHeight="1">
      <c r="AG826" s="5"/>
      <c r="AH826" s="5"/>
      <c r="AI826" s="5"/>
    </row>
    <row r="827" ht="30.0" customHeight="1">
      <c r="AG827" s="5"/>
      <c r="AH827" s="5"/>
      <c r="AI827" s="5"/>
    </row>
    <row r="828" ht="30.0" customHeight="1">
      <c r="AG828" s="5"/>
      <c r="AH828" s="5"/>
      <c r="AI828" s="5"/>
    </row>
    <row r="829" ht="30.0" customHeight="1">
      <c r="AG829" s="5"/>
      <c r="AH829" s="5"/>
      <c r="AI829" s="5"/>
    </row>
    <row r="830" ht="30.0" customHeight="1">
      <c r="AG830" s="5"/>
      <c r="AH830" s="5"/>
      <c r="AI830" s="5"/>
    </row>
    <row r="831" ht="30.0" customHeight="1">
      <c r="AG831" s="5"/>
      <c r="AH831" s="5"/>
      <c r="AI831" s="5"/>
    </row>
    <row r="832" ht="30.0" customHeight="1">
      <c r="AG832" s="5"/>
      <c r="AH832" s="5"/>
      <c r="AI832" s="5"/>
    </row>
    <row r="833" ht="30.0" customHeight="1">
      <c r="AG833" s="5"/>
      <c r="AH833" s="5"/>
      <c r="AI833" s="5"/>
    </row>
    <row r="834" ht="30.0" customHeight="1">
      <c r="AG834" s="5"/>
      <c r="AH834" s="5"/>
      <c r="AI834" s="5"/>
    </row>
    <row r="835" ht="30.0" customHeight="1">
      <c r="AG835" s="5"/>
      <c r="AH835" s="5"/>
      <c r="AI835" s="5"/>
    </row>
    <row r="836" ht="30.0" customHeight="1">
      <c r="AG836" s="5"/>
      <c r="AH836" s="5"/>
      <c r="AI836" s="5"/>
    </row>
    <row r="837" ht="30.0" customHeight="1">
      <c r="AG837" s="5"/>
      <c r="AH837" s="5"/>
      <c r="AI837" s="5"/>
    </row>
    <row r="838" ht="30.0" customHeight="1">
      <c r="AG838" s="5"/>
      <c r="AH838" s="5"/>
      <c r="AI838" s="5"/>
    </row>
    <row r="839" ht="30.0" customHeight="1">
      <c r="AG839" s="5"/>
      <c r="AH839" s="5"/>
      <c r="AI839" s="5"/>
    </row>
    <row r="840" ht="30.0" customHeight="1">
      <c r="AG840" s="5"/>
      <c r="AH840" s="5"/>
      <c r="AI840" s="5"/>
    </row>
    <row r="841" ht="30.0" customHeight="1">
      <c r="AG841" s="5"/>
      <c r="AH841" s="5"/>
      <c r="AI841" s="5"/>
    </row>
    <row r="842" ht="30.0" customHeight="1">
      <c r="AG842" s="5"/>
      <c r="AH842" s="5"/>
      <c r="AI842" s="5"/>
    </row>
    <row r="843" ht="30.0" customHeight="1">
      <c r="AG843" s="5"/>
      <c r="AH843" s="5"/>
      <c r="AI843" s="5"/>
    </row>
    <row r="844" ht="30.0" customHeight="1">
      <c r="AG844" s="5"/>
      <c r="AH844" s="5"/>
      <c r="AI844" s="5"/>
    </row>
    <row r="845" ht="30.0" customHeight="1">
      <c r="AG845" s="5"/>
      <c r="AH845" s="5"/>
      <c r="AI845" s="5"/>
    </row>
    <row r="846" ht="30.0" customHeight="1">
      <c r="AG846" s="5"/>
      <c r="AH846" s="5"/>
      <c r="AI846" s="5"/>
    </row>
    <row r="847" ht="30.0" customHeight="1">
      <c r="AG847" s="5"/>
      <c r="AH847" s="5"/>
      <c r="AI847" s="5"/>
    </row>
    <row r="848" ht="30.0" customHeight="1">
      <c r="AG848" s="5"/>
      <c r="AH848" s="5"/>
      <c r="AI848" s="5"/>
    </row>
    <row r="849" ht="30.0" customHeight="1">
      <c r="AG849" s="5"/>
      <c r="AH849" s="5"/>
      <c r="AI849" s="5"/>
    </row>
    <row r="850" ht="30.0" customHeight="1">
      <c r="AG850" s="5"/>
      <c r="AH850" s="5"/>
      <c r="AI850" s="5"/>
    </row>
    <row r="851" ht="30.0" customHeight="1">
      <c r="AG851" s="5"/>
      <c r="AH851" s="5"/>
      <c r="AI851" s="5"/>
    </row>
    <row r="852" ht="30.0" customHeight="1">
      <c r="AG852" s="5"/>
      <c r="AH852" s="5"/>
      <c r="AI852" s="5"/>
    </row>
    <row r="853" ht="30.0" customHeight="1">
      <c r="AG853" s="5"/>
      <c r="AH853" s="5"/>
      <c r="AI853" s="5"/>
    </row>
    <row r="854" ht="30.0" customHeight="1">
      <c r="AG854" s="5"/>
      <c r="AH854" s="5"/>
      <c r="AI854" s="5"/>
    </row>
    <row r="855" ht="30.0" customHeight="1">
      <c r="AG855" s="5"/>
      <c r="AH855" s="5"/>
      <c r="AI855" s="5"/>
    </row>
    <row r="856" ht="30.0" customHeight="1">
      <c r="AG856" s="5"/>
      <c r="AH856" s="5"/>
      <c r="AI856" s="5"/>
    </row>
    <row r="857" ht="30.0" customHeight="1">
      <c r="AG857" s="5"/>
      <c r="AH857" s="5"/>
      <c r="AI857" s="5"/>
    </row>
    <row r="858" ht="30.0" customHeight="1">
      <c r="AG858" s="5"/>
      <c r="AH858" s="5"/>
      <c r="AI858" s="5"/>
    </row>
    <row r="859" ht="30.0" customHeight="1">
      <c r="AG859" s="5"/>
      <c r="AH859" s="5"/>
      <c r="AI859" s="5"/>
    </row>
    <row r="860" ht="30.0" customHeight="1">
      <c r="AG860" s="5"/>
      <c r="AH860" s="5"/>
      <c r="AI860" s="5"/>
    </row>
    <row r="861" ht="30.0" customHeight="1">
      <c r="AG861" s="5"/>
      <c r="AH861" s="5"/>
      <c r="AI861" s="5"/>
    </row>
    <row r="862" ht="30.0" customHeight="1">
      <c r="AG862" s="5"/>
      <c r="AH862" s="5"/>
      <c r="AI862" s="5"/>
    </row>
    <row r="863" ht="30.0" customHeight="1">
      <c r="AG863" s="5"/>
      <c r="AH863" s="5"/>
      <c r="AI863" s="5"/>
    </row>
    <row r="864" ht="30.0" customHeight="1">
      <c r="AG864" s="5"/>
      <c r="AH864" s="5"/>
      <c r="AI864" s="5"/>
    </row>
    <row r="865" ht="30.0" customHeight="1">
      <c r="AG865" s="5"/>
      <c r="AH865" s="5"/>
      <c r="AI865" s="5"/>
    </row>
    <row r="866" ht="30.0" customHeight="1">
      <c r="AG866" s="5"/>
      <c r="AH866" s="5"/>
      <c r="AI866" s="5"/>
    </row>
    <row r="867" ht="30.0" customHeight="1">
      <c r="AG867" s="5"/>
      <c r="AH867" s="5"/>
      <c r="AI867" s="5"/>
    </row>
    <row r="868" ht="30.0" customHeight="1">
      <c r="AG868" s="5"/>
      <c r="AH868" s="5"/>
      <c r="AI868" s="5"/>
    </row>
    <row r="869" ht="30.0" customHeight="1">
      <c r="AG869" s="5"/>
      <c r="AH869" s="5"/>
      <c r="AI869" s="5"/>
    </row>
    <row r="870" ht="30.0" customHeight="1">
      <c r="AG870" s="5"/>
      <c r="AH870" s="5"/>
      <c r="AI870" s="5"/>
    </row>
    <row r="871" ht="30.0" customHeight="1">
      <c r="AG871" s="5"/>
      <c r="AH871" s="5"/>
      <c r="AI871" s="5"/>
    </row>
    <row r="872" ht="30.0" customHeight="1">
      <c r="AG872" s="5"/>
      <c r="AH872" s="5"/>
      <c r="AI872" s="5"/>
    </row>
    <row r="873" ht="30.0" customHeight="1">
      <c r="AG873" s="5"/>
      <c r="AH873" s="5"/>
      <c r="AI873" s="5"/>
    </row>
    <row r="874" ht="30.0" customHeight="1">
      <c r="AG874" s="5"/>
      <c r="AH874" s="5"/>
      <c r="AI874" s="5"/>
    </row>
    <row r="875" ht="30.0" customHeight="1">
      <c r="AG875" s="5"/>
      <c r="AH875" s="5"/>
      <c r="AI875" s="5"/>
    </row>
    <row r="876" ht="30.0" customHeight="1">
      <c r="AG876" s="5"/>
      <c r="AH876" s="5"/>
      <c r="AI876" s="5"/>
    </row>
    <row r="877" ht="30.0" customHeight="1">
      <c r="AG877" s="5"/>
      <c r="AH877" s="5"/>
      <c r="AI877" s="5"/>
    </row>
    <row r="878" ht="30.0" customHeight="1">
      <c r="AG878" s="5"/>
      <c r="AH878" s="5"/>
      <c r="AI878" s="5"/>
    </row>
    <row r="879" ht="30.0" customHeight="1">
      <c r="AG879" s="5"/>
      <c r="AH879" s="5"/>
      <c r="AI879" s="5"/>
    </row>
    <row r="880" ht="30.0" customHeight="1">
      <c r="AG880" s="5"/>
      <c r="AH880" s="5"/>
      <c r="AI880" s="5"/>
    </row>
    <row r="881" ht="30.0" customHeight="1">
      <c r="AG881" s="5"/>
      <c r="AH881" s="5"/>
      <c r="AI881" s="5"/>
    </row>
    <row r="882" ht="30.0" customHeight="1">
      <c r="AG882" s="5"/>
      <c r="AH882" s="5"/>
      <c r="AI882" s="5"/>
    </row>
    <row r="883" ht="30.0" customHeight="1">
      <c r="AG883" s="5"/>
      <c r="AH883" s="5"/>
      <c r="AI883" s="5"/>
    </row>
    <row r="884" ht="30.0" customHeight="1">
      <c r="AG884" s="5"/>
      <c r="AH884" s="5"/>
      <c r="AI884" s="5"/>
    </row>
    <row r="885" ht="30.0" customHeight="1">
      <c r="AG885" s="5"/>
      <c r="AH885" s="5"/>
      <c r="AI885" s="5"/>
    </row>
    <row r="886" ht="30.0" customHeight="1">
      <c r="AG886" s="5"/>
      <c r="AH886" s="5"/>
      <c r="AI886" s="5"/>
    </row>
    <row r="887" ht="30.0" customHeight="1">
      <c r="AG887" s="5"/>
      <c r="AH887" s="5"/>
      <c r="AI887" s="5"/>
    </row>
    <row r="888" ht="30.0" customHeight="1">
      <c r="AG888" s="5"/>
      <c r="AH888" s="5"/>
      <c r="AI888" s="5"/>
    </row>
    <row r="889" ht="30.0" customHeight="1">
      <c r="AG889" s="5"/>
      <c r="AH889" s="5"/>
      <c r="AI889" s="5"/>
    </row>
    <row r="890" ht="30.0" customHeight="1">
      <c r="AG890" s="5"/>
      <c r="AH890" s="5"/>
      <c r="AI890" s="5"/>
    </row>
    <row r="891" ht="30.0" customHeight="1">
      <c r="AG891" s="5"/>
      <c r="AH891" s="5"/>
      <c r="AI891" s="5"/>
    </row>
    <row r="892" ht="30.0" customHeight="1">
      <c r="AG892" s="5"/>
      <c r="AH892" s="5"/>
      <c r="AI892" s="5"/>
    </row>
    <row r="893" ht="30.0" customHeight="1">
      <c r="AG893" s="5"/>
      <c r="AH893" s="5"/>
      <c r="AI893" s="5"/>
    </row>
    <row r="894" ht="30.0" customHeight="1">
      <c r="AG894" s="5"/>
      <c r="AH894" s="5"/>
      <c r="AI894" s="5"/>
    </row>
    <row r="895" ht="30.0" customHeight="1">
      <c r="AG895" s="5"/>
      <c r="AH895" s="5"/>
      <c r="AI895" s="5"/>
    </row>
    <row r="896" ht="30.0" customHeight="1">
      <c r="AG896" s="5"/>
      <c r="AH896" s="5"/>
      <c r="AI896" s="5"/>
    </row>
    <row r="897" ht="30.0" customHeight="1">
      <c r="AG897" s="5"/>
      <c r="AH897" s="5"/>
      <c r="AI897" s="5"/>
    </row>
    <row r="898" ht="30.0" customHeight="1">
      <c r="AG898" s="5"/>
      <c r="AH898" s="5"/>
      <c r="AI898" s="5"/>
    </row>
    <row r="899" ht="30.0" customHeight="1">
      <c r="AG899" s="5"/>
      <c r="AH899" s="5"/>
      <c r="AI899" s="5"/>
    </row>
    <row r="900" ht="30.0" customHeight="1">
      <c r="AG900" s="5"/>
      <c r="AH900" s="5"/>
      <c r="AI900" s="5"/>
    </row>
    <row r="901" ht="30.0" customHeight="1">
      <c r="AG901" s="5"/>
      <c r="AH901" s="5"/>
      <c r="AI901" s="5"/>
    </row>
    <row r="902" ht="30.0" customHeight="1">
      <c r="AG902" s="5"/>
      <c r="AH902" s="5"/>
      <c r="AI902" s="5"/>
    </row>
    <row r="903" ht="30.0" customHeight="1">
      <c r="AG903" s="5"/>
      <c r="AH903" s="5"/>
      <c r="AI903" s="5"/>
    </row>
    <row r="904" ht="30.0" customHeight="1">
      <c r="AG904" s="5"/>
      <c r="AH904" s="5"/>
      <c r="AI904" s="5"/>
    </row>
    <row r="905" ht="30.0" customHeight="1">
      <c r="AG905" s="5"/>
      <c r="AH905" s="5"/>
      <c r="AI905" s="5"/>
    </row>
    <row r="906" ht="30.0" customHeight="1">
      <c r="AG906" s="5"/>
      <c r="AH906" s="5"/>
      <c r="AI906" s="5"/>
    </row>
    <row r="907" ht="30.0" customHeight="1">
      <c r="AG907" s="5"/>
      <c r="AH907" s="5"/>
      <c r="AI907" s="5"/>
    </row>
    <row r="908" ht="30.0" customHeight="1">
      <c r="AG908" s="5"/>
      <c r="AH908" s="5"/>
      <c r="AI908" s="5"/>
    </row>
    <row r="909" ht="30.0" customHeight="1">
      <c r="AG909" s="5"/>
      <c r="AH909" s="5"/>
      <c r="AI909" s="5"/>
    </row>
    <row r="910" ht="30.0" customHeight="1">
      <c r="AG910" s="5"/>
      <c r="AH910" s="5"/>
      <c r="AI910" s="5"/>
    </row>
    <row r="911" ht="30.0" customHeight="1">
      <c r="AG911" s="5"/>
      <c r="AH911" s="5"/>
      <c r="AI911" s="5"/>
    </row>
    <row r="912" ht="30.0" customHeight="1">
      <c r="AG912" s="5"/>
      <c r="AH912" s="5"/>
      <c r="AI912" s="5"/>
    </row>
    <row r="913" ht="30.0" customHeight="1">
      <c r="AG913" s="5"/>
      <c r="AH913" s="5"/>
      <c r="AI913" s="5"/>
    </row>
    <row r="914" ht="30.0" customHeight="1">
      <c r="AG914" s="5"/>
      <c r="AH914" s="5"/>
      <c r="AI914" s="5"/>
    </row>
    <row r="915" ht="30.0" customHeight="1">
      <c r="AG915" s="5"/>
      <c r="AH915" s="5"/>
      <c r="AI915" s="5"/>
    </row>
    <row r="916" ht="30.0" customHeight="1">
      <c r="AG916" s="5"/>
      <c r="AH916" s="5"/>
      <c r="AI916" s="5"/>
    </row>
    <row r="917" ht="30.0" customHeight="1">
      <c r="AG917" s="5"/>
      <c r="AH917" s="5"/>
      <c r="AI917" s="5"/>
    </row>
    <row r="918" ht="30.0" customHeight="1">
      <c r="AG918" s="5"/>
      <c r="AH918" s="5"/>
      <c r="AI918" s="5"/>
    </row>
    <row r="919" ht="30.0" customHeight="1">
      <c r="AG919" s="5"/>
      <c r="AH919" s="5"/>
      <c r="AI919" s="5"/>
    </row>
    <row r="920" ht="30.0" customHeight="1">
      <c r="AG920" s="5"/>
      <c r="AH920" s="5"/>
      <c r="AI920" s="5"/>
    </row>
    <row r="921" ht="30.0" customHeight="1">
      <c r="AG921" s="5"/>
      <c r="AH921" s="5"/>
      <c r="AI921" s="5"/>
    </row>
    <row r="922" ht="30.0" customHeight="1">
      <c r="AG922" s="5"/>
      <c r="AH922" s="5"/>
      <c r="AI922" s="5"/>
    </row>
    <row r="923" ht="30.0" customHeight="1">
      <c r="AG923" s="5"/>
      <c r="AH923" s="5"/>
      <c r="AI923" s="5"/>
    </row>
    <row r="924" ht="30.0" customHeight="1">
      <c r="AG924" s="5"/>
      <c r="AH924" s="5"/>
      <c r="AI924" s="5"/>
    </row>
    <row r="925" ht="30.0" customHeight="1">
      <c r="AG925" s="5"/>
      <c r="AH925" s="5"/>
      <c r="AI925" s="5"/>
    </row>
    <row r="926" ht="30.0" customHeight="1">
      <c r="AG926" s="5"/>
      <c r="AH926" s="5"/>
      <c r="AI926" s="5"/>
    </row>
    <row r="927" ht="30.0" customHeight="1">
      <c r="AG927" s="5"/>
      <c r="AH927" s="5"/>
      <c r="AI927" s="5"/>
    </row>
    <row r="928" ht="30.0" customHeight="1">
      <c r="AG928" s="5"/>
      <c r="AH928" s="5"/>
      <c r="AI928" s="5"/>
    </row>
    <row r="929" ht="30.0" customHeight="1">
      <c r="AG929" s="5"/>
      <c r="AH929" s="5"/>
      <c r="AI929" s="5"/>
    </row>
    <row r="930" ht="30.0" customHeight="1">
      <c r="AG930" s="5"/>
      <c r="AH930" s="5"/>
      <c r="AI930" s="5"/>
    </row>
    <row r="931" ht="30.0" customHeight="1">
      <c r="AG931" s="5"/>
      <c r="AH931" s="5"/>
      <c r="AI931" s="5"/>
    </row>
    <row r="932" ht="30.0" customHeight="1">
      <c r="AG932" s="5"/>
      <c r="AH932" s="5"/>
      <c r="AI932" s="5"/>
    </row>
    <row r="933" ht="30.0" customHeight="1">
      <c r="AG933" s="5"/>
      <c r="AH933" s="5"/>
      <c r="AI933" s="5"/>
    </row>
    <row r="934" ht="30.0" customHeight="1">
      <c r="AG934" s="5"/>
      <c r="AH934" s="5"/>
      <c r="AI934" s="5"/>
    </row>
    <row r="935" ht="30.0" customHeight="1">
      <c r="AG935" s="5"/>
      <c r="AH935" s="5"/>
      <c r="AI935" s="5"/>
    </row>
    <row r="936" ht="30.0" customHeight="1">
      <c r="AG936" s="5"/>
      <c r="AH936" s="5"/>
      <c r="AI936" s="5"/>
    </row>
    <row r="937" ht="30.0" customHeight="1">
      <c r="AG937" s="5"/>
      <c r="AH937" s="5"/>
      <c r="AI937" s="5"/>
    </row>
    <row r="938" ht="30.0" customHeight="1">
      <c r="AG938" s="5"/>
      <c r="AH938" s="5"/>
      <c r="AI938" s="5"/>
    </row>
    <row r="939" ht="30.0" customHeight="1">
      <c r="AG939" s="5"/>
      <c r="AH939" s="5"/>
      <c r="AI939" s="5"/>
    </row>
    <row r="940" ht="30.0" customHeight="1">
      <c r="AG940" s="5"/>
      <c r="AH940" s="5"/>
      <c r="AI940" s="5"/>
    </row>
    <row r="941" ht="30.0" customHeight="1">
      <c r="AG941" s="5"/>
      <c r="AH941" s="5"/>
      <c r="AI941" s="5"/>
    </row>
    <row r="942" ht="30.0" customHeight="1">
      <c r="AG942" s="5"/>
      <c r="AH942" s="5"/>
      <c r="AI942" s="5"/>
    </row>
    <row r="943" ht="30.0" customHeight="1">
      <c r="AG943" s="5"/>
      <c r="AH943" s="5"/>
      <c r="AI943" s="5"/>
    </row>
    <row r="944" ht="30.0" customHeight="1">
      <c r="AG944" s="5"/>
      <c r="AH944" s="5"/>
      <c r="AI944" s="5"/>
    </row>
    <row r="945" ht="30.0" customHeight="1">
      <c r="AG945" s="5"/>
      <c r="AH945" s="5"/>
      <c r="AI945" s="5"/>
    </row>
    <row r="946" ht="30.0" customHeight="1">
      <c r="AG946" s="5"/>
      <c r="AH946" s="5"/>
      <c r="AI946" s="5"/>
    </row>
    <row r="947" ht="30.0" customHeight="1">
      <c r="AG947" s="5"/>
      <c r="AH947" s="5"/>
      <c r="AI947" s="5"/>
    </row>
    <row r="948" ht="30.0" customHeight="1">
      <c r="AG948" s="5"/>
      <c r="AH948" s="5"/>
      <c r="AI948" s="5"/>
    </row>
    <row r="949" ht="30.0" customHeight="1">
      <c r="AG949" s="5"/>
      <c r="AH949" s="5"/>
      <c r="AI949" s="5"/>
    </row>
    <row r="950" ht="30.0" customHeight="1">
      <c r="AG950" s="5"/>
      <c r="AH950" s="5"/>
      <c r="AI950" s="5"/>
    </row>
    <row r="951" ht="30.0" customHeight="1">
      <c r="AG951" s="5"/>
      <c r="AH951" s="5"/>
      <c r="AI951" s="5"/>
    </row>
    <row r="952" ht="30.0" customHeight="1">
      <c r="AG952" s="5"/>
      <c r="AH952" s="5"/>
      <c r="AI952" s="5"/>
    </row>
    <row r="953" ht="30.0" customHeight="1">
      <c r="AG953" s="5"/>
      <c r="AH953" s="5"/>
      <c r="AI953" s="5"/>
    </row>
    <row r="954" ht="30.0" customHeight="1">
      <c r="AG954" s="5"/>
      <c r="AH954" s="5"/>
      <c r="AI954" s="5"/>
    </row>
    <row r="955" ht="30.0" customHeight="1">
      <c r="AG955" s="5"/>
      <c r="AH955" s="5"/>
      <c r="AI955" s="5"/>
    </row>
    <row r="956" ht="30.0" customHeight="1">
      <c r="AG956" s="5"/>
      <c r="AH956" s="5"/>
      <c r="AI956" s="5"/>
    </row>
    <row r="957" ht="30.0" customHeight="1">
      <c r="AG957" s="5"/>
      <c r="AH957" s="5"/>
      <c r="AI957" s="5"/>
    </row>
    <row r="958" ht="30.0" customHeight="1">
      <c r="AG958" s="5"/>
      <c r="AH958" s="5"/>
      <c r="AI958" s="5"/>
    </row>
    <row r="959" ht="30.0" customHeight="1">
      <c r="AG959" s="5"/>
      <c r="AH959" s="5"/>
      <c r="AI959" s="5"/>
    </row>
    <row r="960" ht="30.0" customHeight="1">
      <c r="AG960" s="5"/>
      <c r="AH960" s="5"/>
      <c r="AI960" s="5"/>
    </row>
    <row r="961" ht="30.0" customHeight="1">
      <c r="AG961" s="5"/>
      <c r="AH961" s="5"/>
      <c r="AI961" s="5"/>
    </row>
    <row r="962" ht="30.0" customHeight="1">
      <c r="AG962" s="5"/>
      <c r="AH962" s="5"/>
      <c r="AI962" s="5"/>
    </row>
    <row r="963" ht="30.0" customHeight="1">
      <c r="AG963" s="5"/>
      <c r="AH963" s="5"/>
      <c r="AI963" s="5"/>
    </row>
    <row r="964" ht="30.0" customHeight="1">
      <c r="AG964" s="5"/>
      <c r="AH964" s="5"/>
      <c r="AI964" s="5"/>
    </row>
    <row r="965" ht="30.0" customHeight="1">
      <c r="AG965" s="5"/>
      <c r="AH965" s="5"/>
      <c r="AI965" s="5"/>
    </row>
    <row r="966" ht="30.0" customHeight="1">
      <c r="AG966" s="5"/>
      <c r="AH966" s="5"/>
      <c r="AI966" s="5"/>
    </row>
    <row r="967" ht="30.0" customHeight="1">
      <c r="AG967" s="5"/>
      <c r="AH967" s="5"/>
      <c r="AI967" s="5"/>
    </row>
    <row r="968" ht="30.0" customHeight="1">
      <c r="AG968" s="5"/>
      <c r="AH968" s="5"/>
      <c r="AI968" s="5"/>
    </row>
    <row r="969" ht="30.0" customHeight="1">
      <c r="AG969" s="5"/>
      <c r="AH969" s="5"/>
      <c r="AI969" s="5"/>
    </row>
    <row r="970" ht="30.0" customHeight="1">
      <c r="AG970" s="5"/>
      <c r="AH970" s="5"/>
      <c r="AI970" s="5"/>
    </row>
    <row r="971" ht="30.0" customHeight="1">
      <c r="AG971" s="5"/>
      <c r="AH971" s="5"/>
      <c r="AI971" s="5"/>
    </row>
    <row r="972" ht="30.0" customHeight="1">
      <c r="AG972" s="5"/>
      <c r="AH972" s="5"/>
      <c r="AI972" s="5"/>
    </row>
    <row r="973" ht="30.0" customHeight="1">
      <c r="AG973" s="5"/>
      <c r="AH973" s="5"/>
      <c r="AI973" s="5"/>
    </row>
    <row r="974" ht="30.0" customHeight="1">
      <c r="AG974" s="5"/>
      <c r="AH974" s="5"/>
      <c r="AI974" s="5"/>
    </row>
    <row r="975" ht="30.0" customHeight="1">
      <c r="AG975" s="5"/>
      <c r="AH975" s="5"/>
      <c r="AI975" s="5"/>
    </row>
    <row r="976" ht="30.0" customHeight="1">
      <c r="AG976" s="5"/>
      <c r="AH976" s="5"/>
      <c r="AI976" s="5"/>
    </row>
    <row r="977" ht="30.0" customHeight="1">
      <c r="AG977" s="5"/>
      <c r="AH977" s="5"/>
      <c r="AI977" s="5"/>
    </row>
    <row r="978" ht="30.0" customHeight="1">
      <c r="AG978" s="5"/>
      <c r="AH978" s="5"/>
      <c r="AI978" s="5"/>
    </row>
    <row r="979" ht="30.0" customHeight="1">
      <c r="AG979" s="5"/>
      <c r="AH979" s="5"/>
      <c r="AI979" s="5"/>
    </row>
    <row r="980" ht="30.0" customHeight="1">
      <c r="AG980" s="5"/>
      <c r="AH980" s="5"/>
      <c r="AI980" s="5"/>
    </row>
    <row r="981" ht="30.0" customHeight="1">
      <c r="AG981" s="5"/>
      <c r="AH981" s="5"/>
      <c r="AI981" s="5"/>
    </row>
    <row r="982" ht="30.0" customHeight="1">
      <c r="AG982" s="5"/>
      <c r="AH982" s="5"/>
      <c r="AI982" s="5"/>
    </row>
    <row r="983" ht="30.0" customHeight="1">
      <c r="AG983" s="5"/>
      <c r="AH983" s="5"/>
      <c r="AI983" s="5"/>
    </row>
    <row r="984" ht="30.0" customHeight="1">
      <c r="AG984" s="5"/>
      <c r="AH984" s="5"/>
      <c r="AI984" s="5"/>
    </row>
    <row r="985" ht="30.0" customHeight="1">
      <c r="AG985" s="5"/>
      <c r="AH985" s="5"/>
      <c r="AI985" s="5"/>
    </row>
    <row r="986" ht="30.0" customHeight="1">
      <c r="AG986" s="5"/>
      <c r="AH986" s="5"/>
      <c r="AI986" s="5"/>
    </row>
    <row r="987" ht="30.0" customHeight="1">
      <c r="AG987" s="5"/>
      <c r="AH987" s="5"/>
      <c r="AI987" s="5"/>
    </row>
    <row r="988" ht="30.0" customHeight="1">
      <c r="AG988" s="5"/>
      <c r="AH988" s="5"/>
      <c r="AI988" s="5"/>
    </row>
    <row r="989" ht="30.0" customHeight="1">
      <c r="AG989" s="5"/>
      <c r="AH989" s="5"/>
      <c r="AI989" s="5"/>
    </row>
    <row r="990" ht="30.0" customHeight="1">
      <c r="AG990" s="5"/>
      <c r="AH990" s="5"/>
      <c r="AI990" s="5"/>
    </row>
    <row r="991" ht="30.0" customHeight="1">
      <c r="AG991" s="5"/>
      <c r="AH991" s="5"/>
      <c r="AI991" s="5"/>
    </row>
    <row r="992" ht="30.0" customHeight="1">
      <c r="AG992" s="5"/>
      <c r="AH992" s="5"/>
      <c r="AI992" s="5"/>
    </row>
    <row r="993" ht="30.0" customHeight="1">
      <c r="AG993" s="5"/>
      <c r="AH993" s="5"/>
      <c r="AI993" s="5"/>
    </row>
    <row r="994" ht="30.0" customHeight="1">
      <c r="AG994" s="5"/>
      <c r="AH994" s="5"/>
      <c r="AI994" s="5"/>
    </row>
    <row r="995" ht="30.0" customHeight="1">
      <c r="AG995" s="5"/>
      <c r="AH995" s="5"/>
      <c r="AI995" s="5"/>
    </row>
    <row r="996" ht="30.0" customHeight="1">
      <c r="AG996" s="5"/>
      <c r="AH996" s="5"/>
      <c r="AI996" s="5"/>
    </row>
    <row r="997" ht="30.0" customHeight="1">
      <c r="AG997" s="5"/>
      <c r="AH997" s="5"/>
      <c r="AI997" s="5"/>
    </row>
    <row r="998" ht="30.0" customHeight="1">
      <c r="AG998" s="5"/>
      <c r="AH998" s="5"/>
      <c r="AI998" s="5"/>
    </row>
    <row r="999" ht="30.0" customHeight="1">
      <c r="AG999" s="5"/>
      <c r="AH999" s="5"/>
      <c r="AI999" s="5"/>
    </row>
    <row r="1000" ht="30.0" customHeight="1">
      <c r="AG1000" s="5"/>
      <c r="AH1000" s="5"/>
      <c r="AI1000" s="5"/>
    </row>
    <row r="1001" ht="30.0" customHeight="1">
      <c r="AG1001" s="5"/>
      <c r="AH1001" s="5"/>
      <c r="AI1001" s="5"/>
    </row>
    <row r="1002" ht="30.0" customHeight="1">
      <c r="AG1002" s="5"/>
      <c r="AH1002" s="5"/>
      <c r="AI1002" s="5"/>
    </row>
    <row r="1003" ht="30.0" customHeight="1">
      <c r="AG1003" s="5"/>
      <c r="AH1003" s="5"/>
      <c r="AI1003" s="5"/>
    </row>
    <row r="1004" ht="30.0" customHeight="1">
      <c r="AG1004" s="5"/>
      <c r="AH1004" s="5"/>
      <c r="AI1004" s="5"/>
    </row>
    <row r="1005" ht="30.0" customHeight="1">
      <c r="AG1005" s="5"/>
      <c r="AH1005" s="5"/>
      <c r="AI1005" s="5"/>
    </row>
    <row r="1006" ht="30.0" customHeight="1">
      <c r="AG1006" s="5"/>
      <c r="AH1006" s="5"/>
      <c r="AI1006" s="5"/>
    </row>
    <row r="1007" ht="30.0" customHeight="1">
      <c r="AG1007" s="5"/>
      <c r="AH1007" s="5"/>
      <c r="AI1007" s="5"/>
    </row>
    <row r="1008" ht="30.0" customHeight="1">
      <c r="AG1008" s="5"/>
      <c r="AH1008" s="5"/>
      <c r="AI1008" s="5"/>
    </row>
    <row r="1009" ht="30.0" customHeight="1">
      <c r="AG1009" s="5"/>
      <c r="AH1009" s="5"/>
      <c r="AI1009" s="5"/>
    </row>
    <row r="1010" ht="30.0" customHeight="1">
      <c r="AG1010" s="5"/>
      <c r="AH1010" s="5"/>
      <c r="AI1010" s="5"/>
    </row>
    <row r="1011" ht="30.0" customHeight="1">
      <c r="AG1011" s="5"/>
      <c r="AH1011" s="5"/>
      <c r="AI1011" s="5"/>
    </row>
    <row r="1012" ht="30.0" customHeight="1">
      <c r="AG1012" s="5"/>
      <c r="AH1012" s="5"/>
      <c r="AI1012" s="5"/>
    </row>
    <row r="1013" ht="30.0" customHeight="1">
      <c r="AG1013" s="5"/>
      <c r="AH1013" s="5"/>
      <c r="AI1013" s="5"/>
    </row>
    <row r="1014" ht="30.0" customHeight="1">
      <c r="AG1014" s="5"/>
      <c r="AH1014" s="5"/>
      <c r="AI1014" s="5"/>
    </row>
    <row r="1015" ht="30.0" customHeight="1">
      <c r="AG1015" s="5"/>
      <c r="AH1015" s="5"/>
      <c r="AI1015" s="5"/>
    </row>
    <row r="1016" ht="30.0" customHeight="1">
      <c r="AG1016" s="5"/>
      <c r="AH1016" s="5"/>
      <c r="AI1016" s="5"/>
    </row>
    <row r="1017" ht="30.0" customHeight="1">
      <c r="AG1017" s="5"/>
      <c r="AH1017" s="5"/>
      <c r="AI1017" s="5"/>
    </row>
    <row r="1018" ht="30.0" customHeight="1">
      <c r="AG1018" s="5"/>
      <c r="AH1018" s="5"/>
      <c r="AI1018" s="5"/>
    </row>
    <row r="1019" ht="30.0" customHeight="1">
      <c r="AG1019" s="5"/>
      <c r="AH1019" s="5"/>
      <c r="AI1019" s="5"/>
    </row>
    <row r="1020" ht="30.0" customHeight="1">
      <c r="AG1020" s="5"/>
      <c r="AH1020" s="5"/>
      <c r="AI1020" s="5"/>
    </row>
    <row r="1021" ht="30.0" customHeight="1">
      <c r="AG1021" s="5"/>
      <c r="AH1021" s="5"/>
      <c r="AI1021" s="5"/>
    </row>
    <row r="1022" ht="30.0" customHeight="1">
      <c r="AG1022" s="5"/>
      <c r="AH1022" s="5"/>
      <c r="AI1022" s="5"/>
    </row>
    <row r="1023" ht="30.0" customHeight="1">
      <c r="AG1023" s="5"/>
      <c r="AH1023" s="5"/>
      <c r="AI1023" s="5"/>
    </row>
    <row r="1024" ht="30.0" customHeight="1">
      <c r="AG1024" s="5"/>
      <c r="AH1024" s="5"/>
      <c r="AI1024" s="5"/>
    </row>
    <row r="1025" ht="30.0" customHeight="1">
      <c r="AG1025" s="5"/>
      <c r="AH1025" s="5"/>
      <c r="AI1025" s="5"/>
    </row>
    <row r="1026" ht="30.0" customHeight="1">
      <c r="AG1026" s="5"/>
      <c r="AH1026" s="5"/>
      <c r="AI1026" s="5"/>
    </row>
    <row r="1027" ht="30.0" customHeight="1">
      <c r="AG1027" s="5"/>
      <c r="AH1027" s="5"/>
      <c r="AI1027" s="5"/>
    </row>
    <row r="1028" ht="30.0" customHeight="1">
      <c r="AG1028" s="5"/>
      <c r="AH1028" s="5"/>
      <c r="AI1028" s="5"/>
    </row>
    <row r="1029" ht="30.0" customHeight="1">
      <c r="AG1029" s="5"/>
      <c r="AH1029" s="5"/>
      <c r="AI1029" s="5"/>
    </row>
    <row r="1030" ht="30.0" customHeight="1">
      <c r="AG1030" s="5"/>
      <c r="AH1030" s="5"/>
      <c r="AI1030" s="5"/>
    </row>
    <row r="1031" ht="30.0" customHeight="1">
      <c r="AG1031" s="5"/>
      <c r="AH1031" s="5"/>
      <c r="AI1031" s="5"/>
    </row>
    <row r="1032" ht="30.0" customHeight="1">
      <c r="AG1032" s="5"/>
      <c r="AH1032" s="5"/>
      <c r="AI1032" s="5"/>
    </row>
    <row r="1033" ht="30.0" customHeight="1">
      <c r="AG1033" s="5"/>
      <c r="AH1033" s="5"/>
      <c r="AI1033" s="5"/>
    </row>
    <row r="1034" ht="30.0" customHeight="1">
      <c r="AG1034" s="5"/>
      <c r="AH1034" s="5"/>
      <c r="AI1034" s="5"/>
    </row>
    <row r="1035" ht="30.0" customHeight="1">
      <c r="AG1035" s="5"/>
      <c r="AH1035" s="5"/>
      <c r="AI1035" s="5"/>
    </row>
    <row r="1036" ht="30.0" customHeight="1">
      <c r="AG1036" s="5"/>
      <c r="AH1036" s="5"/>
      <c r="AI1036" s="5"/>
    </row>
    <row r="1037" ht="30.0" customHeight="1">
      <c r="AG1037" s="5"/>
      <c r="AH1037" s="5"/>
      <c r="AI1037" s="5"/>
    </row>
  </sheetData>
  <mergeCells count="16">
    <mergeCell ref="B1:X1"/>
    <mergeCell ref="D2:F2"/>
    <mergeCell ref="H2:J2"/>
    <mergeCell ref="L2:N2"/>
    <mergeCell ref="P2:S2"/>
    <mergeCell ref="U2:X2"/>
    <mergeCell ref="C4:AF4"/>
    <mergeCell ref="C179:AF179"/>
    <mergeCell ref="C189:AF189"/>
    <mergeCell ref="C10:AF10"/>
    <mergeCell ref="C37:AF37"/>
    <mergeCell ref="C64:AF64"/>
    <mergeCell ref="C97:AF97"/>
    <mergeCell ref="C123:AF123"/>
    <mergeCell ref="C149:AF149"/>
    <mergeCell ref="C166:AF166"/>
  </mergeCells>
  <conditionalFormatting sqref="C7:AF7 N33 Q33 X33:Y33">
    <cfRule type="expression" dxfId="5" priority="1" stopIfTrue="1">
      <formula>C7=""</formula>
    </cfRule>
  </conditionalFormatting>
  <conditionalFormatting sqref="K7 N7 R7 T7 C33:AC33 AE33:AF33">
    <cfRule type="expression" dxfId="5" priority="2" stopIfTrue="1">
      <formula>#REF!=""</formula>
    </cfRule>
  </conditionalFormatting>
  <conditionalFormatting sqref="AG42:AH42">
    <cfRule type="expression" dxfId="5" priority="3" stopIfTrue="1">
      <formula>AG42=""</formula>
    </cfRule>
  </conditionalFormatting>
  <conditionalFormatting sqref="C94:H94 J94:K94 M94:W94 Y94:AD94 AF94">
    <cfRule type="expression" dxfId="5" priority="4" stopIfTrue="1">
      <formula>#REF!=""</formula>
    </cfRule>
  </conditionalFormatting>
  <conditionalFormatting sqref="C120:K120 N120:AF120 C162:L163 N162:AF163">
    <cfRule type="expression" dxfId="5" priority="5" stopIfTrue="1">
      <formula>#REF!=""</formula>
    </cfRule>
  </conditionalFormatting>
  <dataValidations>
    <dataValidation type="list" allowBlank="1" showErrorMessage="1" sqref="B7 B13:B33 B40:B59 B67:B94 B102:B120 B128:B144 B153:B163 B171:B176 B184:B186 B194:B196">
      <formula1>'Nombres de los alumnos '!$B$4:$B$1016</formula1>
    </dataValidation>
    <dataValidation type="list" allowBlank="1" showErrorMessage="1" sqref="B100:B101 B126:B127 B152 B169:B170 B182:B183 B192:B193">
      <formula1>'Nombres de los alumnos '!$B$4:$B$999999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1E11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3" width="4.71"/>
    <col customWidth="1" min="34" max="36" width="20.86"/>
  </cols>
  <sheetData>
    <row r="1" ht="49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AH1" s="5"/>
      <c r="AI1" s="5"/>
      <c r="AJ1" s="5"/>
    </row>
    <row r="2" ht="15.0" customHeight="1">
      <c r="B2" s="6" t="s">
        <v>1</v>
      </c>
      <c r="C2" s="7" t="s">
        <v>2</v>
      </c>
      <c r="D2" s="8" t="s">
        <v>3</v>
      </c>
      <c r="E2" s="3"/>
      <c r="F2" s="4"/>
      <c r="G2" s="9" t="s">
        <v>4</v>
      </c>
      <c r="H2" s="8" t="s">
        <v>5</v>
      </c>
      <c r="I2" s="3"/>
      <c r="J2" s="4"/>
      <c r="K2" s="10" t="s">
        <v>6</v>
      </c>
      <c r="L2" s="8" t="s">
        <v>7</v>
      </c>
      <c r="M2" s="3"/>
      <c r="N2" s="4"/>
      <c r="O2" s="11" t="s">
        <v>8</v>
      </c>
      <c r="P2" s="8" t="s">
        <v>9</v>
      </c>
      <c r="Q2" s="3"/>
      <c r="R2" s="3"/>
      <c r="S2" s="4"/>
      <c r="T2" s="12" t="s">
        <v>10</v>
      </c>
      <c r="U2" s="8" t="s">
        <v>11</v>
      </c>
      <c r="V2" s="3"/>
      <c r="W2" s="3"/>
      <c r="X2" s="4"/>
      <c r="AH2" s="5"/>
      <c r="AI2" s="5"/>
      <c r="AJ2" s="5"/>
    </row>
    <row r="3" ht="15.0" customHeight="1">
      <c r="AH3" s="13"/>
      <c r="AI3" s="13"/>
      <c r="AJ3" s="13"/>
    </row>
    <row r="4" ht="30.0" customHeight="1">
      <c r="B4" s="14" t="s">
        <v>12</v>
      </c>
      <c r="C4" s="15" t="s">
        <v>13</v>
      </c>
      <c r="AH4" s="15">
        <v>2026.0</v>
      </c>
      <c r="AI4" s="15"/>
      <c r="AJ4" s="15"/>
    </row>
    <row r="5" ht="15.0" customHeight="1">
      <c r="B5" s="14"/>
      <c r="C5" s="16" t="str">
        <f>TEXT(WEEKDAY(DATE(Mayo!CalendarioAño,1,1),1),"ddd")</f>
        <v>jue</v>
      </c>
      <c r="D5" s="16" t="str">
        <f>TEXT(WEEKDAY(DATE(Mayo!CalendarioAño,1,2),1),"ddd")</f>
        <v>vie</v>
      </c>
      <c r="E5" s="16" t="str">
        <f>TEXT(WEEKDAY(DATE(Mayo!CalendarioAño,1,3),1),"ddd")</f>
        <v>sáb</v>
      </c>
      <c r="F5" s="16" t="str">
        <f>TEXT(WEEKDAY(DATE(Mayo!CalendarioAño,1,4),1),"ddd")</f>
        <v>dom</v>
      </c>
      <c r="G5" s="16" t="str">
        <f>TEXT(WEEKDAY(DATE(Mayo!CalendarioAño,1,5),1),"ddd")</f>
        <v>lun</v>
      </c>
      <c r="H5" s="16" t="str">
        <f>TEXT(WEEKDAY(DATE(Mayo!CalendarioAño,1,6),1),"ddd")</f>
        <v>mar</v>
      </c>
      <c r="I5" s="16" t="str">
        <f>TEXT(WEEKDAY(DATE(Mayo!CalendarioAño,1,7),1),"ddd")</f>
        <v>mié</v>
      </c>
      <c r="J5" s="16" t="str">
        <f>TEXT(WEEKDAY(DATE(Mayo!CalendarioAño,1,8),1),"ddd")</f>
        <v>jue</v>
      </c>
      <c r="K5" s="16" t="str">
        <f>TEXT(WEEKDAY(DATE(Mayo!CalendarioAño,1,9),1),"ddd")</f>
        <v>vie</v>
      </c>
      <c r="L5" s="16" t="str">
        <f>TEXT(WEEKDAY(DATE(Mayo!CalendarioAño,1,10),1),"ddd")</f>
        <v>sáb</v>
      </c>
      <c r="M5" s="16" t="str">
        <f>TEXT(WEEKDAY(DATE(Mayo!CalendarioAño,1,11),1),"ddd")</f>
        <v>dom</v>
      </c>
      <c r="N5" s="16" t="str">
        <f>TEXT(WEEKDAY(DATE(Mayo!CalendarioAño,1,12),1),"ddd")</f>
        <v>lun</v>
      </c>
      <c r="O5" s="16" t="str">
        <f>TEXT(WEEKDAY(DATE(Mayo!CalendarioAño,1,13),1),"ddd")</f>
        <v>mar</v>
      </c>
      <c r="P5" s="16" t="str">
        <f>TEXT(WEEKDAY(DATE(Mayo!CalendarioAño,1,14),1),"ddd")</f>
        <v>mié</v>
      </c>
      <c r="Q5" s="16" t="str">
        <f>TEXT(WEEKDAY(DATE(Mayo!CalendarioAño,1,15),1),"ddd")</f>
        <v>jue</v>
      </c>
      <c r="R5" s="16" t="str">
        <f>TEXT(WEEKDAY(DATE(Mayo!CalendarioAño,1,16),1),"ddd")</f>
        <v>vie</v>
      </c>
      <c r="S5" s="16" t="str">
        <f>TEXT(WEEKDAY(DATE(Mayo!CalendarioAño,1,17),1),"ddd")</f>
        <v>sáb</v>
      </c>
      <c r="T5" s="16" t="str">
        <f>TEXT(WEEKDAY(DATE(Mayo!CalendarioAño,1,18),1),"ddd")</f>
        <v>dom</v>
      </c>
      <c r="U5" s="16" t="str">
        <f>TEXT(WEEKDAY(DATE(Mayo!CalendarioAño,1,19),1),"ddd")</f>
        <v>lun</v>
      </c>
      <c r="V5" s="16" t="str">
        <f>TEXT(WEEKDAY(DATE(Mayo!CalendarioAño,1,20),1),"ddd")</f>
        <v>mar</v>
      </c>
      <c r="W5" s="16" t="str">
        <f>TEXT(WEEKDAY(DATE(Mayo!CalendarioAño,1,21),1),"ddd")</f>
        <v>mié</v>
      </c>
      <c r="X5" s="16" t="str">
        <f>TEXT(WEEKDAY(DATE(Mayo!CalendarioAño,1,22),1),"ddd")</f>
        <v>jue</v>
      </c>
      <c r="Y5" s="16" t="str">
        <f>TEXT(WEEKDAY(DATE(Mayo!CalendarioAño,1,23),1),"ddd")</f>
        <v>vie</v>
      </c>
      <c r="Z5" s="16" t="str">
        <f>TEXT(WEEKDAY(DATE(Mayo!CalendarioAño,1,24),1),"ddd")</f>
        <v>sáb</v>
      </c>
      <c r="AA5" s="16" t="str">
        <f>TEXT(WEEKDAY(DATE(Mayo!CalendarioAño,1,25),1),"ddd")</f>
        <v>dom</v>
      </c>
      <c r="AB5" s="16" t="str">
        <f>TEXT(WEEKDAY(DATE(Mayo!CalendarioAño,1,26),1),"ddd")</f>
        <v>lun</v>
      </c>
      <c r="AC5" s="16" t="str">
        <f>TEXT(WEEKDAY(DATE(Mayo!CalendarioAño,1,27),1),"ddd")</f>
        <v>mar</v>
      </c>
      <c r="AD5" s="16" t="str">
        <f>TEXT(WEEKDAY(DATE(Mayo!CalendarioAño,1,28),1),"ddd")</f>
        <v>mié</v>
      </c>
      <c r="AE5" s="16" t="str">
        <f>TEXT(WEEKDAY(DATE(Mayo!CalendarioAño,1,29),1),"ddd")</f>
        <v>jue</v>
      </c>
      <c r="AF5" s="16" t="str">
        <f>TEXT(WEEKDAY(DATE(Mayo!CalendarioAño,1,30),1),"ddd")</f>
        <v>vie</v>
      </c>
      <c r="AG5" s="16" t="str">
        <f>TEXT(WEEKDAY(DATE(Mayo!CalendarioAño,1,31),1),"ddd")</f>
        <v>sáb</v>
      </c>
      <c r="AH5" s="14"/>
      <c r="AI5" s="14"/>
      <c r="AJ5" s="14"/>
    </row>
    <row r="6" ht="15.0" customHeight="1">
      <c r="A6" s="17"/>
      <c r="B6" s="18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  <c r="I6" s="19" t="s">
        <v>21</v>
      </c>
      <c r="J6" s="19" t="s">
        <v>22</v>
      </c>
      <c r="K6" s="19" t="s">
        <v>23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19" t="s">
        <v>36</v>
      </c>
      <c r="Y6" s="19" t="s">
        <v>37</v>
      </c>
      <c r="Z6" s="19" t="s">
        <v>38</v>
      </c>
      <c r="AA6" s="19" t="s">
        <v>39</v>
      </c>
      <c r="AB6" s="19" t="s">
        <v>40</v>
      </c>
      <c r="AC6" s="19" t="s">
        <v>41</v>
      </c>
      <c r="AD6" s="19" t="s">
        <v>42</v>
      </c>
      <c r="AE6" s="19" t="s">
        <v>43</v>
      </c>
      <c r="AF6" s="19" t="s">
        <v>44</v>
      </c>
      <c r="AG6" s="19" t="s">
        <v>45</v>
      </c>
      <c r="AH6" s="19" t="s">
        <v>46</v>
      </c>
      <c r="AI6" s="19"/>
      <c r="AJ6" s="19"/>
    </row>
    <row r="7" ht="30.0" customHeight="1">
      <c r="B7" s="20"/>
      <c r="C7" s="21"/>
      <c r="D7" s="21"/>
      <c r="E7" s="21"/>
      <c r="F7" s="22"/>
      <c r="G7" s="22"/>
      <c r="H7" s="21"/>
      <c r="I7" s="21"/>
      <c r="J7" s="21"/>
      <c r="K7" s="22"/>
      <c r="L7" s="21"/>
      <c r="M7" s="21"/>
      <c r="N7" s="22"/>
      <c r="O7" s="21"/>
      <c r="P7" s="21"/>
      <c r="Q7" s="21"/>
      <c r="R7" s="22"/>
      <c r="S7" s="21"/>
      <c r="T7" s="22"/>
      <c r="U7" s="22"/>
      <c r="V7" s="21"/>
      <c r="W7" s="21"/>
      <c r="X7" s="21"/>
      <c r="Y7" s="22"/>
      <c r="Z7" s="21"/>
      <c r="AA7" s="22"/>
      <c r="AB7" s="22"/>
      <c r="AC7" s="21"/>
      <c r="AD7" s="21"/>
      <c r="AE7" s="21"/>
      <c r="AF7" s="22"/>
      <c r="AG7" s="21"/>
      <c r="AH7" s="23"/>
      <c r="AI7" s="23"/>
      <c r="AJ7" s="23"/>
    </row>
    <row r="8" ht="30.0" customHeight="1">
      <c r="B8" s="24" t="str">
        <f>Mayo!MonthName&amp;" Total"</f>
        <v>Enero Total</v>
      </c>
      <c r="C8" s="25">
        <f>SUBTOTAL(103,Mayo!$C$7)</f>
        <v>0</v>
      </c>
      <c r="D8" s="25">
        <f>SUBTOTAL(103,Mayo!$D$7)</f>
        <v>0</v>
      </c>
      <c r="E8" s="25">
        <f>SUBTOTAL(103,Mayo!$E$7)</f>
        <v>0</v>
      </c>
      <c r="F8" s="25">
        <f>SUBTOTAL(103,Mayo!$F$7)</f>
        <v>0</v>
      </c>
      <c r="G8" s="25">
        <f>SUBTOTAL(103,Mayo!$G$7)</f>
        <v>0</v>
      </c>
      <c r="H8" s="25">
        <f>SUBTOTAL(103,Mayo!$H$7)</f>
        <v>0</v>
      </c>
      <c r="I8" s="25">
        <f>SUBTOTAL(103,Mayo!$I$7)</f>
        <v>0</v>
      </c>
      <c r="J8" s="25">
        <f>SUBTOTAL(103,Mayo!$J$7)</f>
        <v>0</v>
      </c>
      <c r="K8" s="25">
        <f>SUBTOTAL(103,Mayo!$K$7)</f>
        <v>0</v>
      </c>
      <c r="L8" s="25">
        <f>SUBTOTAL(103,Mayo!$L$7)</f>
        <v>0</v>
      </c>
      <c r="M8" s="25">
        <f>SUBTOTAL(103,Mayo!$M$7)</f>
        <v>0</v>
      </c>
      <c r="N8" s="25">
        <f>SUBTOTAL(103,Mayo!$N$7)</f>
        <v>0</v>
      </c>
      <c r="O8" s="25">
        <f>SUBTOTAL(103,Mayo!$O$7)</f>
        <v>0</v>
      </c>
      <c r="P8" s="25">
        <f>SUBTOTAL(103,Mayo!$P$7)</f>
        <v>0</v>
      </c>
      <c r="Q8" s="25">
        <f>SUBTOTAL(103,Mayo!$Q$7)</f>
        <v>0</v>
      </c>
      <c r="R8" s="25">
        <f>SUBTOTAL(103,Mayo!$R$7)</f>
        <v>0</v>
      </c>
      <c r="S8" s="25">
        <f>SUBTOTAL(103,Mayo!$S$7)</f>
        <v>0</v>
      </c>
      <c r="T8" s="25">
        <f>SUBTOTAL(103,Mayo!$T$7)</f>
        <v>0</v>
      </c>
      <c r="U8" s="25">
        <f>SUBTOTAL(103,Mayo!$U$7)</f>
        <v>0</v>
      </c>
      <c r="V8" s="25">
        <f>SUBTOTAL(103,Mayo!$V$7)</f>
        <v>0</v>
      </c>
      <c r="W8" s="25">
        <f>SUBTOTAL(103,Mayo!$W$7)</f>
        <v>0</v>
      </c>
      <c r="X8" s="25">
        <f>SUBTOTAL(103,Mayo!$X$7)</f>
        <v>0</v>
      </c>
      <c r="Y8" s="25">
        <f>SUBTOTAL(103,Mayo!$Y$7)</f>
        <v>0</v>
      </c>
      <c r="Z8" s="25">
        <f>SUBTOTAL(103,Mayo!$Z$7)</f>
        <v>0</v>
      </c>
      <c r="AA8" s="25">
        <f>SUBTOTAL(103,Mayo!$AA$7)</f>
        <v>0</v>
      </c>
      <c r="AB8" s="25">
        <f>SUBTOTAL(103,Mayo!$AB$7)</f>
        <v>0</v>
      </c>
      <c r="AC8" s="25">
        <f>SUBTOTAL(103,Mayo!$AC$7)</f>
        <v>0</v>
      </c>
      <c r="AD8" s="25">
        <f>SUBTOTAL(103,Mayo!$AD$7)</f>
        <v>0</v>
      </c>
      <c r="AE8" s="25">
        <f>SUBTOTAL(103,Mayo!$AE$7)</f>
        <v>0</v>
      </c>
      <c r="AF8" s="25">
        <f>SUBTOTAL(103,Mayo!$AF$7)</f>
        <v>0</v>
      </c>
      <c r="AG8" s="25">
        <f>SUBTOTAL(103,Mayo!$AG$7)</f>
        <v>0</v>
      </c>
      <c r="AH8" s="25"/>
      <c r="AI8" s="25"/>
      <c r="AJ8" s="25"/>
    </row>
    <row r="9" ht="30.0" customHeight="1">
      <c r="AH9" s="5"/>
      <c r="AI9" s="5"/>
      <c r="AJ9" s="5"/>
    </row>
    <row r="10" ht="30.0" customHeight="1">
      <c r="B10" s="26" t="s">
        <v>12</v>
      </c>
      <c r="C10" s="27" t="s">
        <v>47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9">
        <v>2026.0</v>
      </c>
      <c r="AI10" s="15"/>
      <c r="AJ10" s="15"/>
    </row>
    <row r="11" ht="30.0" customHeight="1">
      <c r="B11" s="30"/>
      <c r="C11" s="16" t="str">
        <f>TEXT(WEEKDAY(DATE(Mayo!CalendarioAño,1,1),1),"ddd")</f>
        <v>jue</v>
      </c>
      <c r="D11" s="16" t="str">
        <f>TEXT(WEEKDAY(DATE(Mayo!CalendarioAño,1,2),1),"ddd")</f>
        <v>vie</v>
      </c>
      <c r="E11" s="16" t="str">
        <f>TEXT(WEEKDAY(DATE(Mayo!CalendarioAño,1,3),1),"ddd")</f>
        <v>sáb</v>
      </c>
      <c r="F11" s="16" t="str">
        <f>TEXT(WEEKDAY(DATE(Mayo!CalendarioAño,1,4),1),"ddd")</f>
        <v>dom</v>
      </c>
      <c r="G11" s="16" t="str">
        <f>TEXT(WEEKDAY(DATE(Mayo!CalendarioAño,1,5),1),"ddd")</f>
        <v>lun</v>
      </c>
      <c r="H11" s="16" t="str">
        <f>TEXT(WEEKDAY(DATE(Mayo!CalendarioAño,1,6),1),"ddd")</f>
        <v>mar</v>
      </c>
      <c r="I11" s="16" t="str">
        <f>TEXT(WEEKDAY(DATE(Mayo!CalendarioAño,1,7),1),"ddd")</f>
        <v>mié</v>
      </c>
      <c r="J11" s="16" t="str">
        <f>TEXT(WEEKDAY(DATE(Mayo!CalendarioAño,1,8),1),"ddd")</f>
        <v>jue</v>
      </c>
      <c r="K11" s="16" t="str">
        <f>TEXT(WEEKDAY(DATE(Mayo!CalendarioAño,1,9),1),"ddd")</f>
        <v>vie</v>
      </c>
      <c r="L11" s="16" t="str">
        <f>TEXT(WEEKDAY(DATE(Mayo!CalendarioAño,1,10),1),"ddd")</f>
        <v>sáb</v>
      </c>
      <c r="M11" s="16" t="str">
        <f>TEXT(WEEKDAY(DATE(Mayo!CalendarioAño,1,11),1),"ddd")</f>
        <v>dom</v>
      </c>
      <c r="N11" s="16" t="str">
        <f>TEXT(WEEKDAY(DATE(Mayo!CalendarioAño,1,12),1),"ddd")</f>
        <v>lun</v>
      </c>
      <c r="O11" s="16" t="str">
        <f>TEXT(WEEKDAY(DATE(Mayo!CalendarioAño,1,13),1),"ddd")</f>
        <v>mar</v>
      </c>
      <c r="P11" s="16" t="str">
        <f>TEXT(WEEKDAY(DATE(Mayo!CalendarioAño,1,14),1),"ddd")</f>
        <v>mié</v>
      </c>
      <c r="Q11" s="16" t="str">
        <f>TEXT(WEEKDAY(DATE(Mayo!CalendarioAño,1,15),1),"ddd")</f>
        <v>jue</v>
      </c>
      <c r="R11" s="16" t="str">
        <f>TEXT(WEEKDAY(DATE(Mayo!CalendarioAño,1,16),1),"ddd")</f>
        <v>vie</v>
      </c>
      <c r="S11" s="16" t="str">
        <f>TEXT(WEEKDAY(DATE(Mayo!CalendarioAño,1,17),1),"ddd")</f>
        <v>sáb</v>
      </c>
      <c r="T11" s="16" t="str">
        <f>TEXT(WEEKDAY(DATE(Mayo!CalendarioAño,1,18),1),"ddd")</f>
        <v>dom</v>
      </c>
      <c r="U11" s="16" t="str">
        <f>TEXT(WEEKDAY(DATE(Mayo!CalendarioAño,1,19),1),"ddd")</f>
        <v>lun</v>
      </c>
      <c r="V11" s="16" t="str">
        <f>TEXT(WEEKDAY(DATE(Mayo!CalendarioAño,1,20),1),"ddd")</f>
        <v>mar</v>
      </c>
      <c r="W11" s="16" t="str">
        <f>TEXT(WEEKDAY(DATE(Mayo!CalendarioAño,1,21),1),"ddd")</f>
        <v>mié</v>
      </c>
      <c r="X11" s="16" t="str">
        <f>TEXT(WEEKDAY(DATE(Mayo!CalendarioAño,1,22),1),"ddd")</f>
        <v>jue</v>
      </c>
      <c r="Y11" s="16" t="str">
        <f>TEXT(WEEKDAY(DATE(Mayo!CalendarioAño,1,23),1),"ddd")</f>
        <v>vie</v>
      </c>
      <c r="Z11" s="16" t="str">
        <f>TEXT(WEEKDAY(DATE(Mayo!CalendarioAño,1,24),1),"ddd")</f>
        <v>sáb</v>
      </c>
      <c r="AA11" s="16" t="str">
        <f>TEXT(WEEKDAY(DATE(Mayo!CalendarioAño,1,25),1),"ddd")</f>
        <v>dom</v>
      </c>
      <c r="AB11" s="16" t="str">
        <f>TEXT(WEEKDAY(DATE(Mayo!CalendarioAño,1,26),1),"ddd")</f>
        <v>lun</v>
      </c>
      <c r="AC11" s="16" t="str">
        <f>TEXT(WEEKDAY(DATE(Mayo!CalendarioAño,1,27),1),"ddd")</f>
        <v>mar</v>
      </c>
      <c r="AD11" s="16" t="str">
        <f>TEXT(WEEKDAY(DATE(Mayo!CalendarioAño,1,28),1),"ddd")</f>
        <v>mié</v>
      </c>
      <c r="AE11" s="16" t="str">
        <f>TEXT(WEEKDAY(DATE(Mayo!CalendarioAño,1,29),1),"ddd")</f>
        <v>jue</v>
      </c>
      <c r="AF11" s="16" t="str">
        <f>TEXT(WEEKDAY(DATE(Mayo!CalendarioAño,1,30),1),"ddd")</f>
        <v>vie</v>
      </c>
      <c r="AG11" s="16" t="str">
        <f>TEXT(WEEKDAY(DATE(Mayo!CalendarioAño,1,31),1),"ddd")</f>
        <v>sáb</v>
      </c>
      <c r="AH11" s="30"/>
      <c r="AI11" s="14"/>
      <c r="AJ11" s="14"/>
    </row>
    <row r="12" ht="21.75" customHeight="1">
      <c r="A12" s="17"/>
      <c r="B12" s="31" t="s">
        <v>14</v>
      </c>
      <c r="C12" s="19" t="s">
        <v>15</v>
      </c>
      <c r="D12" s="19" t="s">
        <v>16</v>
      </c>
      <c r="E12" s="19" t="s">
        <v>17</v>
      </c>
      <c r="F12" s="19" t="s">
        <v>18</v>
      </c>
      <c r="G12" s="19" t="s">
        <v>19</v>
      </c>
      <c r="H12" s="19" t="s">
        <v>20</v>
      </c>
      <c r="I12" s="19" t="s">
        <v>21</v>
      </c>
      <c r="J12" s="19" t="s">
        <v>22</v>
      </c>
      <c r="K12" s="19" t="s">
        <v>23</v>
      </c>
      <c r="L12" s="19" t="s">
        <v>24</v>
      </c>
      <c r="M12" s="19" t="s">
        <v>25</v>
      </c>
      <c r="N12" s="19" t="s">
        <v>26</v>
      </c>
      <c r="O12" s="19" t="s">
        <v>27</v>
      </c>
      <c r="P12" s="19" t="s">
        <v>28</v>
      </c>
      <c r="Q12" s="19" t="s">
        <v>29</v>
      </c>
      <c r="R12" s="19" t="s">
        <v>30</v>
      </c>
      <c r="S12" s="19" t="s">
        <v>31</v>
      </c>
      <c r="T12" s="19" t="s">
        <v>32</v>
      </c>
      <c r="U12" s="19" t="s">
        <v>33</v>
      </c>
      <c r="V12" s="19" t="s">
        <v>34</v>
      </c>
      <c r="W12" s="19" t="s">
        <v>35</v>
      </c>
      <c r="X12" s="19" t="s">
        <v>36</v>
      </c>
      <c r="Y12" s="19" t="s">
        <v>37</v>
      </c>
      <c r="Z12" s="19" t="s">
        <v>38</v>
      </c>
      <c r="AA12" s="19" t="s">
        <v>39</v>
      </c>
      <c r="AB12" s="19" t="s">
        <v>40</v>
      </c>
      <c r="AC12" s="19" t="s">
        <v>41</v>
      </c>
      <c r="AD12" s="19" t="s">
        <v>42</v>
      </c>
      <c r="AE12" s="19" t="s">
        <v>43</v>
      </c>
      <c r="AF12" s="19" t="s">
        <v>44</v>
      </c>
      <c r="AG12" s="19" t="s">
        <v>45</v>
      </c>
      <c r="AH12" s="19" t="s">
        <v>46</v>
      </c>
      <c r="AI12" s="19"/>
      <c r="AJ12" s="19"/>
    </row>
    <row r="13" ht="30.0" customHeight="1">
      <c r="B13" s="32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23"/>
      <c r="AI13" s="23"/>
      <c r="AJ13" s="23"/>
    </row>
    <row r="14" ht="30.0" customHeight="1">
      <c r="B14" s="32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23"/>
      <c r="AI14" s="23"/>
      <c r="AJ14" s="23"/>
    </row>
    <row r="15" ht="30.0" customHeight="1">
      <c r="B15" s="32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23"/>
      <c r="AI15" s="23"/>
      <c r="AJ15" s="23"/>
    </row>
    <row r="16" ht="30.0" customHeight="1">
      <c r="B16" s="32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23"/>
      <c r="AI16" s="23"/>
      <c r="AJ16" s="23"/>
    </row>
    <row r="17" ht="30.0" customHeight="1">
      <c r="B17" s="32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23"/>
      <c r="AI17" s="23"/>
      <c r="AJ17" s="23"/>
    </row>
    <row r="18" ht="30.0" customHeight="1">
      <c r="B18" s="32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23"/>
      <c r="AI18" s="23"/>
      <c r="AJ18" s="23"/>
    </row>
    <row r="19" ht="30.0" customHeight="1">
      <c r="B19" s="32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23"/>
      <c r="AI19" s="23"/>
      <c r="AJ19" s="23"/>
    </row>
    <row r="20" ht="30.0" customHeight="1">
      <c r="B20" s="32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23"/>
      <c r="AI20" s="23"/>
      <c r="AJ20" s="23"/>
    </row>
    <row r="21" ht="30.0" customHeight="1">
      <c r="B21" s="32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23"/>
      <c r="AI21" s="23"/>
      <c r="AJ21" s="23"/>
    </row>
    <row r="22" ht="30.0" customHeight="1">
      <c r="B22" s="32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23"/>
      <c r="AI22" s="23"/>
      <c r="AJ22" s="23"/>
    </row>
    <row r="23" ht="30.0" customHeight="1">
      <c r="B23" s="32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23"/>
      <c r="AI23" s="23"/>
      <c r="AJ23" s="23"/>
    </row>
    <row r="24" ht="30.0" customHeight="1">
      <c r="B24" s="32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23"/>
      <c r="AI24" s="23"/>
      <c r="AJ24" s="23"/>
    </row>
    <row r="25" ht="30.0" customHeight="1">
      <c r="B25" s="32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23"/>
      <c r="AI25" s="23"/>
      <c r="AJ25" s="23"/>
    </row>
    <row r="26" ht="30.0" customHeight="1">
      <c r="B26" s="32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23"/>
      <c r="AI26" s="23"/>
      <c r="AJ26" s="23"/>
    </row>
    <row r="27" ht="30.0" customHeight="1">
      <c r="B27" s="32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23"/>
      <c r="AI27" s="23"/>
      <c r="AJ27" s="23"/>
    </row>
    <row r="28" ht="30.0" customHeight="1">
      <c r="B28" s="32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23"/>
      <c r="AI28" s="23"/>
      <c r="AJ28" s="23"/>
    </row>
    <row r="29" ht="30.0" customHeight="1">
      <c r="B29" s="32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23"/>
      <c r="AI29" s="23"/>
      <c r="AJ29" s="23"/>
    </row>
    <row r="30" ht="30.0" customHeight="1">
      <c r="B30" s="32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23"/>
      <c r="AI30" s="23"/>
      <c r="AJ30" s="23"/>
    </row>
    <row r="31" ht="30.0" customHeight="1">
      <c r="B31" s="32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23"/>
      <c r="AI31" s="23"/>
      <c r="AJ31" s="23"/>
    </row>
    <row r="32" ht="30.0" customHeight="1">
      <c r="B32" s="32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23"/>
      <c r="AI32" s="23"/>
      <c r="AJ32" s="23"/>
    </row>
    <row r="33" ht="30.0" customHeight="1">
      <c r="B33" s="32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2"/>
      <c r="O33" s="21"/>
      <c r="P33" s="21"/>
      <c r="Q33" s="22"/>
      <c r="R33" s="21"/>
      <c r="S33" s="21"/>
      <c r="T33" s="21"/>
      <c r="U33" s="21"/>
      <c r="V33" s="21"/>
      <c r="W33" s="21"/>
      <c r="X33" s="22"/>
      <c r="Y33" s="22"/>
      <c r="Z33" s="21"/>
      <c r="AA33" s="21"/>
      <c r="AB33" s="21"/>
      <c r="AC33" s="21"/>
      <c r="AD33" s="33"/>
      <c r="AE33" s="22"/>
      <c r="AF33" s="21"/>
      <c r="AG33" s="22"/>
      <c r="AH33" s="23"/>
      <c r="AI33" s="23"/>
      <c r="AJ33" s="23"/>
    </row>
    <row r="34" ht="30.0" customHeight="1">
      <c r="B34" s="24" t="str">
        <f>Mayo!MonthName&amp;" Total"</f>
        <v>Enero Total</v>
      </c>
      <c r="C34" s="25">
        <f>SUBTOTAL(103,Mayo!$C$7)</f>
        <v>0</v>
      </c>
      <c r="D34" s="25">
        <f>SUBTOTAL(103,Mayo!$D$7)</f>
        <v>0</v>
      </c>
      <c r="E34" s="25">
        <f>SUBTOTAL(103,Mayo!$E$7)</f>
        <v>0</v>
      </c>
      <c r="F34" s="25"/>
      <c r="G34" s="25">
        <f>SUBTOTAL(103,Mayo!$G$7)</f>
        <v>0</v>
      </c>
      <c r="H34" s="25">
        <f>SUBTOTAL(103,Mayo!$H$7)</f>
        <v>0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ht="30.0" customHeight="1">
      <c r="AH35" s="5"/>
      <c r="AI35" s="5"/>
      <c r="AJ35" s="5"/>
    </row>
    <row r="36" ht="30.0" customHeight="1">
      <c r="AH36" s="5"/>
      <c r="AI36" s="5"/>
      <c r="AJ36" s="5"/>
    </row>
    <row r="37" ht="30.0" customHeight="1">
      <c r="B37" s="30" t="s">
        <v>12</v>
      </c>
      <c r="C37" s="27" t="s">
        <v>67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39">
        <v>2026.0</v>
      </c>
      <c r="AI37" s="15"/>
      <c r="AJ37" s="15"/>
    </row>
    <row r="38" ht="30.0" customHeight="1">
      <c r="B38" s="30"/>
      <c r="C38" s="16" t="str">
        <f>TEXT(WEEKDAY(DATE(Mayo!CalendarioAño,1,1),1),"ddd")</f>
        <v>jue</v>
      </c>
      <c r="D38" s="16" t="str">
        <f>TEXT(WEEKDAY(DATE(Mayo!CalendarioAño,1,2),1),"ddd")</f>
        <v>vie</v>
      </c>
      <c r="E38" s="16" t="str">
        <f>TEXT(WEEKDAY(DATE(Mayo!CalendarioAño,1,3),1),"ddd")</f>
        <v>sáb</v>
      </c>
      <c r="F38" s="16" t="str">
        <f>TEXT(WEEKDAY(DATE(Mayo!CalendarioAño,1,4),1),"ddd")</f>
        <v>dom</v>
      </c>
      <c r="G38" s="16" t="str">
        <f>TEXT(WEEKDAY(DATE(Mayo!CalendarioAño,1,5),1),"ddd")</f>
        <v>lun</v>
      </c>
      <c r="H38" s="16" t="str">
        <f>TEXT(WEEKDAY(DATE(Mayo!CalendarioAño,1,6),1),"ddd")</f>
        <v>mar</v>
      </c>
      <c r="I38" s="16" t="str">
        <f>TEXT(WEEKDAY(DATE(Mayo!CalendarioAño,1,7),1),"ddd")</f>
        <v>mié</v>
      </c>
      <c r="J38" s="16" t="str">
        <f>TEXT(WEEKDAY(DATE(Mayo!CalendarioAño,1,8),1),"ddd")</f>
        <v>jue</v>
      </c>
      <c r="K38" s="16" t="str">
        <f>TEXT(WEEKDAY(DATE(Mayo!CalendarioAño,1,9),1),"ddd")</f>
        <v>vie</v>
      </c>
      <c r="L38" s="16" t="str">
        <f>TEXT(WEEKDAY(DATE(Mayo!CalendarioAño,1,10),1),"ddd")</f>
        <v>sáb</v>
      </c>
      <c r="M38" s="16" t="str">
        <f>TEXT(WEEKDAY(DATE(Mayo!CalendarioAño,1,11),1),"ddd")</f>
        <v>dom</v>
      </c>
      <c r="N38" s="16" t="str">
        <f>TEXT(WEEKDAY(DATE(Mayo!CalendarioAño,1,12),1),"ddd")</f>
        <v>lun</v>
      </c>
      <c r="O38" s="16" t="str">
        <f>TEXT(WEEKDAY(DATE(Mayo!CalendarioAño,1,13),1),"ddd")</f>
        <v>mar</v>
      </c>
      <c r="P38" s="16" t="str">
        <f>TEXT(WEEKDAY(DATE(Mayo!CalendarioAño,1,14),1),"ddd")</f>
        <v>mié</v>
      </c>
      <c r="Q38" s="16" t="str">
        <f>TEXT(WEEKDAY(DATE(Mayo!CalendarioAño,1,15),1),"ddd")</f>
        <v>jue</v>
      </c>
      <c r="R38" s="16" t="str">
        <f>TEXT(WEEKDAY(DATE(Mayo!CalendarioAño,1,16),1),"ddd")</f>
        <v>vie</v>
      </c>
      <c r="S38" s="16" t="str">
        <f>TEXT(WEEKDAY(DATE(Mayo!CalendarioAño,1,17),1),"ddd")</f>
        <v>sáb</v>
      </c>
      <c r="T38" s="16" t="str">
        <f>TEXT(WEEKDAY(DATE(Mayo!CalendarioAño,1,18),1),"ddd")</f>
        <v>dom</v>
      </c>
      <c r="U38" s="16" t="str">
        <f>TEXT(WEEKDAY(DATE(Mayo!CalendarioAño,1,19),1),"ddd")</f>
        <v>lun</v>
      </c>
      <c r="V38" s="16" t="str">
        <f>TEXT(WEEKDAY(DATE(Mayo!CalendarioAño,1,20),1),"ddd")</f>
        <v>mar</v>
      </c>
      <c r="W38" s="16" t="str">
        <f>TEXT(WEEKDAY(DATE(Mayo!CalendarioAño,1,21),1),"ddd")</f>
        <v>mié</v>
      </c>
      <c r="X38" s="16" t="str">
        <f>TEXT(WEEKDAY(DATE(Mayo!CalendarioAño,1,22),1),"ddd")</f>
        <v>jue</v>
      </c>
      <c r="Y38" s="16" t="str">
        <f>TEXT(WEEKDAY(DATE(Mayo!CalendarioAño,1,23),1),"ddd")</f>
        <v>vie</v>
      </c>
      <c r="Z38" s="16" t="str">
        <f>TEXT(WEEKDAY(DATE(Mayo!CalendarioAño,1,24),1),"ddd")</f>
        <v>sáb</v>
      </c>
      <c r="AA38" s="16" t="str">
        <f>TEXT(WEEKDAY(DATE(Mayo!CalendarioAño,1,25),1),"ddd")</f>
        <v>dom</v>
      </c>
      <c r="AB38" s="16" t="str">
        <f>TEXT(WEEKDAY(DATE(Mayo!CalendarioAño,1,26),1),"ddd")</f>
        <v>lun</v>
      </c>
      <c r="AC38" s="16" t="str">
        <f>TEXT(WEEKDAY(DATE(Mayo!CalendarioAño,1,27),1),"ddd")</f>
        <v>mar</v>
      </c>
      <c r="AD38" s="16" t="str">
        <f>TEXT(WEEKDAY(DATE(Mayo!CalendarioAño,1,28),1),"ddd")</f>
        <v>mié</v>
      </c>
      <c r="AE38" s="16" t="str">
        <f>TEXT(WEEKDAY(DATE(Mayo!CalendarioAño,1,29),1),"ddd")</f>
        <v>jue</v>
      </c>
      <c r="AF38" s="16" t="str">
        <f>TEXT(WEEKDAY(DATE(Mayo!CalendarioAño,1,30),1),"ddd")</f>
        <v>vie</v>
      </c>
      <c r="AG38" s="16" t="str">
        <f>TEXT(WEEKDAY(DATE(Mayo!CalendarioAño,1,31),1),"ddd")</f>
        <v>sáb</v>
      </c>
      <c r="AH38" s="30"/>
      <c r="AI38" s="14"/>
      <c r="AJ38" s="14"/>
    </row>
    <row r="39" ht="30.0" customHeight="1">
      <c r="A39" s="17"/>
      <c r="B39" s="31" t="s">
        <v>14</v>
      </c>
      <c r="C39" s="19" t="s">
        <v>15</v>
      </c>
      <c r="D39" s="19" t="s">
        <v>16</v>
      </c>
      <c r="E39" s="19" t="s">
        <v>17</v>
      </c>
      <c r="F39" s="19" t="s">
        <v>18</v>
      </c>
      <c r="G39" s="19" t="s">
        <v>19</v>
      </c>
      <c r="H39" s="19" t="s">
        <v>20</v>
      </c>
      <c r="I39" s="19" t="s">
        <v>21</v>
      </c>
      <c r="J39" s="19" t="s">
        <v>22</v>
      </c>
      <c r="K39" s="19" t="s">
        <v>23</v>
      </c>
      <c r="L39" s="19" t="s">
        <v>24</v>
      </c>
      <c r="M39" s="19" t="s">
        <v>25</v>
      </c>
      <c r="N39" s="19" t="s">
        <v>26</v>
      </c>
      <c r="O39" s="19" t="s">
        <v>27</v>
      </c>
      <c r="P39" s="19" t="s">
        <v>28</v>
      </c>
      <c r="Q39" s="19" t="s">
        <v>29</v>
      </c>
      <c r="R39" s="19" t="s">
        <v>30</v>
      </c>
      <c r="S39" s="19" t="s">
        <v>31</v>
      </c>
      <c r="T39" s="19" t="s">
        <v>32</v>
      </c>
      <c r="U39" s="19" t="s">
        <v>33</v>
      </c>
      <c r="V39" s="19" t="s">
        <v>34</v>
      </c>
      <c r="W39" s="19" t="s">
        <v>35</v>
      </c>
      <c r="X39" s="19" t="s">
        <v>36</v>
      </c>
      <c r="Y39" s="19" t="s">
        <v>37</v>
      </c>
      <c r="Z39" s="19" t="s">
        <v>38</v>
      </c>
      <c r="AA39" s="19" t="s">
        <v>39</v>
      </c>
      <c r="AB39" s="19" t="s">
        <v>40</v>
      </c>
      <c r="AC39" s="19" t="s">
        <v>41</v>
      </c>
      <c r="AD39" s="19" t="s">
        <v>42</v>
      </c>
      <c r="AE39" s="19" t="s">
        <v>43</v>
      </c>
      <c r="AF39" s="19" t="s">
        <v>44</v>
      </c>
      <c r="AG39" s="19" t="s">
        <v>45</v>
      </c>
      <c r="AH39" s="19" t="s">
        <v>46</v>
      </c>
      <c r="AI39" s="19"/>
      <c r="AJ39" s="19"/>
    </row>
    <row r="40" ht="30.0" customHeight="1">
      <c r="B40" s="40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23"/>
      <c r="AI40" s="23"/>
      <c r="AJ40" s="23"/>
    </row>
    <row r="41" ht="30.0" customHeight="1">
      <c r="B41" s="4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23"/>
      <c r="AI41" s="23"/>
      <c r="AJ41" s="23"/>
    </row>
    <row r="42" ht="30.0" customHeight="1">
      <c r="B42" s="32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21"/>
      <c r="AI42" s="21"/>
      <c r="AJ42" s="33"/>
    </row>
    <row r="43" ht="30.0" customHeight="1">
      <c r="B43" s="32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23"/>
      <c r="AI43" s="23"/>
      <c r="AJ43" s="23"/>
    </row>
    <row r="44" ht="30.0" customHeight="1">
      <c r="B44" s="32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121"/>
      <c r="AI44" s="23"/>
      <c r="AJ44" s="23"/>
    </row>
    <row r="45" ht="30.0" customHeight="1">
      <c r="B45" s="32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23"/>
      <c r="AI45" s="23"/>
      <c r="AJ45" s="23"/>
    </row>
    <row r="46" ht="30.0" customHeight="1">
      <c r="B46" s="32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23"/>
      <c r="AI46" s="23"/>
      <c r="AJ46" s="23"/>
    </row>
    <row r="47" ht="30.0" customHeight="1">
      <c r="B47" s="32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23"/>
      <c r="AI47" s="23"/>
      <c r="AJ47" s="23"/>
    </row>
    <row r="48" ht="30.0" customHeight="1">
      <c r="B48" s="32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23"/>
      <c r="AI48" s="23"/>
      <c r="AJ48" s="23"/>
    </row>
    <row r="49" ht="30.0" customHeight="1">
      <c r="B49" s="40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23"/>
      <c r="AI49" s="23"/>
      <c r="AJ49" s="23"/>
    </row>
    <row r="50" ht="30.0" customHeight="1">
      <c r="B50" s="32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23"/>
      <c r="AI50" s="23"/>
      <c r="AJ50" s="23"/>
    </row>
    <row r="51" ht="30.0" customHeight="1">
      <c r="B51" s="32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23"/>
      <c r="AI51" s="23"/>
      <c r="AJ51" s="23"/>
    </row>
    <row r="52" ht="30.0" customHeight="1">
      <c r="B52" s="32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23"/>
      <c r="AI52" s="23"/>
      <c r="AJ52" s="23"/>
    </row>
    <row r="53" ht="30.0" customHeight="1">
      <c r="B53" s="32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23"/>
      <c r="AI53" s="23"/>
      <c r="AJ53" s="23"/>
    </row>
    <row r="54" ht="30.0" customHeight="1">
      <c r="B54" s="32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23"/>
      <c r="AI54" s="23"/>
      <c r="AJ54" s="23"/>
    </row>
    <row r="55" ht="30.0" customHeight="1">
      <c r="B55" s="32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23"/>
      <c r="AI55" s="23"/>
      <c r="AJ55" s="23"/>
    </row>
    <row r="56" ht="30.0" customHeight="1">
      <c r="B56" s="32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25"/>
      <c r="AI56" s="25"/>
      <c r="AJ56" s="25"/>
    </row>
    <row r="57" ht="30.0" customHeight="1">
      <c r="B57" s="32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25"/>
      <c r="AI57" s="25"/>
      <c r="AJ57" s="25"/>
    </row>
    <row r="58" ht="30.0" customHeight="1">
      <c r="B58" s="32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25"/>
      <c r="AI58" s="25"/>
      <c r="AJ58" s="25"/>
    </row>
    <row r="59" ht="30.0" customHeight="1">
      <c r="B59" s="32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25"/>
      <c r="AI59" s="25"/>
      <c r="AJ59" s="25"/>
    </row>
    <row r="60" ht="30.0" customHeight="1">
      <c r="B60" s="24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ht="30.0" customHeight="1">
      <c r="B61" s="24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ht="30.0" customHeight="1">
      <c r="B62" s="24" t="str">
        <f>Mayo!MonthName&amp;" Total"</f>
        <v>Enero Total</v>
      </c>
      <c r="C62" s="25">
        <f>SUBTOTAL(103,Mayo!$C$7)</f>
        <v>0</v>
      </c>
      <c r="D62" s="25">
        <f>SUBTOTAL(103,Mayo!$D$7)</f>
        <v>0</v>
      </c>
      <c r="E62" s="25">
        <f>SUBTOTAL(103,Mayo!$E$7)</f>
        <v>0</v>
      </c>
      <c r="F62" s="25"/>
      <c r="G62" s="25">
        <f>SUBTOTAL(103,Mayo!$G$7)</f>
        <v>0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ht="30.0" customHeight="1">
      <c r="AH63" s="5"/>
      <c r="AI63" s="5"/>
      <c r="AJ63" s="5"/>
    </row>
    <row r="64" ht="30.0" customHeight="1">
      <c r="B64" s="30" t="s">
        <v>12</v>
      </c>
      <c r="C64" s="27" t="s">
        <v>89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39">
        <v>2026.0</v>
      </c>
      <c r="AI64" s="15"/>
      <c r="AJ64" s="15"/>
    </row>
    <row r="65" ht="30.0" customHeight="1">
      <c r="B65" s="30"/>
      <c r="C65" s="16" t="str">
        <f>TEXT(WEEKDAY(DATE(Mayo!CalendarioAño,1,1),1),"ddd")</f>
        <v>jue</v>
      </c>
      <c r="D65" s="16" t="str">
        <f>TEXT(WEEKDAY(DATE(Mayo!CalendarioAño,1,2),1),"ddd")</f>
        <v>vie</v>
      </c>
      <c r="E65" s="16" t="str">
        <f>TEXT(WEEKDAY(DATE(Mayo!CalendarioAño,1,3),1),"ddd")</f>
        <v>sáb</v>
      </c>
      <c r="F65" s="16" t="str">
        <f>TEXT(WEEKDAY(DATE(Mayo!CalendarioAño,1,4),1),"ddd")</f>
        <v>dom</v>
      </c>
      <c r="G65" s="16" t="str">
        <f>TEXT(WEEKDAY(DATE(Mayo!CalendarioAño,1,5),1),"ddd")</f>
        <v>lun</v>
      </c>
      <c r="H65" s="16" t="str">
        <f>TEXT(WEEKDAY(DATE(Mayo!CalendarioAño,1,6),1),"ddd")</f>
        <v>mar</v>
      </c>
      <c r="I65" s="16" t="str">
        <f>TEXT(WEEKDAY(DATE(Mayo!CalendarioAño,1,7),1),"ddd")</f>
        <v>mié</v>
      </c>
      <c r="J65" s="16" t="str">
        <f>TEXT(WEEKDAY(DATE(Mayo!CalendarioAño,1,8),1),"ddd")</f>
        <v>jue</v>
      </c>
      <c r="K65" s="16" t="str">
        <f>TEXT(WEEKDAY(DATE(Mayo!CalendarioAño,1,9),1),"ddd")</f>
        <v>vie</v>
      </c>
      <c r="L65" s="16" t="str">
        <f>TEXT(WEEKDAY(DATE(Mayo!CalendarioAño,1,10),1),"ddd")</f>
        <v>sáb</v>
      </c>
      <c r="M65" s="16" t="str">
        <f>TEXT(WEEKDAY(DATE(Mayo!CalendarioAño,1,11),1),"ddd")</f>
        <v>dom</v>
      </c>
      <c r="N65" s="16" t="str">
        <f>TEXT(WEEKDAY(DATE(Mayo!CalendarioAño,1,12),1),"ddd")</f>
        <v>lun</v>
      </c>
      <c r="O65" s="16" t="str">
        <f>TEXT(WEEKDAY(DATE(Mayo!CalendarioAño,1,13),1),"ddd")</f>
        <v>mar</v>
      </c>
      <c r="P65" s="16" t="str">
        <f>TEXT(WEEKDAY(DATE(Mayo!CalendarioAño,1,14),1),"ddd")</f>
        <v>mié</v>
      </c>
      <c r="Q65" s="16" t="str">
        <f>TEXT(WEEKDAY(DATE(Mayo!CalendarioAño,1,15),1),"ddd")</f>
        <v>jue</v>
      </c>
      <c r="R65" s="16" t="str">
        <f>TEXT(WEEKDAY(DATE(Mayo!CalendarioAño,1,16),1),"ddd")</f>
        <v>vie</v>
      </c>
      <c r="S65" s="16" t="str">
        <f>TEXT(WEEKDAY(DATE(Mayo!CalendarioAño,1,17),1),"ddd")</f>
        <v>sáb</v>
      </c>
      <c r="T65" s="16" t="str">
        <f>TEXT(WEEKDAY(DATE(Mayo!CalendarioAño,1,18),1),"ddd")</f>
        <v>dom</v>
      </c>
      <c r="U65" s="16" t="str">
        <f>TEXT(WEEKDAY(DATE(Mayo!CalendarioAño,1,19),1),"ddd")</f>
        <v>lun</v>
      </c>
      <c r="V65" s="16" t="str">
        <f>TEXT(WEEKDAY(DATE(Mayo!CalendarioAño,1,20),1),"ddd")</f>
        <v>mar</v>
      </c>
      <c r="W65" s="16" t="str">
        <f>TEXT(WEEKDAY(DATE(Mayo!CalendarioAño,1,21),1),"ddd")</f>
        <v>mié</v>
      </c>
      <c r="X65" s="16" t="str">
        <f>TEXT(WEEKDAY(DATE(Mayo!CalendarioAño,1,22),1),"ddd")</f>
        <v>jue</v>
      </c>
      <c r="Y65" s="16" t="str">
        <f>TEXT(WEEKDAY(DATE(Mayo!CalendarioAño,1,23),1),"ddd")</f>
        <v>vie</v>
      </c>
      <c r="Z65" s="16" t="str">
        <f>TEXT(WEEKDAY(DATE(Mayo!CalendarioAño,1,24),1),"ddd")</f>
        <v>sáb</v>
      </c>
      <c r="AA65" s="16" t="str">
        <f>TEXT(WEEKDAY(DATE(Mayo!CalendarioAño,1,25),1),"ddd")</f>
        <v>dom</v>
      </c>
      <c r="AB65" s="16" t="str">
        <f>TEXT(WEEKDAY(DATE(Mayo!CalendarioAño,1,26),1),"ddd")</f>
        <v>lun</v>
      </c>
      <c r="AC65" s="16" t="str">
        <f>TEXT(WEEKDAY(DATE(Mayo!CalendarioAño,1,27),1),"ddd")</f>
        <v>mar</v>
      </c>
      <c r="AD65" s="16" t="str">
        <f>TEXT(WEEKDAY(DATE(Mayo!CalendarioAño,1,28),1),"ddd")</f>
        <v>mié</v>
      </c>
      <c r="AE65" s="16" t="str">
        <f>TEXT(WEEKDAY(DATE(Mayo!CalendarioAño,1,29),1),"ddd")</f>
        <v>jue</v>
      </c>
      <c r="AF65" s="16" t="str">
        <f>TEXT(WEEKDAY(DATE(Mayo!CalendarioAño,1,30),1),"ddd")</f>
        <v>vie</v>
      </c>
      <c r="AG65" s="16" t="str">
        <f>TEXT(WEEKDAY(DATE(Mayo!CalendarioAño,1,31),1),"ddd")</f>
        <v>sáb</v>
      </c>
      <c r="AH65" s="30"/>
      <c r="AI65" s="14"/>
      <c r="AJ65" s="14"/>
    </row>
    <row r="66" ht="30.0" customHeight="1">
      <c r="A66" s="17"/>
      <c r="B66" s="31" t="s">
        <v>14</v>
      </c>
      <c r="C66" s="19" t="s">
        <v>15</v>
      </c>
      <c r="D66" s="19" t="s">
        <v>16</v>
      </c>
      <c r="E66" s="19" t="s">
        <v>17</v>
      </c>
      <c r="F66" s="19" t="s">
        <v>18</v>
      </c>
      <c r="G66" s="19" t="s">
        <v>19</v>
      </c>
      <c r="H66" s="19" t="s">
        <v>20</v>
      </c>
      <c r="I66" s="19" t="s">
        <v>21</v>
      </c>
      <c r="J66" s="19" t="s">
        <v>22</v>
      </c>
      <c r="K66" s="19" t="s">
        <v>23</v>
      </c>
      <c r="L66" s="19" t="s">
        <v>24</v>
      </c>
      <c r="M66" s="19" t="s">
        <v>25</v>
      </c>
      <c r="N66" s="19" t="s">
        <v>26</v>
      </c>
      <c r="O66" s="19" t="s">
        <v>27</v>
      </c>
      <c r="P66" s="19" t="s">
        <v>28</v>
      </c>
      <c r="Q66" s="19" t="s">
        <v>29</v>
      </c>
      <c r="R66" s="19" t="s">
        <v>30</v>
      </c>
      <c r="S66" s="19" t="s">
        <v>31</v>
      </c>
      <c r="T66" s="19" t="s">
        <v>32</v>
      </c>
      <c r="U66" s="19" t="s">
        <v>33</v>
      </c>
      <c r="V66" s="19" t="s">
        <v>34</v>
      </c>
      <c r="W66" s="19" t="s">
        <v>35</v>
      </c>
      <c r="X66" s="19" t="s">
        <v>36</v>
      </c>
      <c r="Y66" s="19" t="s">
        <v>37</v>
      </c>
      <c r="Z66" s="19" t="s">
        <v>38</v>
      </c>
      <c r="AA66" s="19" t="s">
        <v>39</v>
      </c>
      <c r="AB66" s="19" t="s">
        <v>40</v>
      </c>
      <c r="AC66" s="19" t="s">
        <v>41</v>
      </c>
      <c r="AD66" s="19" t="s">
        <v>42</v>
      </c>
      <c r="AE66" s="19" t="s">
        <v>43</v>
      </c>
      <c r="AF66" s="19" t="s">
        <v>44</v>
      </c>
      <c r="AG66" s="19" t="s">
        <v>45</v>
      </c>
      <c r="AH66" s="19" t="s">
        <v>46</v>
      </c>
      <c r="AI66" s="19"/>
      <c r="AJ66" s="19"/>
    </row>
    <row r="67" ht="30.0" customHeight="1">
      <c r="B67" s="40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23"/>
      <c r="AI67" s="23"/>
      <c r="AJ67" s="23"/>
    </row>
    <row r="68" ht="30.0" customHeight="1">
      <c r="B68" s="40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23"/>
      <c r="AI68" s="23"/>
      <c r="AJ68" s="23"/>
    </row>
    <row r="69" ht="30.0" customHeight="1">
      <c r="B69" s="40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23"/>
      <c r="AI69" s="23"/>
      <c r="AJ69" s="23"/>
    </row>
    <row r="70" ht="30.0" customHeight="1">
      <c r="B70" s="40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23"/>
      <c r="AI70" s="23"/>
      <c r="AJ70" s="23"/>
    </row>
    <row r="71" ht="30.0" customHeight="1">
      <c r="B71" s="32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23"/>
      <c r="AI71" s="23"/>
      <c r="AJ71" s="23"/>
    </row>
    <row r="72" ht="30.0" customHeight="1">
      <c r="B72" s="40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23"/>
      <c r="AI72" s="23"/>
      <c r="AJ72" s="23"/>
    </row>
    <row r="73" ht="30.0" customHeight="1">
      <c r="B73" s="32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23"/>
      <c r="AI73" s="23"/>
      <c r="AJ73" s="23"/>
    </row>
    <row r="74" ht="30.0" customHeight="1">
      <c r="B74" s="32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23"/>
      <c r="AI74" s="23"/>
      <c r="AJ74" s="23"/>
    </row>
    <row r="75" ht="30.0" customHeight="1">
      <c r="B75" s="32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23"/>
      <c r="AI75" s="23"/>
      <c r="AJ75" s="23"/>
    </row>
    <row r="76" ht="30.0" customHeight="1">
      <c r="B76" s="32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23"/>
      <c r="AI76" s="23"/>
      <c r="AJ76" s="23"/>
    </row>
    <row r="77" ht="30.0" customHeight="1">
      <c r="B77" s="32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23"/>
      <c r="AI77" s="23"/>
      <c r="AJ77" s="23"/>
    </row>
    <row r="78" ht="30.0" customHeight="1">
      <c r="B78" s="32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23"/>
      <c r="AI78" s="23"/>
      <c r="AJ78" s="23"/>
    </row>
    <row r="79" ht="30.0" customHeight="1">
      <c r="B79" s="32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23"/>
      <c r="AI79" s="23"/>
      <c r="AJ79" s="23"/>
    </row>
    <row r="80" ht="30.0" customHeight="1">
      <c r="B80" s="32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23"/>
      <c r="AI80" s="23"/>
      <c r="AJ80" s="23"/>
    </row>
    <row r="81" ht="30.0" customHeight="1">
      <c r="B81" s="32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23"/>
      <c r="AI81" s="23"/>
      <c r="AJ81" s="23"/>
    </row>
    <row r="82" ht="30.0" customHeight="1">
      <c r="B82" s="32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23"/>
      <c r="AI82" s="23"/>
      <c r="AJ82" s="23"/>
    </row>
    <row r="83" ht="30.0" customHeight="1">
      <c r="B83" s="40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23"/>
      <c r="AI83" s="23"/>
      <c r="AJ83" s="23"/>
    </row>
    <row r="84" ht="30.0" customHeight="1">
      <c r="B84" s="40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23"/>
      <c r="AI84" s="23"/>
      <c r="AJ84" s="23"/>
    </row>
    <row r="85" ht="30.0" customHeight="1">
      <c r="B85" s="32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23"/>
      <c r="AI85" s="23"/>
      <c r="AJ85" s="23"/>
    </row>
    <row r="86" ht="30.0" customHeight="1">
      <c r="B86" s="32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23"/>
      <c r="AI86" s="23"/>
      <c r="AJ86" s="23"/>
    </row>
    <row r="87" ht="30.0" customHeight="1">
      <c r="B87" s="32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23"/>
      <c r="AI87" s="23"/>
      <c r="AJ87" s="23"/>
    </row>
    <row r="88" ht="30.0" customHeight="1">
      <c r="B88" s="32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23"/>
      <c r="AI88" s="23"/>
      <c r="AJ88" s="23"/>
    </row>
    <row r="89" ht="30.0" customHeight="1">
      <c r="B89" s="32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23"/>
      <c r="AI89" s="23"/>
      <c r="AJ89" s="23"/>
    </row>
    <row r="90" ht="30.0" customHeight="1">
      <c r="B90" s="32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23"/>
      <c r="AI90" s="23"/>
      <c r="AJ90" s="23"/>
    </row>
    <row r="91" ht="30.0" customHeight="1">
      <c r="B91" s="32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23"/>
      <c r="AI91" s="23"/>
      <c r="AJ91" s="23"/>
    </row>
    <row r="92" ht="30.0" customHeight="1">
      <c r="B92" s="32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23"/>
      <c r="AI92" s="23"/>
      <c r="AJ92" s="23"/>
    </row>
    <row r="93" ht="30.0" customHeight="1">
      <c r="B93" s="32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23"/>
      <c r="AI93" s="23"/>
      <c r="AJ93" s="23"/>
    </row>
    <row r="94" ht="30.0" customHeight="1">
      <c r="B94" s="20"/>
      <c r="C94" s="21"/>
      <c r="D94" s="21"/>
      <c r="E94" s="21"/>
      <c r="F94" s="21"/>
      <c r="G94" s="21"/>
      <c r="H94" s="21"/>
      <c r="I94" s="43"/>
      <c r="J94" s="43"/>
      <c r="K94" s="43"/>
      <c r="L94" s="43"/>
      <c r="M94" s="43"/>
      <c r="N94" s="21"/>
      <c r="O94" s="43"/>
      <c r="P94" s="43"/>
      <c r="Q94" s="43"/>
      <c r="R94" s="21"/>
      <c r="S94" s="43"/>
      <c r="T94" s="21"/>
      <c r="U94" s="21"/>
      <c r="V94" s="21"/>
      <c r="W94" s="21"/>
      <c r="X94" s="43"/>
      <c r="Y94" s="21"/>
      <c r="Z94" s="43"/>
      <c r="AA94" s="21"/>
      <c r="AB94" s="21"/>
      <c r="AC94" s="21"/>
      <c r="AD94" s="21"/>
      <c r="AE94" s="33"/>
      <c r="AF94" s="21"/>
      <c r="AG94" s="21"/>
      <c r="AH94" s="23"/>
      <c r="AI94" s="23"/>
      <c r="AJ94" s="23"/>
    </row>
    <row r="95" ht="30.0" customHeight="1">
      <c r="B95" s="48" t="str">
        <f>Mayo!MonthName&amp;" Total"</f>
        <v>Enero Total</v>
      </c>
      <c r="C95" s="25">
        <f>SUBTOTAL(103,Mayo!$C$7)</f>
        <v>0</v>
      </c>
      <c r="D95" s="25">
        <f>SUBTOTAL(103,Mayo!$D$7)</f>
        <v>0</v>
      </c>
      <c r="E95" s="25">
        <f>SUBTOTAL(103,Mayo!$E$7)</f>
        <v>0</v>
      </c>
      <c r="F95" s="25"/>
      <c r="G95" s="25">
        <f>SUBTOTAL(103,Mayo!$G$7)</f>
        <v>0</v>
      </c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</row>
    <row r="96" ht="30.0" customHeight="1">
      <c r="AH96" s="5"/>
      <c r="AI96" s="5"/>
      <c r="AJ96" s="5"/>
    </row>
    <row r="97" ht="30.0" customHeight="1">
      <c r="B97" s="30" t="s">
        <v>12</v>
      </c>
      <c r="C97" s="27" t="s">
        <v>118</v>
      </c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39">
        <v>2026.0</v>
      </c>
      <c r="AI97" s="15"/>
      <c r="AJ97" s="15"/>
    </row>
    <row r="98" ht="30.0" customHeight="1">
      <c r="B98" s="30"/>
      <c r="C98" s="16" t="str">
        <f>TEXT(WEEKDAY(DATE(Mayo!CalendarioAño,1,1),1),"ddd")</f>
        <v>jue</v>
      </c>
      <c r="D98" s="16" t="str">
        <f>TEXT(WEEKDAY(DATE(Mayo!CalendarioAño,1,2),1),"ddd")</f>
        <v>vie</v>
      </c>
      <c r="E98" s="16" t="str">
        <f>TEXT(WEEKDAY(DATE(Mayo!CalendarioAño,1,3),1),"ddd")</f>
        <v>sáb</v>
      </c>
      <c r="F98" s="16" t="str">
        <f>TEXT(WEEKDAY(DATE(Mayo!CalendarioAño,1,4),1),"ddd")</f>
        <v>dom</v>
      </c>
      <c r="G98" s="16" t="str">
        <f>TEXT(WEEKDAY(DATE(Mayo!CalendarioAño,1,5),1),"ddd")</f>
        <v>lun</v>
      </c>
      <c r="H98" s="16" t="str">
        <f>TEXT(WEEKDAY(DATE(Mayo!CalendarioAño,1,6),1),"ddd")</f>
        <v>mar</v>
      </c>
      <c r="I98" s="16" t="str">
        <f>TEXT(WEEKDAY(DATE(Mayo!CalendarioAño,1,7),1),"ddd")</f>
        <v>mié</v>
      </c>
      <c r="J98" s="16" t="str">
        <f>TEXT(WEEKDAY(DATE(Mayo!CalendarioAño,1,8),1),"ddd")</f>
        <v>jue</v>
      </c>
      <c r="K98" s="16" t="str">
        <f>TEXT(WEEKDAY(DATE(Mayo!CalendarioAño,1,9),1),"ddd")</f>
        <v>vie</v>
      </c>
      <c r="L98" s="16" t="str">
        <f>TEXT(WEEKDAY(DATE(Mayo!CalendarioAño,1,10),1),"ddd")</f>
        <v>sáb</v>
      </c>
      <c r="M98" s="16" t="str">
        <f>TEXT(WEEKDAY(DATE(Mayo!CalendarioAño,1,11),1),"ddd")</f>
        <v>dom</v>
      </c>
      <c r="N98" s="16" t="str">
        <f>TEXT(WEEKDAY(DATE(Mayo!CalendarioAño,1,12),1),"ddd")</f>
        <v>lun</v>
      </c>
      <c r="O98" s="16" t="str">
        <f>TEXT(WEEKDAY(DATE(Mayo!CalendarioAño,1,13),1),"ddd")</f>
        <v>mar</v>
      </c>
      <c r="P98" s="16" t="str">
        <f>TEXT(WEEKDAY(DATE(Mayo!CalendarioAño,1,14),1),"ddd")</f>
        <v>mié</v>
      </c>
      <c r="Q98" s="16" t="str">
        <f>TEXT(WEEKDAY(DATE(Mayo!CalendarioAño,1,15),1),"ddd")</f>
        <v>jue</v>
      </c>
      <c r="R98" s="16" t="str">
        <f>TEXT(WEEKDAY(DATE(Mayo!CalendarioAño,1,16),1),"ddd")</f>
        <v>vie</v>
      </c>
      <c r="S98" s="16" t="str">
        <f>TEXT(WEEKDAY(DATE(Mayo!CalendarioAño,1,17),1),"ddd")</f>
        <v>sáb</v>
      </c>
      <c r="T98" s="16" t="str">
        <f>TEXT(WEEKDAY(DATE(Mayo!CalendarioAño,1,18),1),"ddd")</f>
        <v>dom</v>
      </c>
      <c r="U98" s="16" t="str">
        <f>TEXT(WEEKDAY(DATE(Mayo!CalendarioAño,1,19),1),"ddd")</f>
        <v>lun</v>
      </c>
      <c r="V98" s="16" t="str">
        <f>TEXT(WEEKDAY(DATE(Mayo!CalendarioAño,1,20),1),"ddd")</f>
        <v>mar</v>
      </c>
      <c r="W98" s="16" t="str">
        <f>TEXT(WEEKDAY(DATE(Mayo!CalendarioAño,1,21),1),"ddd")</f>
        <v>mié</v>
      </c>
      <c r="X98" s="16" t="str">
        <f>TEXT(WEEKDAY(DATE(Mayo!CalendarioAño,1,22),1),"ddd")</f>
        <v>jue</v>
      </c>
      <c r="Y98" s="16" t="str">
        <f>TEXT(WEEKDAY(DATE(Mayo!CalendarioAño,1,23),1),"ddd")</f>
        <v>vie</v>
      </c>
      <c r="Z98" s="16" t="str">
        <f>TEXT(WEEKDAY(DATE(Mayo!CalendarioAño,1,24),1),"ddd")</f>
        <v>sáb</v>
      </c>
      <c r="AA98" s="16" t="str">
        <f>TEXT(WEEKDAY(DATE(Mayo!CalendarioAño,1,25),1),"ddd")</f>
        <v>dom</v>
      </c>
      <c r="AB98" s="16" t="str">
        <f>TEXT(WEEKDAY(DATE(Mayo!CalendarioAño,1,26),1),"ddd")</f>
        <v>lun</v>
      </c>
      <c r="AC98" s="16" t="str">
        <f>TEXT(WEEKDAY(DATE(Mayo!CalendarioAño,1,27),1),"ddd")</f>
        <v>mar</v>
      </c>
      <c r="AD98" s="16" t="str">
        <f>TEXT(WEEKDAY(DATE(Mayo!CalendarioAño,1,28),1),"ddd")</f>
        <v>mié</v>
      </c>
      <c r="AE98" s="16" t="str">
        <f>TEXT(WEEKDAY(DATE(Mayo!CalendarioAño,1,29),1),"ddd")</f>
        <v>jue</v>
      </c>
      <c r="AF98" s="16" t="str">
        <f>TEXT(WEEKDAY(DATE(Mayo!CalendarioAño,1,30),1),"ddd")</f>
        <v>vie</v>
      </c>
      <c r="AG98" s="16" t="str">
        <f>TEXT(WEEKDAY(DATE(Mayo!CalendarioAño,1,31),1),"ddd")</f>
        <v>sáb</v>
      </c>
      <c r="AH98" s="30"/>
      <c r="AI98" s="14"/>
      <c r="AJ98" s="14"/>
    </row>
    <row r="99" ht="30.0" customHeight="1">
      <c r="A99" s="17"/>
      <c r="B99" s="31" t="s">
        <v>14</v>
      </c>
      <c r="C99" s="19" t="s">
        <v>15</v>
      </c>
      <c r="D99" s="19" t="s">
        <v>16</v>
      </c>
      <c r="E99" s="19" t="s">
        <v>17</v>
      </c>
      <c r="F99" s="19" t="s">
        <v>18</v>
      </c>
      <c r="G99" s="19" t="s">
        <v>19</v>
      </c>
      <c r="H99" s="19" t="s">
        <v>20</v>
      </c>
      <c r="I99" s="19" t="s">
        <v>21</v>
      </c>
      <c r="J99" s="19" t="s">
        <v>22</v>
      </c>
      <c r="K99" s="19" t="s">
        <v>23</v>
      </c>
      <c r="L99" s="19" t="s">
        <v>24</v>
      </c>
      <c r="M99" s="19" t="s">
        <v>25</v>
      </c>
      <c r="N99" s="19" t="s">
        <v>26</v>
      </c>
      <c r="O99" s="19" t="s">
        <v>27</v>
      </c>
      <c r="P99" s="19" t="s">
        <v>28</v>
      </c>
      <c r="Q99" s="19" t="s">
        <v>29</v>
      </c>
      <c r="R99" s="19" t="s">
        <v>30</v>
      </c>
      <c r="S99" s="19" t="s">
        <v>31</v>
      </c>
      <c r="T99" s="19" t="s">
        <v>32</v>
      </c>
      <c r="U99" s="19" t="s">
        <v>33</v>
      </c>
      <c r="V99" s="19" t="s">
        <v>34</v>
      </c>
      <c r="W99" s="19" t="s">
        <v>35</v>
      </c>
      <c r="X99" s="19" t="s">
        <v>36</v>
      </c>
      <c r="Y99" s="19" t="s">
        <v>37</v>
      </c>
      <c r="Z99" s="19" t="s">
        <v>38</v>
      </c>
      <c r="AA99" s="19" t="s">
        <v>39</v>
      </c>
      <c r="AB99" s="19" t="s">
        <v>40</v>
      </c>
      <c r="AC99" s="19" t="s">
        <v>41</v>
      </c>
      <c r="AD99" s="19" t="s">
        <v>42</v>
      </c>
      <c r="AE99" s="19" t="s">
        <v>43</v>
      </c>
      <c r="AF99" s="19" t="s">
        <v>44</v>
      </c>
      <c r="AG99" s="19" t="s">
        <v>45</v>
      </c>
      <c r="AH99" s="19" t="s">
        <v>46</v>
      </c>
      <c r="AI99" s="19"/>
      <c r="AJ99" s="19"/>
    </row>
    <row r="100" ht="30.0" customHeight="1">
      <c r="B100" s="32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23"/>
      <c r="AI100" s="23"/>
      <c r="AJ100" s="23"/>
    </row>
    <row r="101" ht="30.0" customHeight="1">
      <c r="B101" s="32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23"/>
      <c r="AI101" s="23"/>
      <c r="AJ101" s="23"/>
    </row>
    <row r="102" ht="30.0" customHeight="1">
      <c r="B102" s="32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23"/>
      <c r="AI102" s="23"/>
      <c r="AJ102" s="23"/>
    </row>
    <row r="103" ht="30.0" customHeight="1">
      <c r="B103" s="32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23"/>
      <c r="AI103" s="23"/>
      <c r="AJ103" s="23"/>
    </row>
    <row r="104" ht="30.0" customHeight="1">
      <c r="B104" s="32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23"/>
      <c r="AI104" s="23"/>
      <c r="AJ104" s="23"/>
    </row>
    <row r="105" ht="30.0" customHeight="1">
      <c r="B105" s="32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23"/>
      <c r="AI105" s="23"/>
      <c r="AJ105" s="23"/>
    </row>
    <row r="106" ht="30.0" customHeight="1">
      <c r="B106" s="32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23"/>
      <c r="AI106" s="23"/>
      <c r="AJ106" s="23"/>
    </row>
    <row r="107" ht="30.0" customHeight="1">
      <c r="B107" s="32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23"/>
      <c r="AI107" s="23"/>
      <c r="AJ107" s="23"/>
    </row>
    <row r="108" ht="30.0" customHeight="1">
      <c r="B108" s="32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23"/>
      <c r="AI108" s="23"/>
      <c r="AJ108" s="23"/>
    </row>
    <row r="109" ht="30.0" customHeight="1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23"/>
      <c r="AI109" s="23"/>
      <c r="AJ109" s="23"/>
    </row>
    <row r="110" ht="30.0" customHeight="1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23"/>
      <c r="AI110" s="23"/>
      <c r="AJ110" s="23"/>
    </row>
    <row r="111" ht="30.0" customHeight="1">
      <c r="A111" s="50"/>
      <c r="B111" s="5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23"/>
      <c r="AI111" s="23"/>
      <c r="AJ111" s="23"/>
    </row>
    <row r="112" ht="30.0" customHeight="1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23"/>
      <c r="AI112" s="23"/>
      <c r="AJ112" s="23"/>
    </row>
    <row r="113" ht="30.0" customHeight="1">
      <c r="A113" s="50"/>
      <c r="B113" s="5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23"/>
      <c r="AI113" s="23"/>
      <c r="AJ113" s="23"/>
    </row>
    <row r="114" ht="30.0" customHeight="1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23"/>
      <c r="AI114" s="23"/>
      <c r="AJ114" s="23"/>
    </row>
    <row r="115" ht="30.0" customHeight="1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23"/>
      <c r="AI115" s="23"/>
      <c r="AJ115" s="23"/>
    </row>
    <row r="116" ht="30.0" customHeight="1">
      <c r="A116" s="50"/>
      <c r="B116" s="5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23"/>
      <c r="AI116" s="23"/>
      <c r="AJ116" s="23"/>
    </row>
    <row r="117" ht="30.0" customHeight="1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23"/>
      <c r="AI117" s="23"/>
      <c r="AJ117" s="23"/>
    </row>
    <row r="118" ht="30.0" customHeight="1">
      <c r="A118" s="50"/>
      <c r="B118" s="5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23"/>
      <c r="AI118" s="23"/>
      <c r="AJ118" s="23"/>
    </row>
    <row r="119" ht="30.0" customHeight="1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23"/>
      <c r="AI119" s="23"/>
      <c r="AJ119" s="23"/>
    </row>
    <row r="120" ht="30.0" customHeight="1">
      <c r="A120" s="50"/>
      <c r="B120" s="71"/>
      <c r="C120" s="36"/>
      <c r="D120" s="36"/>
      <c r="E120" s="36"/>
      <c r="F120" s="36"/>
      <c r="G120" s="36"/>
      <c r="H120" s="36"/>
      <c r="I120" s="36"/>
      <c r="J120" s="36"/>
      <c r="K120" s="52"/>
      <c r="L120" s="43"/>
      <c r="M120" s="43"/>
      <c r="N120" s="36"/>
      <c r="O120" s="43"/>
      <c r="P120" s="43"/>
      <c r="Q120" s="36"/>
      <c r="R120" s="36"/>
      <c r="S120" s="36"/>
      <c r="T120" s="43"/>
      <c r="U120" s="36"/>
      <c r="V120" s="36"/>
      <c r="W120" s="36"/>
      <c r="X120" s="36"/>
      <c r="Y120" s="36"/>
      <c r="Z120" s="36"/>
      <c r="AA120" s="43"/>
      <c r="AB120" s="36"/>
      <c r="AC120" s="36"/>
      <c r="AD120" s="36"/>
      <c r="AE120" s="36"/>
      <c r="AF120" s="33"/>
      <c r="AG120" s="36"/>
      <c r="AH120" s="23"/>
      <c r="AI120" s="23"/>
      <c r="AJ120" s="23"/>
    </row>
    <row r="121" ht="30.0" customHeight="1">
      <c r="B121" s="48" t="str">
        <f>Mayo!MonthName&amp;" Total"</f>
        <v>Enero Total</v>
      </c>
      <c r="C121" s="25">
        <f>SUBTOTAL(103,Mayo!$C$7)</f>
        <v>0</v>
      </c>
      <c r="D121" s="25">
        <f>SUBTOTAL(103,Mayo!$D$7)</f>
        <v>0</v>
      </c>
      <c r="E121" s="25">
        <f>SUBTOTAL(103,Mayo!$E$7)</f>
        <v>0</v>
      </c>
      <c r="F121" s="25"/>
      <c r="G121" s="25"/>
      <c r="H121" s="25">
        <f>SUBTOTAL(103,Mayo!$H$7)</f>
        <v>0</v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</row>
    <row r="122" ht="30.0" customHeight="1">
      <c r="AH122" s="5"/>
      <c r="AI122" s="5"/>
      <c r="AJ122" s="5"/>
    </row>
    <row r="123" ht="30.0" customHeight="1">
      <c r="B123" s="30" t="s">
        <v>12</v>
      </c>
      <c r="C123" s="27" t="s">
        <v>140</v>
      </c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39">
        <v>2026.0</v>
      </c>
      <c r="AI123" s="15"/>
      <c r="AJ123" s="15"/>
    </row>
    <row r="124" ht="30.0" customHeight="1">
      <c r="B124" s="30"/>
      <c r="C124" s="16" t="str">
        <f>TEXT(WEEKDAY(DATE(Mayo!CalendarioAño,1,1),1),"ddd")</f>
        <v>jue</v>
      </c>
      <c r="D124" s="16" t="str">
        <f>TEXT(WEEKDAY(DATE(Mayo!CalendarioAño,1,2),1),"ddd")</f>
        <v>vie</v>
      </c>
      <c r="E124" s="16" t="str">
        <f>TEXT(WEEKDAY(DATE(Mayo!CalendarioAño,1,3),1),"ddd")</f>
        <v>sáb</v>
      </c>
      <c r="F124" s="16" t="str">
        <f>TEXT(WEEKDAY(DATE(Mayo!CalendarioAño,1,4),1),"ddd")</f>
        <v>dom</v>
      </c>
      <c r="G124" s="16" t="str">
        <f>TEXT(WEEKDAY(DATE(Mayo!CalendarioAño,1,5),1),"ddd")</f>
        <v>lun</v>
      </c>
      <c r="H124" s="16" t="str">
        <f>TEXT(WEEKDAY(DATE(Mayo!CalendarioAño,1,6),1),"ddd")</f>
        <v>mar</v>
      </c>
      <c r="I124" s="16" t="str">
        <f>TEXT(WEEKDAY(DATE(Mayo!CalendarioAño,1,7),1),"ddd")</f>
        <v>mié</v>
      </c>
      <c r="J124" s="16" t="str">
        <f>TEXT(WEEKDAY(DATE(Mayo!CalendarioAño,1,8),1),"ddd")</f>
        <v>jue</v>
      </c>
      <c r="K124" s="16" t="str">
        <f>TEXT(WEEKDAY(DATE(Mayo!CalendarioAño,1,9),1),"ddd")</f>
        <v>vie</v>
      </c>
      <c r="L124" s="16" t="str">
        <f>TEXT(WEEKDAY(DATE(Mayo!CalendarioAño,1,10),1),"ddd")</f>
        <v>sáb</v>
      </c>
      <c r="M124" s="16" t="str">
        <f>TEXT(WEEKDAY(DATE(Mayo!CalendarioAño,1,11),1),"ddd")</f>
        <v>dom</v>
      </c>
      <c r="N124" s="16" t="str">
        <f>TEXT(WEEKDAY(DATE(Mayo!CalendarioAño,1,12),1),"ddd")</f>
        <v>lun</v>
      </c>
      <c r="O124" s="16" t="str">
        <f>TEXT(WEEKDAY(DATE(Mayo!CalendarioAño,1,13),1),"ddd")</f>
        <v>mar</v>
      </c>
      <c r="P124" s="16" t="str">
        <f>TEXT(WEEKDAY(DATE(Mayo!CalendarioAño,1,14),1),"ddd")</f>
        <v>mié</v>
      </c>
      <c r="Q124" s="16" t="str">
        <f>TEXT(WEEKDAY(DATE(Mayo!CalendarioAño,1,15),1),"ddd")</f>
        <v>jue</v>
      </c>
      <c r="R124" s="16" t="str">
        <f>TEXT(WEEKDAY(DATE(Mayo!CalendarioAño,1,16),1),"ddd")</f>
        <v>vie</v>
      </c>
      <c r="S124" s="16" t="str">
        <f>TEXT(WEEKDAY(DATE(Mayo!CalendarioAño,1,17),1),"ddd")</f>
        <v>sáb</v>
      </c>
      <c r="T124" s="16" t="str">
        <f>TEXT(WEEKDAY(DATE(Mayo!CalendarioAño,1,18),1),"ddd")</f>
        <v>dom</v>
      </c>
      <c r="U124" s="16" t="str">
        <f>TEXT(WEEKDAY(DATE(Mayo!CalendarioAño,1,19),1),"ddd")</f>
        <v>lun</v>
      </c>
      <c r="V124" s="16" t="str">
        <f>TEXT(WEEKDAY(DATE(Mayo!CalendarioAño,1,20),1),"ddd")</f>
        <v>mar</v>
      </c>
      <c r="W124" s="16" t="str">
        <f>TEXT(WEEKDAY(DATE(Mayo!CalendarioAño,1,21),1),"ddd")</f>
        <v>mié</v>
      </c>
      <c r="X124" s="16" t="str">
        <f>TEXT(WEEKDAY(DATE(Mayo!CalendarioAño,1,22),1),"ddd")</f>
        <v>jue</v>
      </c>
      <c r="Y124" s="16" t="str">
        <f>TEXT(WEEKDAY(DATE(Mayo!CalendarioAño,1,23),1),"ddd")</f>
        <v>vie</v>
      </c>
      <c r="Z124" s="16" t="str">
        <f>TEXT(WEEKDAY(DATE(Mayo!CalendarioAño,1,24),1),"ddd")</f>
        <v>sáb</v>
      </c>
      <c r="AA124" s="16" t="str">
        <f>TEXT(WEEKDAY(DATE(Mayo!CalendarioAño,1,25),1),"ddd")</f>
        <v>dom</v>
      </c>
      <c r="AB124" s="16" t="str">
        <f>TEXT(WEEKDAY(DATE(Mayo!CalendarioAño,1,26),1),"ddd")</f>
        <v>lun</v>
      </c>
      <c r="AC124" s="16" t="str">
        <f>TEXT(WEEKDAY(DATE(Mayo!CalendarioAño,1,27),1),"ddd")</f>
        <v>mar</v>
      </c>
      <c r="AD124" s="16" t="str">
        <f>TEXT(WEEKDAY(DATE(Mayo!CalendarioAño,1,28),1),"ddd")</f>
        <v>mié</v>
      </c>
      <c r="AE124" s="16" t="str">
        <f>TEXT(WEEKDAY(DATE(Mayo!CalendarioAño,1,29),1),"ddd")</f>
        <v>jue</v>
      </c>
      <c r="AF124" s="16" t="str">
        <f>TEXT(WEEKDAY(DATE(Mayo!CalendarioAño,1,30),1),"ddd")</f>
        <v>vie</v>
      </c>
      <c r="AG124" s="16" t="str">
        <f>TEXT(WEEKDAY(DATE(Mayo!CalendarioAño,1,31),1),"ddd")</f>
        <v>sáb</v>
      </c>
      <c r="AH124" s="30"/>
      <c r="AI124" s="14"/>
      <c r="AJ124" s="14"/>
    </row>
    <row r="125" ht="30.0" customHeight="1">
      <c r="A125" s="17"/>
      <c r="B125" s="31" t="s">
        <v>14</v>
      </c>
      <c r="C125" s="19" t="s">
        <v>15</v>
      </c>
      <c r="D125" s="19" t="s">
        <v>16</v>
      </c>
      <c r="E125" s="19" t="s">
        <v>17</v>
      </c>
      <c r="F125" s="19" t="s">
        <v>18</v>
      </c>
      <c r="G125" s="19" t="s">
        <v>19</v>
      </c>
      <c r="H125" s="19" t="s">
        <v>20</v>
      </c>
      <c r="I125" s="19" t="s">
        <v>21</v>
      </c>
      <c r="J125" s="19" t="s">
        <v>22</v>
      </c>
      <c r="K125" s="19" t="s">
        <v>23</v>
      </c>
      <c r="L125" s="19" t="s">
        <v>24</v>
      </c>
      <c r="M125" s="19" t="s">
        <v>25</v>
      </c>
      <c r="N125" s="19" t="s">
        <v>26</v>
      </c>
      <c r="O125" s="19" t="s">
        <v>27</v>
      </c>
      <c r="P125" s="19" t="s">
        <v>28</v>
      </c>
      <c r="Q125" s="19" t="s">
        <v>29</v>
      </c>
      <c r="R125" s="19" t="s">
        <v>30</v>
      </c>
      <c r="S125" s="19" t="s">
        <v>31</v>
      </c>
      <c r="T125" s="19" t="s">
        <v>32</v>
      </c>
      <c r="U125" s="19" t="s">
        <v>33</v>
      </c>
      <c r="V125" s="19" t="s">
        <v>34</v>
      </c>
      <c r="W125" s="19" t="s">
        <v>35</v>
      </c>
      <c r="X125" s="19" t="s">
        <v>36</v>
      </c>
      <c r="Y125" s="19" t="s">
        <v>37</v>
      </c>
      <c r="Z125" s="19" t="s">
        <v>38</v>
      </c>
      <c r="AA125" s="19" t="s">
        <v>39</v>
      </c>
      <c r="AB125" s="19" t="s">
        <v>40</v>
      </c>
      <c r="AC125" s="19" t="s">
        <v>41</v>
      </c>
      <c r="AD125" s="19" t="s">
        <v>42</v>
      </c>
      <c r="AE125" s="19" t="s">
        <v>43</v>
      </c>
      <c r="AF125" s="19" t="s">
        <v>44</v>
      </c>
      <c r="AG125" s="19" t="s">
        <v>45</v>
      </c>
      <c r="AH125" s="19" t="s">
        <v>46</v>
      </c>
      <c r="AI125" s="19"/>
      <c r="AJ125" s="19"/>
    </row>
    <row r="126" ht="30.0" customHeight="1">
      <c r="B126" s="40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23"/>
      <c r="AI126" s="23"/>
      <c r="AJ126" s="23"/>
    </row>
    <row r="127" ht="30.0" customHeight="1">
      <c r="B127" s="32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23"/>
      <c r="AI127" s="23"/>
      <c r="AJ127" s="23"/>
    </row>
    <row r="128" ht="30.0" customHeight="1">
      <c r="B128" s="32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23"/>
      <c r="AI128" s="23"/>
      <c r="AJ128" s="23"/>
    </row>
    <row r="129" ht="30.0" customHeight="1">
      <c r="B129" s="32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23"/>
      <c r="AI129" s="23"/>
      <c r="AJ129" s="23"/>
    </row>
    <row r="130" ht="30.0" customHeight="1">
      <c r="B130" s="32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23"/>
      <c r="AI130" s="23"/>
      <c r="AJ130" s="23"/>
    </row>
    <row r="131" ht="30.0" customHeight="1">
      <c r="B131" s="40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23"/>
      <c r="AI131" s="23"/>
      <c r="AJ131" s="23"/>
    </row>
    <row r="132" ht="30.0" customHeight="1">
      <c r="B132" s="32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23"/>
      <c r="AI132" s="23"/>
      <c r="AJ132" s="23"/>
    </row>
    <row r="133" ht="30.0" customHeight="1">
      <c r="B133" s="32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23"/>
      <c r="AI133" s="23"/>
      <c r="AJ133" s="23"/>
    </row>
    <row r="134" ht="30.0" customHeight="1">
      <c r="B134" s="32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23"/>
      <c r="AI134" s="23"/>
      <c r="AJ134" s="23"/>
    </row>
    <row r="135" ht="30.0" customHeight="1">
      <c r="B135" s="32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23"/>
      <c r="AI135" s="23"/>
      <c r="AJ135" s="23"/>
    </row>
    <row r="136" ht="30.0" customHeight="1">
      <c r="B136" s="32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23"/>
      <c r="AI136" s="23"/>
      <c r="AJ136" s="23"/>
    </row>
    <row r="137" ht="30.0" customHeight="1">
      <c r="B137" s="32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23"/>
      <c r="AI137" s="23"/>
      <c r="AJ137" s="23"/>
    </row>
    <row r="138" ht="30.0" customHeight="1">
      <c r="B138" s="32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23"/>
      <c r="AI138" s="23"/>
      <c r="AJ138" s="23"/>
    </row>
    <row r="139" ht="30.0" customHeight="1">
      <c r="B139" s="32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23"/>
      <c r="AI139" s="23"/>
      <c r="AJ139" s="23"/>
    </row>
    <row r="140" ht="30.0" customHeight="1">
      <c r="B140" s="32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23"/>
      <c r="AI140" s="23"/>
      <c r="AJ140" s="23"/>
    </row>
    <row r="141" ht="30.0" customHeight="1">
      <c r="B141" s="32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23"/>
      <c r="AI141" s="23"/>
      <c r="AJ141" s="23"/>
    </row>
    <row r="142" ht="30.0" customHeight="1">
      <c r="B142" s="32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25"/>
      <c r="AI142" s="25"/>
      <c r="AJ142" s="25"/>
    </row>
    <row r="143" ht="30.0" customHeight="1">
      <c r="B143" s="32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25"/>
      <c r="AI143" s="25"/>
      <c r="AJ143" s="25"/>
    </row>
    <row r="144" ht="30.0" customHeight="1">
      <c r="B144" s="32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25"/>
      <c r="AI144" s="25"/>
      <c r="AJ144" s="25"/>
    </row>
    <row r="145" ht="30.0" customHeight="1">
      <c r="B145" s="48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25"/>
      <c r="AI145" s="25"/>
      <c r="AJ145" s="25"/>
    </row>
    <row r="146" ht="30.0" customHeight="1">
      <c r="B146" s="48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</row>
    <row r="147" ht="30.0" customHeight="1">
      <c r="B147" s="48" t="str">
        <f>Mayo!MonthName&amp;" Total"</f>
        <v>Enero Total</v>
      </c>
      <c r="C147" s="25">
        <f>SUBTOTAL(103,Mayo!$C$7)</f>
        <v>0</v>
      </c>
      <c r="D147" s="25">
        <f>SUBTOTAL(103,Mayo!$D$7)</f>
        <v>0</v>
      </c>
      <c r="E147" s="25">
        <f>SUBTOTAL(103,Mayo!$E$7)</f>
        <v>0</v>
      </c>
      <c r="F147" s="25"/>
      <c r="G147" s="25"/>
      <c r="H147" s="25">
        <f>SUBTOTAL(103,Mayo!$H$7)</f>
        <v>0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>
        <f>SUBTOTAL(103,Mayo!$AE$7)</f>
        <v>0</v>
      </c>
      <c r="AF147" s="25">
        <f>SUBTOTAL(103,Mayo!$AF$7)</f>
        <v>0</v>
      </c>
      <c r="AG147" s="25">
        <f>SUBTOTAL(103,Mayo!$AG$7)</f>
        <v>0</v>
      </c>
      <c r="AH147" s="25">
        <f>SUM(C147:AG147)</f>
        <v>0</v>
      </c>
      <c r="AI147" s="25"/>
      <c r="AJ147" s="25"/>
    </row>
    <row r="148" ht="30.0" customHeight="1">
      <c r="AH148" s="5"/>
      <c r="AI148" s="5"/>
      <c r="AJ148" s="5"/>
    </row>
    <row r="149" ht="30.0" customHeight="1">
      <c r="B149" s="30" t="s">
        <v>12</v>
      </c>
      <c r="C149" s="27" t="s">
        <v>160</v>
      </c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39">
        <v>2026.0</v>
      </c>
      <c r="AI149" s="15"/>
      <c r="AJ149" s="15"/>
    </row>
    <row r="150" ht="30.0" customHeight="1">
      <c r="B150" s="30"/>
      <c r="C150" s="16" t="str">
        <f>TEXT(WEEKDAY(DATE(Mayo!CalendarioAño,1,1),1),"ddd")</f>
        <v>jue</v>
      </c>
      <c r="D150" s="16" t="str">
        <f>TEXT(WEEKDAY(DATE(Mayo!CalendarioAño,1,2),1),"ddd")</f>
        <v>vie</v>
      </c>
      <c r="E150" s="16" t="str">
        <f>TEXT(WEEKDAY(DATE(Mayo!CalendarioAño,1,3),1),"ddd")</f>
        <v>sáb</v>
      </c>
      <c r="F150" s="16" t="str">
        <f>TEXT(WEEKDAY(DATE(Mayo!CalendarioAño,1,4),1),"ddd")</f>
        <v>dom</v>
      </c>
      <c r="G150" s="16" t="str">
        <f>TEXT(WEEKDAY(DATE(Mayo!CalendarioAño,1,5),1),"ddd")</f>
        <v>lun</v>
      </c>
      <c r="H150" s="16" t="str">
        <f>TEXT(WEEKDAY(DATE(Mayo!CalendarioAño,1,6),1),"ddd")</f>
        <v>mar</v>
      </c>
      <c r="I150" s="16" t="str">
        <f>TEXT(WEEKDAY(DATE(Mayo!CalendarioAño,1,7),1),"ddd")</f>
        <v>mié</v>
      </c>
      <c r="J150" s="16" t="str">
        <f>TEXT(WEEKDAY(DATE(Mayo!CalendarioAño,1,8),1),"ddd")</f>
        <v>jue</v>
      </c>
      <c r="K150" s="16" t="str">
        <f>TEXT(WEEKDAY(DATE(Mayo!CalendarioAño,1,9),1),"ddd")</f>
        <v>vie</v>
      </c>
      <c r="L150" s="16" t="str">
        <f>TEXT(WEEKDAY(DATE(Mayo!CalendarioAño,1,10),1),"ddd")</f>
        <v>sáb</v>
      </c>
      <c r="M150" s="16" t="str">
        <f>TEXT(WEEKDAY(DATE(Mayo!CalendarioAño,1,11),1),"ddd")</f>
        <v>dom</v>
      </c>
      <c r="N150" s="16" t="str">
        <f>TEXT(WEEKDAY(DATE(Mayo!CalendarioAño,1,12),1),"ddd")</f>
        <v>lun</v>
      </c>
      <c r="O150" s="16" t="str">
        <f>TEXT(WEEKDAY(DATE(Mayo!CalendarioAño,1,13),1),"ddd")</f>
        <v>mar</v>
      </c>
      <c r="P150" s="16" t="str">
        <f>TEXT(WEEKDAY(DATE(Mayo!CalendarioAño,1,14),1),"ddd")</f>
        <v>mié</v>
      </c>
      <c r="Q150" s="16" t="str">
        <f>TEXT(WEEKDAY(DATE(Mayo!CalendarioAño,1,15),1),"ddd")</f>
        <v>jue</v>
      </c>
      <c r="R150" s="16" t="str">
        <f>TEXT(WEEKDAY(DATE(Mayo!CalendarioAño,1,16),1),"ddd")</f>
        <v>vie</v>
      </c>
      <c r="S150" s="16" t="str">
        <f>TEXT(WEEKDAY(DATE(Mayo!CalendarioAño,1,17),1),"ddd")</f>
        <v>sáb</v>
      </c>
      <c r="T150" s="16" t="str">
        <f>TEXT(WEEKDAY(DATE(Mayo!CalendarioAño,1,18),1),"ddd")</f>
        <v>dom</v>
      </c>
      <c r="U150" s="16" t="str">
        <f>TEXT(WEEKDAY(DATE(Mayo!CalendarioAño,1,19),1),"ddd")</f>
        <v>lun</v>
      </c>
      <c r="V150" s="16" t="str">
        <f>TEXT(WEEKDAY(DATE(Mayo!CalendarioAño,1,20),1),"ddd")</f>
        <v>mar</v>
      </c>
      <c r="W150" s="16" t="str">
        <f>TEXT(WEEKDAY(DATE(Mayo!CalendarioAño,1,21),1),"ddd")</f>
        <v>mié</v>
      </c>
      <c r="X150" s="16" t="str">
        <f>TEXT(WEEKDAY(DATE(Mayo!CalendarioAño,1,22),1),"ddd")</f>
        <v>jue</v>
      </c>
      <c r="Y150" s="16" t="str">
        <f>TEXT(WEEKDAY(DATE(Mayo!CalendarioAño,1,23),1),"ddd")</f>
        <v>vie</v>
      </c>
      <c r="Z150" s="16" t="str">
        <f>TEXT(WEEKDAY(DATE(Mayo!CalendarioAño,1,24),1),"ddd")</f>
        <v>sáb</v>
      </c>
      <c r="AA150" s="16" t="str">
        <f>TEXT(WEEKDAY(DATE(Mayo!CalendarioAño,1,25),1),"ddd")</f>
        <v>dom</v>
      </c>
      <c r="AB150" s="16" t="str">
        <f>TEXT(WEEKDAY(DATE(Mayo!CalendarioAño,1,26),1),"ddd")</f>
        <v>lun</v>
      </c>
      <c r="AC150" s="16" t="str">
        <f>TEXT(WEEKDAY(DATE(Mayo!CalendarioAño,1,27),1),"ddd")</f>
        <v>mar</v>
      </c>
      <c r="AD150" s="16" t="str">
        <f>TEXT(WEEKDAY(DATE(Mayo!CalendarioAño,1,28),1),"ddd")</f>
        <v>mié</v>
      </c>
      <c r="AE150" s="16" t="str">
        <f>TEXT(WEEKDAY(DATE(Mayo!CalendarioAño,1,29),1),"ddd")</f>
        <v>jue</v>
      </c>
      <c r="AF150" s="16" t="str">
        <f>TEXT(WEEKDAY(DATE(Mayo!CalendarioAño,1,30),1),"ddd")</f>
        <v>vie</v>
      </c>
      <c r="AG150" s="16" t="str">
        <f>TEXT(WEEKDAY(DATE(Mayo!CalendarioAño,1,31),1),"ddd")</f>
        <v>sáb</v>
      </c>
      <c r="AH150" s="30"/>
      <c r="AI150" s="14"/>
      <c r="AJ150" s="14"/>
    </row>
    <row r="151" ht="30.0" customHeight="1">
      <c r="A151" s="17"/>
      <c r="B151" s="31" t="s">
        <v>14</v>
      </c>
      <c r="C151" s="19" t="s">
        <v>15</v>
      </c>
      <c r="D151" s="19" t="s">
        <v>16</v>
      </c>
      <c r="E151" s="19" t="s">
        <v>17</v>
      </c>
      <c r="F151" s="19" t="s">
        <v>18</v>
      </c>
      <c r="G151" s="19" t="s">
        <v>19</v>
      </c>
      <c r="H151" s="19" t="s">
        <v>20</v>
      </c>
      <c r="I151" s="19" t="s">
        <v>21</v>
      </c>
      <c r="J151" s="19" t="s">
        <v>22</v>
      </c>
      <c r="K151" s="19" t="s">
        <v>23</v>
      </c>
      <c r="L151" s="19" t="s">
        <v>24</v>
      </c>
      <c r="M151" s="19" t="s">
        <v>25</v>
      </c>
      <c r="N151" s="19" t="s">
        <v>26</v>
      </c>
      <c r="O151" s="19" t="s">
        <v>27</v>
      </c>
      <c r="P151" s="19" t="s">
        <v>28</v>
      </c>
      <c r="Q151" s="19" t="s">
        <v>29</v>
      </c>
      <c r="R151" s="19" t="s">
        <v>30</v>
      </c>
      <c r="S151" s="19" t="s">
        <v>31</v>
      </c>
      <c r="T151" s="19" t="s">
        <v>32</v>
      </c>
      <c r="U151" s="19" t="s">
        <v>33</v>
      </c>
      <c r="V151" s="19" t="s">
        <v>34</v>
      </c>
      <c r="W151" s="19" t="s">
        <v>35</v>
      </c>
      <c r="X151" s="19" t="s">
        <v>36</v>
      </c>
      <c r="Y151" s="19" t="s">
        <v>37</v>
      </c>
      <c r="Z151" s="19" t="s">
        <v>38</v>
      </c>
      <c r="AA151" s="19" t="s">
        <v>39</v>
      </c>
      <c r="AB151" s="19" t="s">
        <v>40</v>
      </c>
      <c r="AC151" s="19" t="s">
        <v>41</v>
      </c>
      <c r="AD151" s="19" t="s">
        <v>42</v>
      </c>
      <c r="AE151" s="19" t="s">
        <v>43</v>
      </c>
      <c r="AF151" s="19" t="s">
        <v>44</v>
      </c>
      <c r="AG151" s="19" t="s">
        <v>45</v>
      </c>
      <c r="AH151" s="19" t="s">
        <v>46</v>
      </c>
      <c r="AI151" s="19"/>
      <c r="AJ151" s="19"/>
    </row>
    <row r="152" ht="30.0" customHeight="1">
      <c r="B152" s="32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23"/>
      <c r="AI152" s="23"/>
      <c r="AJ152" s="23"/>
    </row>
    <row r="153" ht="30.0" customHeight="1">
      <c r="B153" s="40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23"/>
      <c r="AI153" s="23"/>
      <c r="AJ153" s="23"/>
    </row>
    <row r="154" ht="30.0" customHeight="1">
      <c r="B154" s="40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23"/>
      <c r="AI154" s="23"/>
      <c r="AJ154" s="23"/>
    </row>
    <row r="155" ht="30.0" customHeight="1">
      <c r="B155" s="32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23"/>
      <c r="AI155" s="23"/>
      <c r="AJ155" s="23"/>
    </row>
    <row r="156" ht="30.0" customHeight="1">
      <c r="B156" s="32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23"/>
      <c r="AI156" s="23"/>
      <c r="AJ156" s="23"/>
    </row>
    <row r="157" ht="30.0" customHeight="1">
      <c r="B157" s="32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23"/>
      <c r="AI157" s="23"/>
      <c r="AJ157" s="23"/>
    </row>
    <row r="158" ht="30.0" customHeight="1">
      <c r="B158" s="32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23"/>
      <c r="AI158" s="23"/>
      <c r="AJ158" s="23"/>
    </row>
    <row r="159" ht="30.0" customHeight="1">
      <c r="B159" s="32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23"/>
      <c r="AI159" s="23"/>
      <c r="AJ159" s="23"/>
    </row>
    <row r="160" ht="30.0" customHeight="1">
      <c r="B160" s="32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23"/>
      <c r="AI160" s="23"/>
      <c r="AJ160" s="23"/>
    </row>
    <row r="161" ht="30.0" customHeight="1">
      <c r="B161" s="32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23"/>
      <c r="AI161" s="23"/>
      <c r="AJ161" s="23"/>
    </row>
    <row r="162" ht="30.0" customHeight="1">
      <c r="B162" s="20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33"/>
      <c r="N162" s="21"/>
      <c r="O162" s="21"/>
      <c r="P162" s="21"/>
      <c r="Q162" s="21"/>
      <c r="R162" s="21"/>
      <c r="S162" s="21"/>
      <c r="T162" s="33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3"/>
      <c r="AI162" s="23"/>
      <c r="AJ162" s="23"/>
    </row>
    <row r="163" ht="30.0" customHeight="1">
      <c r="B163" s="20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33"/>
      <c r="N163" s="21"/>
      <c r="O163" s="21"/>
      <c r="P163" s="21"/>
      <c r="Q163" s="21"/>
      <c r="R163" s="21"/>
      <c r="S163" s="21"/>
      <c r="T163" s="33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3"/>
      <c r="AI163" s="23"/>
      <c r="AJ163" s="23"/>
    </row>
    <row r="164" ht="30.0" customHeight="1">
      <c r="B164" s="48" t="str">
        <f>Mayo!MonthName&amp;" Total"</f>
        <v>Enero Total</v>
      </c>
      <c r="C164" s="25">
        <f>SUBTOTAL(103,Mayo!$C$7)</f>
        <v>0</v>
      </c>
      <c r="D164" s="25">
        <f>SUBTOTAL(103,Mayo!$D$7)</f>
        <v>0</v>
      </c>
      <c r="E164" s="25">
        <f>SUBTOTAL(103,Mayo!$E$7)</f>
        <v>0</v>
      </c>
      <c r="F164" s="25"/>
      <c r="G164" s="25"/>
      <c r="H164" s="25">
        <f>SUBTOTAL(103,Mayo!$H$7)</f>
        <v>0</v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>
        <f>SUBTOTAL(103,Mayo!$Y$7)</f>
        <v>0</v>
      </c>
      <c r="Z164" s="25">
        <f>SUBTOTAL(103,Mayo!$Z$7)</f>
        <v>0</v>
      </c>
      <c r="AA164" s="25">
        <f>SUBTOTAL(103,Mayo!$AA$7)</f>
        <v>0</v>
      </c>
      <c r="AB164" s="25">
        <f>SUBTOTAL(103,Mayo!$AB$7)</f>
        <v>0</v>
      </c>
      <c r="AC164" s="25">
        <f>SUBTOTAL(103,Mayo!$AC$7)</f>
        <v>0</v>
      </c>
      <c r="AD164" s="25">
        <f>SUBTOTAL(103,Mayo!$AD$7)</f>
        <v>0</v>
      </c>
      <c r="AE164" s="25">
        <f>SUBTOTAL(103,Mayo!$AE$7)</f>
        <v>0</v>
      </c>
      <c r="AF164" s="25">
        <f>SUBTOTAL(103,Mayo!$AF$7)</f>
        <v>0</v>
      </c>
      <c r="AG164" s="25">
        <f>SUBTOTAL(103,Mayo!$AG$7)</f>
        <v>0</v>
      </c>
      <c r="AH164" s="25">
        <f>SUM(C164:AG164)</f>
        <v>0</v>
      </c>
      <c r="AI164" s="25"/>
      <c r="AJ164" s="25"/>
    </row>
    <row r="165" ht="30.0" customHeight="1">
      <c r="AH165" s="5"/>
      <c r="AI165" s="5"/>
      <c r="AJ165" s="5"/>
    </row>
    <row r="166" ht="30.0" customHeight="1">
      <c r="A166" s="50"/>
      <c r="B166" s="30" t="s">
        <v>12</v>
      </c>
      <c r="C166" s="27" t="s">
        <v>171</v>
      </c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39">
        <v>2026.0</v>
      </c>
      <c r="AI166" s="15"/>
      <c r="AJ166" s="15"/>
    </row>
    <row r="167" ht="30.0" customHeight="1">
      <c r="A167" s="50"/>
      <c r="B167" s="56"/>
      <c r="C167" s="16" t="str">
        <f>TEXT(WEEKDAY(DATE(Mayo!CalendarioAño,1,1),1),"ddd")</f>
        <v>jue</v>
      </c>
      <c r="D167" s="16" t="str">
        <f>TEXT(WEEKDAY(DATE(Mayo!CalendarioAño,1,2),1),"ddd")</f>
        <v>vie</v>
      </c>
      <c r="E167" s="16" t="str">
        <f>TEXT(WEEKDAY(DATE(Mayo!CalendarioAño,1,3),1),"ddd")</f>
        <v>sáb</v>
      </c>
      <c r="F167" s="16" t="str">
        <f>TEXT(WEEKDAY(DATE(Mayo!CalendarioAño,1,4),1),"ddd")</f>
        <v>dom</v>
      </c>
      <c r="G167" s="16" t="str">
        <f>TEXT(WEEKDAY(DATE(Mayo!CalendarioAño,1,5),1),"ddd")</f>
        <v>lun</v>
      </c>
      <c r="H167" s="16" t="str">
        <f>TEXT(WEEKDAY(DATE(Mayo!CalendarioAño,1,6),1),"ddd")</f>
        <v>mar</v>
      </c>
      <c r="I167" s="16" t="str">
        <f>TEXT(WEEKDAY(DATE(Mayo!CalendarioAño,1,7),1),"ddd")</f>
        <v>mié</v>
      </c>
      <c r="J167" s="16" t="str">
        <f>TEXT(WEEKDAY(DATE(Mayo!CalendarioAño,1,8),1),"ddd")</f>
        <v>jue</v>
      </c>
      <c r="K167" s="16" t="str">
        <f>TEXT(WEEKDAY(DATE(Mayo!CalendarioAño,1,9),1),"ddd")</f>
        <v>vie</v>
      </c>
      <c r="L167" s="16" t="str">
        <f>TEXT(WEEKDAY(DATE(Mayo!CalendarioAño,1,10),1),"ddd")</f>
        <v>sáb</v>
      </c>
      <c r="M167" s="16" t="str">
        <f>TEXT(WEEKDAY(DATE(Mayo!CalendarioAño,1,11),1),"ddd")</f>
        <v>dom</v>
      </c>
      <c r="N167" s="16" t="str">
        <f>TEXT(WEEKDAY(DATE(Mayo!CalendarioAño,1,12),1),"ddd")</f>
        <v>lun</v>
      </c>
      <c r="O167" s="16" t="str">
        <f>TEXT(WEEKDAY(DATE(Mayo!CalendarioAño,1,13),1),"ddd")</f>
        <v>mar</v>
      </c>
      <c r="P167" s="16" t="str">
        <f>TEXT(WEEKDAY(DATE(Mayo!CalendarioAño,1,14),1),"ddd")</f>
        <v>mié</v>
      </c>
      <c r="Q167" s="16" t="str">
        <f>TEXT(WEEKDAY(DATE(Mayo!CalendarioAño,1,15),1),"ddd")</f>
        <v>jue</v>
      </c>
      <c r="R167" s="16" t="str">
        <f>TEXT(WEEKDAY(DATE(Mayo!CalendarioAño,1,16),1),"ddd")</f>
        <v>vie</v>
      </c>
      <c r="S167" s="16" t="str">
        <f>TEXT(WEEKDAY(DATE(Mayo!CalendarioAño,1,17),1),"ddd")</f>
        <v>sáb</v>
      </c>
      <c r="T167" s="16" t="str">
        <f>TEXT(WEEKDAY(DATE(Mayo!CalendarioAño,1,18),1),"ddd")</f>
        <v>dom</v>
      </c>
      <c r="U167" s="16" t="str">
        <f>TEXT(WEEKDAY(DATE(Mayo!CalendarioAño,1,19),1),"ddd")</f>
        <v>lun</v>
      </c>
      <c r="V167" s="16" t="str">
        <f>TEXT(WEEKDAY(DATE(Mayo!CalendarioAño,1,20),1),"ddd")</f>
        <v>mar</v>
      </c>
      <c r="W167" s="16" t="str">
        <f>TEXT(WEEKDAY(DATE(Mayo!CalendarioAño,1,21),1),"ddd")</f>
        <v>mié</v>
      </c>
      <c r="X167" s="16" t="str">
        <f>TEXT(WEEKDAY(DATE(Mayo!CalendarioAño,1,22),1),"ddd")</f>
        <v>jue</v>
      </c>
      <c r="Y167" s="16" t="str">
        <f>TEXT(WEEKDAY(DATE(Mayo!CalendarioAño,1,23),1),"ddd")</f>
        <v>vie</v>
      </c>
      <c r="Z167" s="16" t="str">
        <f>TEXT(WEEKDAY(DATE(Mayo!CalendarioAño,1,24),1),"ddd")</f>
        <v>sáb</v>
      </c>
      <c r="AA167" s="16" t="str">
        <f>TEXT(WEEKDAY(DATE(Mayo!CalendarioAño,1,25),1),"ddd")</f>
        <v>dom</v>
      </c>
      <c r="AB167" s="16" t="str">
        <f>TEXT(WEEKDAY(DATE(Mayo!CalendarioAño,1,26),1),"ddd")</f>
        <v>lun</v>
      </c>
      <c r="AC167" s="16" t="str">
        <f>TEXT(WEEKDAY(DATE(Mayo!CalendarioAño,1,27),1),"ddd")</f>
        <v>mar</v>
      </c>
      <c r="AD167" s="16" t="str">
        <f>TEXT(WEEKDAY(DATE(Mayo!CalendarioAño,1,28),1),"ddd")</f>
        <v>mié</v>
      </c>
      <c r="AE167" s="16" t="str">
        <f>TEXT(WEEKDAY(DATE(Mayo!CalendarioAño,1,29),1),"ddd")</f>
        <v>jue</v>
      </c>
      <c r="AF167" s="16" t="str">
        <f>TEXT(WEEKDAY(DATE(Mayo!CalendarioAño,1,30),1),"ddd")</f>
        <v>vie</v>
      </c>
      <c r="AG167" s="16" t="str">
        <f>TEXT(WEEKDAY(DATE(Mayo!CalendarioAño,1,31),1),"ddd")</f>
        <v>sáb</v>
      </c>
      <c r="AH167" s="57"/>
      <c r="AI167" s="119"/>
      <c r="AJ167" s="119"/>
    </row>
    <row r="168" ht="30.0" customHeight="1">
      <c r="A168" s="18"/>
      <c r="B168" s="31" t="s">
        <v>14</v>
      </c>
      <c r="C168" s="19" t="s">
        <v>15</v>
      </c>
      <c r="D168" s="19" t="s">
        <v>16</v>
      </c>
      <c r="E168" s="19" t="s">
        <v>17</v>
      </c>
      <c r="F168" s="19" t="s">
        <v>18</v>
      </c>
      <c r="G168" s="19" t="s">
        <v>19</v>
      </c>
      <c r="H168" s="19" t="s">
        <v>20</v>
      </c>
      <c r="I168" s="19" t="s">
        <v>21</v>
      </c>
      <c r="J168" s="19" t="s">
        <v>22</v>
      </c>
      <c r="K168" s="19" t="s">
        <v>23</v>
      </c>
      <c r="L168" s="19" t="s">
        <v>24</v>
      </c>
      <c r="M168" s="19" t="s">
        <v>25</v>
      </c>
      <c r="N168" s="19" t="s">
        <v>26</v>
      </c>
      <c r="O168" s="19" t="s">
        <v>27</v>
      </c>
      <c r="P168" s="19" t="s">
        <v>28</v>
      </c>
      <c r="Q168" s="19" t="s">
        <v>29</v>
      </c>
      <c r="R168" s="19" t="s">
        <v>30</v>
      </c>
      <c r="S168" s="19" t="s">
        <v>31</v>
      </c>
      <c r="T168" s="19" t="s">
        <v>32</v>
      </c>
      <c r="U168" s="19" t="s">
        <v>33</v>
      </c>
      <c r="V168" s="19" t="s">
        <v>34</v>
      </c>
      <c r="W168" s="19" t="s">
        <v>35</v>
      </c>
      <c r="X168" s="19" t="s">
        <v>36</v>
      </c>
      <c r="Y168" s="19" t="s">
        <v>37</v>
      </c>
      <c r="Z168" s="19" t="s">
        <v>38</v>
      </c>
      <c r="AA168" s="19" t="s">
        <v>39</v>
      </c>
      <c r="AB168" s="19" t="s">
        <v>40</v>
      </c>
      <c r="AC168" s="19" t="s">
        <v>41</v>
      </c>
      <c r="AD168" s="19" t="s">
        <v>42</v>
      </c>
      <c r="AE168" s="19" t="s">
        <v>43</v>
      </c>
      <c r="AF168" s="19" t="s">
        <v>44</v>
      </c>
      <c r="AG168" s="19" t="s">
        <v>45</v>
      </c>
      <c r="AH168" s="19" t="s">
        <v>46</v>
      </c>
      <c r="AI168" s="19"/>
      <c r="AJ168" s="19"/>
    </row>
    <row r="169" ht="30.0" customHeight="1">
      <c r="A169" s="50"/>
      <c r="B169" s="58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59"/>
      <c r="AI169" s="59"/>
      <c r="AJ169" s="59"/>
    </row>
    <row r="170" ht="30.0" customHeight="1">
      <c r="A170" s="50"/>
      <c r="B170" s="60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59"/>
      <c r="AI170" s="59"/>
      <c r="AJ170" s="59"/>
    </row>
    <row r="171" ht="30.0" customHeight="1">
      <c r="A171" s="50"/>
      <c r="B171" s="58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59"/>
      <c r="AI171" s="59"/>
      <c r="AJ171" s="59"/>
    </row>
    <row r="172" ht="30.0" customHeight="1">
      <c r="A172" s="50"/>
      <c r="B172" s="60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59"/>
      <c r="AI172" s="59"/>
      <c r="AJ172" s="59"/>
    </row>
    <row r="173" ht="30.0" customHeight="1">
      <c r="A173" s="50"/>
      <c r="B173" s="60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59"/>
      <c r="AI173" s="59"/>
      <c r="AJ173" s="59"/>
    </row>
    <row r="174" ht="30.0" customHeight="1">
      <c r="A174" s="50"/>
      <c r="B174" s="58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59"/>
      <c r="AI174" s="59"/>
      <c r="AJ174" s="59"/>
    </row>
    <row r="175" ht="30.0" customHeight="1">
      <c r="A175" s="50"/>
      <c r="B175" s="58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59"/>
      <c r="AI175" s="59"/>
      <c r="AJ175" s="59"/>
    </row>
    <row r="176" ht="30.0" customHeight="1">
      <c r="A176" s="50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59"/>
      <c r="AI176" s="59"/>
      <c r="AJ176" s="59"/>
    </row>
    <row r="177" ht="30.0" customHeight="1">
      <c r="A177" s="50"/>
      <c r="B177" s="62" t="str">
        <f>Mayo!MonthName&amp;" Total"</f>
        <v>Enero Total</v>
      </c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5"/>
      <c r="AI177" s="65"/>
      <c r="AJ177" s="65"/>
    </row>
    <row r="178" ht="30.0" customHeight="1">
      <c r="B178" s="123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124"/>
      <c r="AI178" s="124"/>
      <c r="AJ178" s="124"/>
    </row>
    <row r="179" ht="30.0" customHeight="1">
      <c r="A179" s="50"/>
      <c r="B179" s="30" t="s">
        <v>12</v>
      </c>
      <c r="C179" s="27" t="s">
        <v>179</v>
      </c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39">
        <v>2026.0</v>
      </c>
      <c r="AI179" s="15"/>
      <c r="AJ179" s="15"/>
    </row>
    <row r="180" ht="30.0" customHeight="1">
      <c r="A180" s="50"/>
      <c r="B180" s="56"/>
      <c r="C180" s="16" t="str">
        <f>TEXT(WEEKDAY(DATE(Mayo!CalendarioAño,1,1),1),"ddd")</f>
        <v>jue</v>
      </c>
      <c r="D180" s="16" t="str">
        <f>TEXT(WEEKDAY(DATE(Mayo!CalendarioAño,1,2),1),"ddd")</f>
        <v>vie</v>
      </c>
      <c r="E180" s="16" t="str">
        <f>TEXT(WEEKDAY(DATE(Mayo!CalendarioAño,1,3),1),"ddd")</f>
        <v>sáb</v>
      </c>
      <c r="F180" s="16" t="str">
        <f>TEXT(WEEKDAY(DATE(Mayo!CalendarioAño,1,4),1),"ddd")</f>
        <v>dom</v>
      </c>
      <c r="G180" s="16" t="str">
        <f>TEXT(WEEKDAY(DATE(Mayo!CalendarioAño,1,5),1),"ddd")</f>
        <v>lun</v>
      </c>
      <c r="H180" s="16" t="str">
        <f>TEXT(WEEKDAY(DATE(Mayo!CalendarioAño,1,6),1),"ddd")</f>
        <v>mar</v>
      </c>
      <c r="I180" s="16" t="str">
        <f>TEXT(WEEKDAY(DATE(Mayo!CalendarioAño,1,7),1),"ddd")</f>
        <v>mié</v>
      </c>
      <c r="J180" s="16" t="str">
        <f>TEXT(WEEKDAY(DATE(Mayo!CalendarioAño,1,8),1),"ddd")</f>
        <v>jue</v>
      </c>
      <c r="K180" s="16" t="str">
        <f>TEXT(WEEKDAY(DATE(Mayo!CalendarioAño,1,9),1),"ddd")</f>
        <v>vie</v>
      </c>
      <c r="L180" s="16" t="str">
        <f>TEXT(WEEKDAY(DATE(Mayo!CalendarioAño,1,10),1),"ddd")</f>
        <v>sáb</v>
      </c>
      <c r="M180" s="16" t="str">
        <f>TEXT(WEEKDAY(DATE(Mayo!CalendarioAño,1,11),1),"ddd")</f>
        <v>dom</v>
      </c>
      <c r="N180" s="16" t="str">
        <f>TEXT(WEEKDAY(DATE(Mayo!CalendarioAño,1,12),1),"ddd")</f>
        <v>lun</v>
      </c>
      <c r="O180" s="16" t="str">
        <f>TEXT(WEEKDAY(DATE(Mayo!CalendarioAño,1,13),1),"ddd")</f>
        <v>mar</v>
      </c>
      <c r="P180" s="16" t="str">
        <f>TEXT(WEEKDAY(DATE(Mayo!CalendarioAño,1,14),1),"ddd")</f>
        <v>mié</v>
      </c>
      <c r="Q180" s="16" t="str">
        <f>TEXT(WEEKDAY(DATE(Mayo!CalendarioAño,1,15),1),"ddd")</f>
        <v>jue</v>
      </c>
      <c r="R180" s="16" t="str">
        <f>TEXT(WEEKDAY(DATE(Mayo!CalendarioAño,1,16),1),"ddd")</f>
        <v>vie</v>
      </c>
      <c r="S180" s="16" t="str">
        <f>TEXT(WEEKDAY(DATE(Mayo!CalendarioAño,1,17),1),"ddd")</f>
        <v>sáb</v>
      </c>
      <c r="T180" s="16" t="str">
        <f>TEXT(WEEKDAY(DATE(Mayo!CalendarioAño,1,18),1),"ddd")</f>
        <v>dom</v>
      </c>
      <c r="U180" s="16" t="str">
        <f>TEXT(WEEKDAY(DATE(Mayo!CalendarioAño,1,19),1),"ddd")</f>
        <v>lun</v>
      </c>
      <c r="V180" s="16" t="str">
        <f>TEXT(WEEKDAY(DATE(Mayo!CalendarioAño,1,20),1),"ddd")</f>
        <v>mar</v>
      </c>
      <c r="W180" s="16" t="str">
        <f>TEXT(WEEKDAY(DATE(Mayo!CalendarioAño,1,21),1),"ddd")</f>
        <v>mié</v>
      </c>
      <c r="X180" s="16" t="str">
        <f>TEXT(WEEKDAY(DATE(Mayo!CalendarioAño,1,22),1),"ddd")</f>
        <v>jue</v>
      </c>
      <c r="Y180" s="16" t="str">
        <f>TEXT(WEEKDAY(DATE(Mayo!CalendarioAño,1,23),1),"ddd")</f>
        <v>vie</v>
      </c>
      <c r="Z180" s="16" t="str">
        <f>TEXT(WEEKDAY(DATE(Mayo!CalendarioAño,1,24),1),"ddd")</f>
        <v>sáb</v>
      </c>
      <c r="AA180" s="16" t="str">
        <f>TEXT(WEEKDAY(DATE(Mayo!CalendarioAño,1,25),1),"ddd")</f>
        <v>dom</v>
      </c>
      <c r="AB180" s="16" t="str">
        <f>TEXT(WEEKDAY(DATE(Mayo!CalendarioAño,1,26),1),"ddd")</f>
        <v>lun</v>
      </c>
      <c r="AC180" s="16" t="str">
        <f>TEXT(WEEKDAY(DATE(Mayo!CalendarioAño,1,27),1),"ddd")</f>
        <v>mar</v>
      </c>
      <c r="AD180" s="16" t="str">
        <f>TEXT(WEEKDAY(DATE(Mayo!CalendarioAño,1,28),1),"ddd")</f>
        <v>mié</v>
      </c>
      <c r="AE180" s="16" t="str">
        <f>TEXT(WEEKDAY(DATE(Mayo!CalendarioAño,1,29),1),"ddd")</f>
        <v>jue</v>
      </c>
      <c r="AF180" s="16" t="str">
        <f>TEXT(WEEKDAY(DATE(Mayo!CalendarioAño,1,30),1),"ddd")</f>
        <v>vie</v>
      </c>
      <c r="AG180" s="16" t="str">
        <f>TEXT(WEEKDAY(DATE(Mayo!CalendarioAño,1,31),1),"ddd")</f>
        <v>sáb</v>
      </c>
      <c r="AH180" s="57"/>
      <c r="AI180" s="119"/>
      <c r="AJ180" s="119"/>
    </row>
    <row r="181" ht="30.0" customHeight="1">
      <c r="A181" s="18"/>
      <c r="B181" s="31" t="s">
        <v>14</v>
      </c>
      <c r="C181" s="19" t="s">
        <v>15</v>
      </c>
      <c r="D181" s="19" t="s">
        <v>16</v>
      </c>
      <c r="E181" s="19" t="s">
        <v>17</v>
      </c>
      <c r="F181" s="19" t="s">
        <v>18</v>
      </c>
      <c r="G181" s="19" t="s">
        <v>19</v>
      </c>
      <c r="H181" s="19" t="s">
        <v>20</v>
      </c>
      <c r="I181" s="19" t="s">
        <v>21</v>
      </c>
      <c r="J181" s="19" t="s">
        <v>22</v>
      </c>
      <c r="K181" s="19" t="s">
        <v>23</v>
      </c>
      <c r="L181" s="19" t="s">
        <v>24</v>
      </c>
      <c r="M181" s="19" t="s">
        <v>25</v>
      </c>
      <c r="N181" s="19" t="s">
        <v>26</v>
      </c>
      <c r="O181" s="19" t="s">
        <v>27</v>
      </c>
      <c r="P181" s="19" t="s">
        <v>28</v>
      </c>
      <c r="Q181" s="19" t="s">
        <v>29</v>
      </c>
      <c r="R181" s="19" t="s">
        <v>30</v>
      </c>
      <c r="S181" s="19" t="s">
        <v>31</v>
      </c>
      <c r="T181" s="19" t="s">
        <v>32</v>
      </c>
      <c r="U181" s="19" t="s">
        <v>33</v>
      </c>
      <c r="V181" s="19" t="s">
        <v>34</v>
      </c>
      <c r="W181" s="19" t="s">
        <v>35</v>
      </c>
      <c r="X181" s="19" t="s">
        <v>36</v>
      </c>
      <c r="Y181" s="19" t="s">
        <v>37</v>
      </c>
      <c r="Z181" s="19" t="s">
        <v>38</v>
      </c>
      <c r="AA181" s="19" t="s">
        <v>39</v>
      </c>
      <c r="AB181" s="19" t="s">
        <v>40</v>
      </c>
      <c r="AC181" s="19" t="s">
        <v>41</v>
      </c>
      <c r="AD181" s="19" t="s">
        <v>42</v>
      </c>
      <c r="AE181" s="19" t="s">
        <v>43</v>
      </c>
      <c r="AF181" s="19" t="s">
        <v>44</v>
      </c>
      <c r="AG181" s="19" t="s">
        <v>45</v>
      </c>
      <c r="AH181" s="19" t="s">
        <v>46</v>
      </c>
      <c r="AI181" s="19"/>
      <c r="AJ181" s="19"/>
    </row>
    <row r="182" ht="30.0" customHeight="1">
      <c r="A182" s="50"/>
      <c r="B182" s="58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59"/>
      <c r="AI182" s="59"/>
      <c r="AJ182" s="59"/>
    </row>
    <row r="183" ht="30.0" customHeight="1">
      <c r="A183" s="50"/>
      <c r="B183" s="60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59"/>
      <c r="AI183" s="59"/>
      <c r="AJ183" s="59"/>
    </row>
    <row r="184" ht="30.0" customHeight="1">
      <c r="A184" s="50"/>
      <c r="B184" s="58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59"/>
      <c r="AI184" s="59"/>
      <c r="AJ184" s="59"/>
    </row>
    <row r="185" ht="30.0" customHeight="1">
      <c r="A185" s="50"/>
      <c r="B185" s="36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59"/>
      <c r="AI185" s="59"/>
      <c r="AJ185" s="59"/>
    </row>
    <row r="186" ht="30.0" customHeight="1">
      <c r="A186" s="50"/>
      <c r="B186" s="6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59"/>
      <c r="AI186" s="59"/>
      <c r="AJ186" s="59"/>
    </row>
    <row r="187" ht="30.0" customHeight="1">
      <c r="A187" s="50"/>
      <c r="B187" s="62"/>
      <c r="C187" s="63">
        <f>SUBTOTAL(103,Mayo!$C$7)</f>
        <v>0</v>
      </c>
      <c r="D187" s="63">
        <f>SUBTOTAL(103,Mayo!$D$7)</f>
        <v>0</v>
      </c>
      <c r="E187" s="63">
        <f>SUBTOTAL(103,Mayo!$E$7)</f>
        <v>0</v>
      </c>
      <c r="F187" s="63"/>
      <c r="G187" s="63"/>
      <c r="H187" s="63">
        <f>SUBTOTAL(103,Mayo!$H$7)</f>
        <v>0</v>
      </c>
      <c r="I187" s="63">
        <f>SUBTOTAL(103,Mayo!$I$7)</f>
        <v>0</v>
      </c>
      <c r="J187" s="63">
        <f>SUBTOTAL(103,Mayo!$J$7)</f>
        <v>0</v>
      </c>
      <c r="K187" s="63">
        <f>SUBTOTAL(103,Mayo!$K$7)</f>
        <v>0</v>
      </c>
      <c r="L187" s="63">
        <f>SUBTOTAL(103,Mayo!$L$7)</f>
        <v>0</v>
      </c>
      <c r="M187" s="63"/>
      <c r="N187" s="63">
        <f>SUBTOTAL(103,Mayo!$N$7)</f>
        <v>0</v>
      </c>
      <c r="O187" s="63">
        <f>SUBTOTAL(103,Mayo!$O$7)</f>
        <v>0</v>
      </c>
      <c r="P187" s="63">
        <f>SUBTOTAL(103,Mayo!$P$7)</f>
        <v>0</v>
      </c>
      <c r="Q187" s="63">
        <f>SUBTOTAL(103,Mayo!$Q$7)</f>
        <v>0</v>
      </c>
      <c r="R187" s="63">
        <f>SUBTOTAL(103,Mayo!$R$7)</f>
        <v>0</v>
      </c>
      <c r="S187" s="63">
        <f>SUBTOTAL(103,Mayo!$S$7)</f>
        <v>0</v>
      </c>
      <c r="T187" s="63">
        <f>SUBTOTAL(103,Mayo!$T$7)</f>
        <v>0</v>
      </c>
      <c r="U187" s="63">
        <f>SUBTOTAL(103,Mayo!$U$7)</f>
        <v>0</v>
      </c>
      <c r="V187" s="63"/>
      <c r="W187" s="63">
        <f>SUBTOTAL(103,Mayo!$W$7)</f>
        <v>0</v>
      </c>
      <c r="X187" s="63">
        <f>SUBTOTAL(103,Mayo!$X$7)</f>
        <v>0</v>
      </c>
      <c r="Y187" s="63">
        <f>SUBTOTAL(103,Mayo!$Y$7)</f>
        <v>0</v>
      </c>
      <c r="Z187" s="63">
        <f>SUBTOTAL(103,Mayo!$Z$7)</f>
        <v>0</v>
      </c>
      <c r="AA187" s="63">
        <f>SUBTOTAL(103,Mayo!$AA$7)</f>
        <v>0</v>
      </c>
      <c r="AB187" s="63">
        <f>SUBTOTAL(103,Mayo!$AB$7)</f>
        <v>0</v>
      </c>
      <c r="AC187" s="63">
        <f>SUBTOTAL(103,Mayo!$AC$7)</f>
        <v>0</v>
      </c>
      <c r="AD187" s="63">
        <f>SUBTOTAL(103,Mayo!$AD$7)</f>
        <v>0</v>
      </c>
      <c r="AE187" s="63">
        <f>SUBTOTAL(103,Mayo!$AE$7)</f>
        <v>0</v>
      </c>
      <c r="AF187" s="63">
        <f>SUBTOTAL(103,Mayo!$AF$7)</f>
        <v>0</v>
      </c>
      <c r="AG187" s="63">
        <f>SUBTOTAL(103,Mayo!$AG$7)</f>
        <v>0</v>
      </c>
      <c r="AH187" s="65"/>
      <c r="AI187" s="65"/>
      <c r="AJ187" s="65"/>
    </row>
    <row r="188" ht="30.0" customHeight="1">
      <c r="AH188" s="5"/>
      <c r="AI188" s="5"/>
      <c r="AJ188" s="5"/>
    </row>
    <row r="189" ht="30.0" customHeight="1">
      <c r="A189" s="50"/>
      <c r="B189" s="30" t="s">
        <v>12</v>
      </c>
      <c r="C189" s="27" t="s">
        <v>183</v>
      </c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39">
        <v>2026.0</v>
      </c>
      <c r="AI189" s="15"/>
      <c r="AJ189" s="15"/>
    </row>
    <row r="190" ht="30.0" customHeight="1">
      <c r="A190" s="50"/>
      <c r="B190" s="56"/>
      <c r="C190" s="16" t="str">
        <f>TEXT(WEEKDAY(DATE(Mayo!CalendarioAño,1,1),1),"ddd")</f>
        <v>jue</v>
      </c>
      <c r="D190" s="16" t="str">
        <f>TEXT(WEEKDAY(DATE(Mayo!CalendarioAño,1,2),1),"ddd")</f>
        <v>vie</v>
      </c>
      <c r="E190" s="16" t="str">
        <f>TEXT(WEEKDAY(DATE(Mayo!CalendarioAño,1,3),1),"ddd")</f>
        <v>sáb</v>
      </c>
      <c r="F190" s="16" t="str">
        <f>TEXT(WEEKDAY(DATE(Mayo!CalendarioAño,1,4),1),"ddd")</f>
        <v>dom</v>
      </c>
      <c r="G190" s="16" t="str">
        <f>TEXT(WEEKDAY(DATE(Mayo!CalendarioAño,1,5),1),"ddd")</f>
        <v>lun</v>
      </c>
      <c r="H190" s="16" t="str">
        <f>TEXT(WEEKDAY(DATE(Mayo!CalendarioAño,1,6),1),"ddd")</f>
        <v>mar</v>
      </c>
      <c r="I190" s="16" t="str">
        <f>TEXT(WEEKDAY(DATE(Mayo!CalendarioAño,1,7),1),"ddd")</f>
        <v>mié</v>
      </c>
      <c r="J190" s="16" t="str">
        <f>TEXT(WEEKDAY(DATE(Mayo!CalendarioAño,1,8),1),"ddd")</f>
        <v>jue</v>
      </c>
      <c r="K190" s="16" t="str">
        <f>TEXT(WEEKDAY(DATE(Mayo!CalendarioAño,1,9),1),"ddd")</f>
        <v>vie</v>
      </c>
      <c r="L190" s="16" t="str">
        <f>TEXT(WEEKDAY(DATE(Mayo!CalendarioAño,1,10),1),"ddd")</f>
        <v>sáb</v>
      </c>
      <c r="M190" s="16" t="str">
        <f>TEXT(WEEKDAY(DATE(Mayo!CalendarioAño,1,11),1),"ddd")</f>
        <v>dom</v>
      </c>
      <c r="N190" s="16" t="str">
        <f>TEXT(WEEKDAY(DATE(Mayo!CalendarioAño,1,12),1),"ddd")</f>
        <v>lun</v>
      </c>
      <c r="O190" s="16" t="str">
        <f>TEXT(WEEKDAY(DATE(Mayo!CalendarioAño,1,13),1),"ddd")</f>
        <v>mar</v>
      </c>
      <c r="P190" s="16" t="str">
        <f>TEXT(WEEKDAY(DATE(Mayo!CalendarioAño,1,14),1),"ddd")</f>
        <v>mié</v>
      </c>
      <c r="Q190" s="16" t="str">
        <f>TEXT(WEEKDAY(DATE(Mayo!CalendarioAño,1,15),1),"ddd")</f>
        <v>jue</v>
      </c>
      <c r="R190" s="16" t="str">
        <f>TEXT(WEEKDAY(DATE(Mayo!CalendarioAño,1,16),1),"ddd")</f>
        <v>vie</v>
      </c>
      <c r="S190" s="16" t="str">
        <f>TEXT(WEEKDAY(DATE(Mayo!CalendarioAño,1,17),1),"ddd")</f>
        <v>sáb</v>
      </c>
      <c r="T190" s="16" t="str">
        <f>TEXT(WEEKDAY(DATE(Mayo!CalendarioAño,1,18),1),"ddd")</f>
        <v>dom</v>
      </c>
      <c r="U190" s="16" t="str">
        <f>TEXT(WEEKDAY(DATE(Mayo!CalendarioAño,1,19),1),"ddd")</f>
        <v>lun</v>
      </c>
      <c r="V190" s="16" t="str">
        <f>TEXT(WEEKDAY(DATE(Mayo!CalendarioAño,1,20),1),"ddd")</f>
        <v>mar</v>
      </c>
      <c r="W190" s="16" t="str">
        <f>TEXT(WEEKDAY(DATE(Mayo!CalendarioAño,1,21),1),"ddd")</f>
        <v>mié</v>
      </c>
      <c r="X190" s="16" t="str">
        <f>TEXT(WEEKDAY(DATE(Mayo!CalendarioAño,1,22),1),"ddd")</f>
        <v>jue</v>
      </c>
      <c r="Y190" s="16" t="str">
        <f>TEXT(WEEKDAY(DATE(Mayo!CalendarioAño,1,23),1),"ddd")</f>
        <v>vie</v>
      </c>
      <c r="Z190" s="16" t="str">
        <f>TEXT(WEEKDAY(DATE(Mayo!CalendarioAño,1,24),1),"ddd")</f>
        <v>sáb</v>
      </c>
      <c r="AA190" s="16" t="str">
        <f>TEXT(WEEKDAY(DATE(Mayo!CalendarioAño,1,25),1),"ddd")</f>
        <v>dom</v>
      </c>
      <c r="AB190" s="16" t="str">
        <f>TEXT(WEEKDAY(DATE(Mayo!CalendarioAño,1,26),1),"ddd")</f>
        <v>lun</v>
      </c>
      <c r="AC190" s="16" t="str">
        <f>TEXT(WEEKDAY(DATE(Mayo!CalendarioAño,1,27),1),"ddd")</f>
        <v>mar</v>
      </c>
      <c r="AD190" s="16" t="str">
        <f>TEXT(WEEKDAY(DATE(Mayo!CalendarioAño,1,28),1),"ddd")</f>
        <v>mié</v>
      </c>
      <c r="AE190" s="16" t="str">
        <f>TEXT(WEEKDAY(DATE(Mayo!CalendarioAño,1,29),1),"ddd")</f>
        <v>jue</v>
      </c>
      <c r="AF190" s="16" t="str">
        <f>TEXT(WEEKDAY(DATE(Mayo!CalendarioAño,1,30),1),"ddd")</f>
        <v>vie</v>
      </c>
      <c r="AG190" s="16" t="str">
        <f>TEXT(WEEKDAY(DATE(Mayo!CalendarioAño,1,31),1),"ddd")</f>
        <v>sáb</v>
      </c>
      <c r="AH190" s="57"/>
      <c r="AI190" s="119"/>
      <c r="AJ190" s="119"/>
    </row>
    <row r="191" ht="30.0" customHeight="1">
      <c r="A191" s="18"/>
      <c r="B191" s="66" t="s">
        <v>14</v>
      </c>
      <c r="C191" s="19" t="s">
        <v>15</v>
      </c>
      <c r="D191" s="19" t="s">
        <v>16</v>
      </c>
      <c r="E191" s="19" t="s">
        <v>17</v>
      </c>
      <c r="F191" s="19" t="s">
        <v>18</v>
      </c>
      <c r="G191" s="19" t="s">
        <v>19</v>
      </c>
      <c r="H191" s="19" t="s">
        <v>20</v>
      </c>
      <c r="I191" s="19" t="s">
        <v>21</v>
      </c>
      <c r="J191" s="19" t="s">
        <v>22</v>
      </c>
      <c r="K191" s="19" t="s">
        <v>23</v>
      </c>
      <c r="L191" s="19" t="s">
        <v>24</v>
      </c>
      <c r="M191" s="19" t="s">
        <v>25</v>
      </c>
      <c r="N191" s="19" t="s">
        <v>26</v>
      </c>
      <c r="O191" s="19" t="s">
        <v>27</v>
      </c>
      <c r="P191" s="19" t="s">
        <v>28</v>
      </c>
      <c r="Q191" s="19" t="s">
        <v>29</v>
      </c>
      <c r="R191" s="19" t="s">
        <v>30</v>
      </c>
      <c r="S191" s="19" t="s">
        <v>31</v>
      </c>
      <c r="T191" s="19" t="s">
        <v>32</v>
      </c>
      <c r="U191" s="19" t="s">
        <v>33</v>
      </c>
      <c r="V191" s="19" t="s">
        <v>34</v>
      </c>
      <c r="W191" s="19" t="s">
        <v>35</v>
      </c>
      <c r="X191" s="19" t="s">
        <v>36</v>
      </c>
      <c r="Y191" s="19" t="s">
        <v>37</v>
      </c>
      <c r="Z191" s="19" t="s">
        <v>38</v>
      </c>
      <c r="AA191" s="19" t="s">
        <v>39</v>
      </c>
      <c r="AB191" s="19" t="s">
        <v>40</v>
      </c>
      <c r="AC191" s="19" t="s">
        <v>41</v>
      </c>
      <c r="AD191" s="19" t="s">
        <v>42</v>
      </c>
      <c r="AE191" s="19" t="s">
        <v>43</v>
      </c>
      <c r="AF191" s="19" t="s">
        <v>44</v>
      </c>
      <c r="AG191" s="19" t="s">
        <v>45</v>
      </c>
      <c r="AH191" s="19" t="s">
        <v>46</v>
      </c>
      <c r="AI191" s="19"/>
      <c r="AJ191" s="19"/>
    </row>
    <row r="192" ht="30.0" customHeight="1">
      <c r="A192" s="50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59"/>
      <c r="AI192" s="59"/>
      <c r="AJ192" s="59"/>
    </row>
    <row r="193" ht="30.0" customHeight="1">
      <c r="A193" s="50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7"/>
      <c r="AI193" s="67"/>
      <c r="AJ193" s="67"/>
    </row>
    <row r="194" ht="30.0" customHeight="1">
      <c r="A194" s="50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59"/>
      <c r="AI194" s="59"/>
      <c r="AJ194" s="59"/>
    </row>
    <row r="195" ht="30.0" customHeight="1">
      <c r="A195" s="50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7"/>
      <c r="AI195" s="67"/>
      <c r="AJ195" s="67"/>
    </row>
    <row r="196" ht="30.0" customHeight="1">
      <c r="A196" s="50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59"/>
      <c r="AI196" s="59"/>
      <c r="AJ196" s="59"/>
    </row>
    <row r="197" ht="30.0" customHeight="1">
      <c r="A197" s="50"/>
      <c r="B197" s="62" t="str">
        <f>Mayo!MonthName&amp;" Total"</f>
        <v>Enero Total</v>
      </c>
      <c r="C197" s="63">
        <f>SUBTOTAL(103,Mayo!$C$7)</f>
        <v>0</v>
      </c>
      <c r="D197" s="63">
        <f>SUBTOTAL(103,Mayo!$D$7)</f>
        <v>0</v>
      </c>
      <c r="E197" s="63">
        <f>SUBTOTAL(103,Mayo!$E$7)</f>
        <v>0</v>
      </c>
      <c r="F197" s="63"/>
      <c r="G197" s="63"/>
      <c r="H197" s="63">
        <f>SUBTOTAL(103,Mayo!$H$7)</f>
        <v>0</v>
      </c>
      <c r="I197" s="63">
        <f>SUBTOTAL(103,Mayo!$I$7)</f>
        <v>0</v>
      </c>
      <c r="J197" s="63">
        <f>SUBTOTAL(103,Mayo!$J$7)</f>
        <v>0</v>
      </c>
      <c r="K197" s="63">
        <f>SUBTOTAL(103,Mayo!$K$7)</f>
        <v>0</v>
      </c>
      <c r="L197" s="63">
        <f>SUBTOTAL(103,Mayo!$L$7)</f>
        <v>0</v>
      </c>
      <c r="M197" s="63"/>
      <c r="N197" s="63">
        <f>SUBTOTAL(103,Mayo!$N$7)</f>
        <v>0</v>
      </c>
      <c r="O197" s="63">
        <f>SUBTOTAL(103,Mayo!$O$7)</f>
        <v>0</v>
      </c>
      <c r="P197" s="63">
        <f>SUBTOTAL(103,Mayo!$P$7)</f>
        <v>0</v>
      </c>
      <c r="Q197" s="63">
        <f>SUBTOTAL(103,Mayo!$Q$7)</f>
        <v>0</v>
      </c>
      <c r="R197" s="63">
        <f>SUBTOTAL(103,Mayo!$R$7)</f>
        <v>0</v>
      </c>
      <c r="S197" s="63">
        <f>SUBTOTAL(103,Mayo!$S$7)</f>
        <v>0</v>
      </c>
      <c r="T197" s="63">
        <f>SUBTOTAL(103,Mayo!$T$7)</f>
        <v>0</v>
      </c>
      <c r="U197" s="63">
        <f>SUBTOTAL(103,Mayo!$U$7)</f>
        <v>0</v>
      </c>
      <c r="V197" s="63"/>
      <c r="W197" s="63">
        <f>SUBTOTAL(103,Mayo!$W$7)</f>
        <v>0</v>
      </c>
      <c r="X197" s="63">
        <f>SUBTOTAL(103,Mayo!$X$7)</f>
        <v>0</v>
      </c>
      <c r="Y197" s="63">
        <f>SUBTOTAL(103,Mayo!$Y$7)</f>
        <v>0</v>
      </c>
      <c r="Z197" s="63">
        <f>SUBTOTAL(103,Mayo!$Z$7)</f>
        <v>0</v>
      </c>
      <c r="AA197" s="63">
        <f>SUBTOTAL(103,Mayo!$AA$7)</f>
        <v>0</v>
      </c>
      <c r="AB197" s="63">
        <f>SUBTOTAL(103,Mayo!$AB$7)</f>
        <v>0</v>
      </c>
      <c r="AC197" s="63">
        <f>SUBTOTAL(103,Mayo!$AC$7)</f>
        <v>0</v>
      </c>
      <c r="AD197" s="63">
        <f>SUBTOTAL(103,Mayo!$AD$7)</f>
        <v>0</v>
      </c>
      <c r="AE197" s="63">
        <f>SUBTOTAL(103,Mayo!$AE$7)</f>
        <v>0</v>
      </c>
      <c r="AF197" s="63">
        <f>SUBTOTAL(103,Mayo!$AF$7)</f>
        <v>0</v>
      </c>
      <c r="AG197" s="63">
        <f>SUBTOTAL(103,Mayo!$AG$7)</f>
        <v>0</v>
      </c>
      <c r="AH197" s="65">
        <f>SUM(C197:AG197)</f>
        <v>0</v>
      </c>
      <c r="AI197" s="65"/>
      <c r="AJ197" s="65"/>
    </row>
    <row r="198" ht="30.0" customHeight="1">
      <c r="AH198" s="5"/>
      <c r="AI198" s="5"/>
      <c r="AJ198" s="5"/>
    </row>
    <row r="199" ht="30.0" customHeight="1">
      <c r="AH199" s="5"/>
      <c r="AI199" s="5"/>
      <c r="AJ199" s="5"/>
    </row>
    <row r="200" ht="30.0" customHeight="1">
      <c r="AH200" s="5"/>
      <c r="AI200" s="5"/>
      <c r="AJ200" s="5"/>
    </row>
    <row r="201" ht="30.0" customHeight="1">
      <c r="AH201" s="5"/>
      <c r="AI201" s="5"/>
      <c r="AJ201" s="5"/>
    </row>
    <row r="202" ht="30.0" customHeight="1">
      <c r="AH202" s="5"/>
      <c r="AI202" s="5"/>
      <c r="AJ202" s="5"/>
    </row>
    <row r="203" ht="30.0" customHeight="1">
      <c r="AH203" s="5"/>
      <c r="AI203" s="5"/>
      <c r="AJ203" s="5"/>
    </row>
    <row r="204" ht="30.0" customHeight="1">
      <c r="AH204" s="5"/>
      <c r="AI204" s="5"/>
      <c r="AJ204" s="5"/>
    </row>
    <row r="205" ht="30.0" customHeight="1">
      <c r="AH205" s="5"/>
      <c r="AI205" s="5"/>
      <c r="AJ205" s="5"/>
    </row>
    <row r="206" ht="30.0" customHeight="1">
      <c r="AH206" s="5"/>
      <c r="AI206" s="5"/>
      <c r="AJ206" s="5"/>
    </row>
    <row r="207" ht="30.0" customHeight="1">
      <c r="AH207" s="5"/>
      <c r="AI207" s="5"/>
      <c r="AJ207" s="5"/>
    </row>
    <row r="208" ht="30.0" customHeight="1">
      <c r="AH208" s="5"/>
      <c r="AI208" s="5"/>
      <c r="AJ208" s="5"/>
    </row>
    <row r="209" ht="30.0" customHeight="1">
      <c r="AH209" s="5"/>
      <c r="AI209" s="5"/>
      <c r="AJ209" s="5"/>
    </row>
    <row r="210" ht="30.0" customHeight="1">
      <c r="AH210" s="5"/>
      <c r="AI210" s="5"/>
      <c r="AJ210" s="5"/>
    </row>
    <row r="211" ht="30.0" customHeight="1">
      <c r="AH211" s="5"/>
      <c r="AI211" s="5"/>
      <c r="AJ211" s="5"/>
    </row>
    <row r="212" ht="30.0" customHeight="1">
      <c r="AH212" s="5"/>
      <c r="AI212" s="5"/>
      <c r="AJ212" s="5"/>
    </row>
    <row r="213" ht="30.0" customHeight="1">
      <c r="AH213" s="5"/>
      <c r="AI213" s="5"/>
      <c r="AJ213" s="5"/>
    </row>
    <row r="214" ht="30.0" customHeight="1">
      <c r="AH214" s="5"/>
      <c r="AI214" s="5"/>
      <c r="AJ214" s="5"/>
    </row>
    <row r="215" ht="30.0" customHeight="1">
      <c r="AH215" s="5"/>
      <c r="AI215" s="5"/>
      <c r="AJ215" s="5"/>
    </row>
    <row r="216" ht="30.0" customHeight="1">
      <c r="AH216" s="5"/>
      <c r="AI216" s="5"/>
      <c r="AJ216" s="5"/>
    </row>
    <row r="217" ht="30.0" customHeight="1">
      <c r="AH217" s="5"/>
      <c r="AI217" s="5"/>
      <c r="AJ217" s="5"/>
    </row>
    <row r="218" ht="30.0" customHeight="1">
      <c r="AH218" s="5"/>
      <c r="AI218" s="5"/>
      <c r="AJ218" s="5"/>
    </row>
    <row r="219" ht="30.0" customHeight="1">
      <c r="AH219" s="5"/>
      <c r="AI219" s="5"/>
      <c r="AJ219" s="5"/>
    </row>
    <row r="220" ht="30.0" customHeight="1">
      <c r="AH220" s="5"/>
      <c r="AI220" s="5"/>
      <c r="AJ220" s="5"/>
    </row>
    <row r="221" ht="30.0" customHeight="1">
      <c r="AH221" s="5"/>
      <c r="AI221" s="5"/>
      <c r="AJ221" s="5"/>
    </row>
    <row r="222" ht="30.0" customHeight="1">
      <c r="AH222" s="5"/>
      <c r="AI222" s="5"/>
      <c r="AJ222" s="5"/>
    </row>
    <row r="223" ht="30.0" customHeight="1">
      <c r="AH223" s="5"/>
      <c r="AI223" s="5"/>
      <c r="AJ223" s="5"/>
    </row>
    <row r="224" ht="30.0" customHeight="1">
      <c r="AH224" s="5"/>
      <c r="AI224" s="5"/>
      <c r="AJ224" s="5"/>
    </row>
    <row r="225" ht="30.0" customHeight="1">
      <c r="AH225" s="5"/>
      <c r="AI225" s="5"/>
      <c r="AJ225" s="5"/>
    </row>
    <row r="226" ht="30.0" customHeight="1">
      <c r="AH226" s="5"/>
      <c r="AI226" s="5"/>
      <c r="AJ226" s="5"/>
    </row>
    <row r="227" ht="30.0" customHeight="1">
      <c r="AH227" s="5"/>
      <c r="AI227" s="5"/>
      <c r="AJ227" s="5"/>
    </row>
    <row r="228" ht="30.0" customHeight="1">
      <c r="AH228" s="5"/>
      <c r="AI228" s="5"/>
      <c r="AJ228" s="5"/>
    </row>
    <row r="229" ht="30.0" customHeight="1">
      <c r="AH229" s="5"/>
      <c r="AI229" s="5"/>
      <c r="AJ229" s="5"/>
    </row>
    <row r="230" ht="30.0" customHeight="1">
      <c r="AH230" s="5"/>
      <c r="AI230" s="5"/>
      <c r="AJ230" s="5"/>
    </row>
    <row r="231" ht="30.0" customHeight="1">
      <c r="AH231" s="5"/>
      <c r="AI231" s="5"/>
      <c r="AJ231" s="5"/>
    </row>
    <row r="232" ht="30.0" customHeight="1">
      <c r="AH232" s="5"/>
      <c r="AI232" s="5"/>
      <c r="AJ232" s="5"/>
    </row>
    <row r="233" ht="30.0" customHeight="1">
      <c r="AH233" s="5"/>
      <c r="AI233" s="5"/>
      <c r="AJ233" s="5"/>
    </row>
    <row r="234" ht="30.0" customHeight="1">
      <c r="AH234" s="5"/>
      <c r="AI234" s="5"/>
      <c r="AJ234" s="5"/>
    </row>
    <row r="235" ht="30.0" customHeight="1">
      <c r="AH235" s="5"/>
      <c r="AI235" s="5"/>
      <c r="AJ235" s="5"/>
    </row>
    <row r="236" ht="30.0" customHeight="1">
      <c r="AH236" s="5"/>
      <c r="AI236" s="5"/>
      <c r="AJ236" s="5"/>
    </row>
    <row r="237" ht="30.0" customHeight="1">
      <c r="AH237" s="5"/>
      <c r="AI237" s="5"/>
      <c r="AJ237" s="5"/>
    </row>
    <row r="238" ht="30.0" customHeight="1">
      <c r="AH238" s="5"/>
      <c r="AI238" s="5"/>
      <c r="AJ238" s="5"/>
    </row>
    <row r="239" ht="30.0" customHeight="1">
      <c r="AH239" s="5"/>
      <c r="AI239" s="5"/>
      <c r="AJ239" s="5"/>
    </row>
    <row r="240" ht="30.0" customHeight="1">
      <c r="AH240" s="5"/>
      <c r="AI240" s="5"/>
      <c r="AJ240" s="5"/>
    </row>
    <row r="241" ht="30.0" customHeight="1">
      <c r="AH241" s="5"/>
      <c r="AI241" s="5"/>
      <c r="AJ241" s="5"/>
    </row>
    <row r="242" ht="30.0" customHeight="1">
      <c r="AH242" s="5"/>
      <c r="AI242" s="5"/>
      <c r="AJ242" s="5"/>
    </row>
    <row r="243" ht="30.0" customHeight="1">
      <c r="AH243" s="5"/>
      <c r="AI243" s="5"/>
      <c r="AJ243" s="5"/>
    </row>
    <row r="244" ht="30.0" customHeight="1">
      <c r="AH244" s="5"/>
      <c r="AI244" s="5"/>
      <c r="AJ244" s="5"/>
    </row>
    <row r="245" ht="30.0" customHeight="1">
      <c r="AH245" s="5"/>
      <c r="AI245" s="5"/>
      <c r="AJ245" s="5"/>
    </row>
    <row r="246" ht="30.0" customHeight="1">
      <c r="AH246" s="5"/>
      <c r="AI246" s="5"/>
      <c r="AJ246" s="5"/>
    </row>
    <row r="247" ht="30.0" customHeight="1">
      <c r="AH247" s="5"/>
      <c r="AI247" s="5"/>
      <c r="AJ247" s="5"/>
    </row>
    <row r="248" ht="30.0" customHeight="1">
      <c r="AH248" s="5"/>
      <c r="AI248" s="5"/>
      <c r="AJ248" s="5"/>
    </row>
    <row r="249" ht="30.0" customHeight="1">
      <c r="AH249" s="5"/>
      <c r="AI249" s="5"/>
      <c r="AJ249" s="5"/>
    </row>
    <row r="250" ht="30.0" customHeight="1">
      <c r="AH250" s="5"/>
      <c r="AI250" s="5"/>
      <c r="AJ250" s="5"/>
    </row>
    <row r="251" ht="30.0" customHeight="1">
      <c r="AH251" s="5"/>
      <c r="AI251" s="5"/>
      <c r="AJ251" s="5"/>
    </row>
    <row r="252" ht="30.0" customHeight="1">
      <c r="AH252" s="5"/>
      <c r="AI252" s="5"/>
      <c r="AJ252" s="5"/>
    </row>
    <row r="253" ht="30.0" customHeight="1">
      <c r="AH253" s="5"/>
      <c r="AI253" s="5"/>
      <c r="AJ253" s="5"/>
    </row>
    <row r="254" ht="30.0" customHeight="1">
      <c r="AH254" s="5"/>
      <c r="AI254" s="5"/>
      <c r="AJ254" s="5"/>
    </row>
    <row r="255" ht="30.0" customHeight="1">
      <c r="AH255" s="5"/>
      <c r="AI255" s="5"/>
      <c r="AJ255" s="5"/>
    </row>
    <row r="256" ht="30.0" customHeight="1">
      <c r="AH256" s="5"/>
      <c r="AI256" s="5"/>
      <c r="AJ256" s="5"/>
    </row>
    <row r="257" ht="30.0" customHeight="1">
      <c r="AH257" s="5"/>
      <c r="AI257" s="5"/>
      <c r="AJ257" s="5"/>
    </row>
    <row r="258" ht="30.0" customHeight="1">
      <c r="AH258" s="5"/>
      <c r="AI258" s="5"/>
      <c r="AJ258" s="5"/>
    </row>
    <row r="259" ht="30.0" customHeight="1">
      <c r="AH259" s="5"/>
      <c r="AI259" s="5"/>
      <c r="AJ259" s="5"/>
    </row>
    <row r="260" ht="30.0" customHeight="1">
      <c r="AH260" s="5"/>
      <c r="AI260" s="5"/>
      <c r="AJ260" s="5"/>
    </row>
    <row r="261" ht="30.0" customHeight="1">
      <c r="AH261" s="5"/>
      <c r="AI261" s="5"/>
      <c r="AJ261" s="5"/>
    </row>
    <row r="262" ht="30.0" customHeight="1">
      <c r="AH262" s="5"/>
      <c r="AI262" s="5"/>
      <c r="AJ262" s="5"/>
    </row>
    <row r="263" ht="30.0" customHeight="1">
      <c r="AH263" s="5"/>
      <c r="AI263" s="5"/>
      <c r="AJ263" s="5"/>
    </row>
    <row r="264" ht="30.0" customHeight="1">
      <c r="AH264" s="5"/>
      <c r="AI264" s="5"/>
      <c r="AJ264" s="5"/>
    </row>
    <row r="265" ht="30.0" customHeight="1">
      <c r="AH265" s="5"/>
      <c r="AI265" s="5"/>
      <c r="AJ265" s="5"/>
    </row>
    <row r="266" ht="30.0" customHeight="1">
      <c r="AH266" s="5"/>
      <c r="AI266" s="5"/>
      <c r="AJ266" s="5"/>
    </row>
    <row r="267" ht="30.0" customHeight="1">
      <c r="AH267" s="5"/>
      <c r="AI267" s="5"/>
      <c r="AJ267" s="5"/>
    </row>
    <row r="268" ht="30.0" customHeight="1">
      <c r="AH268" s="5"/>
      <c r="AI268" s="5"/>
      <c r="AJ268" s="5"/>
    </row>
    <row r="269" ht="30.0" customHeight="1">
      <c r="AH269" s="5"/>
      <c r="AI269" s="5"/>
      <c r="AJ269" s="5"/>
    </row>
    <row r="270" ht="30.0" customHeight="1">
      <c r="AH270" s="5"/>
      <c r="AI270" s="5"/>
      <c r="AJ270" s="5"/>
    </row>
    <row r="271" ht="30.0" customHeight="1">
      <c r="AH271" s="5"/>
      <c r="AI271" s="5"/>
      <c r="AJ271" s="5"/>
    </row>
    <row r="272" ht="30.0" customHeight="1">
      <c r="AH272" s="5"/>
      <c r="AI272" s="5"/>
      <c r="AJ272" s="5"/>
    </row>
    <row r="273" ht="30.0" customHeight="1">
      <c r="AH273" s="5"/>
      <c r="AI273" s="5"/>
      <c r="AJ273" s="5"/>
    </row>
    <row r="274" ht="30.0" customHeight="1">
      <c r="AH274" s="5"/>
      <c r="AI274" s="5"/>
      <c r="AJ274" s="5"/>
    </row>
    <row r="275" ht="30.0" customHeight="1">
      <c r="AH275" s="5"/>
      <c r="AI275" s="5"/>
      <c r="AJ275" s="5"/>
    </row>
    <row r="276" ht="30.0" customHeight="1">
      <c r="AH276" s="5"/>
      <c r="AI276" s="5"/>
      <c r="AJ276" s="5"/>
    </row>
    <row r="277" ht="30.0" customHeight="1">
      <c r="AH277" s="5"/>
      <c r="AI277" s="5"/>
      <c r="AJ277" s="5"/>
    </row>
    <row r="278" ht="30.0" customHeight="1">
      <c r="AH278" s="5"/>
      <c r="AI278" s="5"/>
      <c r="AJ278" s="5"/>
    </row>
    <row r="279" ht="30.0" customHeight="1">
      <c r="AH279" s="5"/>
      <c r="AI279" s="5"/>
      <c r="AJ279" s="5"/>
    </row>
    <row r="280" ht="30.0" customHeight="1">
      <c r="AH280" s="5"/>
      <c r="AI280" s="5"/>
      <c r="AJ280" s="5"/>
    </row>
    <row r="281" ht="30.0" customHeight="1">
      <c r="AH281" s="5"/>
      <c r="AI281" s="5"/>
      <c r="AJ281" s="5"/>
    </row>
    <row r="282" ht="30.0" customHeight="1">
      <c r="AH282" s="5"/>
      <c r="AI282" s="5"/>
      <c r="AJ282" s="5"/>
    </row>
    <row r="283" ht="30.0" customHeight="1">
      <c r="AH283" s="5"/>
      <c r="AI283" s="5"/>
      <c r="AJ283" s="5"/>
    </row>
    <row r="284" ht="30.0" customHeight="1">
      <c r="AH284" s="5"/>
      <c r="AI284" s="5"/>
      <c r="AJ284" s="5"/>
    </row>
    <row r="285" ht="30.0" customHeight="1">
      <c r="AH285" s="5"/>
      <c r="AI285" s="5"/>
      <c r="AJ285" s="5"/>
    </row>
    <row r="286" ht="30.0" customHeight="1">
      <c r="AH286" s="5"/>
      <c r="AI286" s="5"/>
      <c r="AJ286" s="5"/>
    </row>
    <row r="287" ht="30.0" customHeight="1">
      <c r="AH287" s="5"/>
      <c r="AI287" s="5"/>
      <c r="AJ287" s="5"/>
    </row>
    <row r="288" ht="30.0" customHeight="1">
      <c r="AH288" s="5"/>
      <c r="AI288" s="5"/>
      <c r="AJ288" s="5"/>
    </row>
    <row r="289" ht="30.0" customHeight="1">
      <c r="AH289" s="5"/>
      <c r="AI289" s="5"/>
      <c r="AJ289" s="5"/>
    </row>
    <row r="290" ht="30.0" customHeight="1">
      <c r="AH290" s="5"/>
      <c r="AI290" s="5"/>
      <c r="AJ290" s="5"/>
    </row>
    <row r="291" ht="30.0" customHeight="1">
      <c r="AH291" s="5"/>
      <c r="AI291" s="5"/>
      <c r="AJ291" s="5"/>
    </row>
    <row r="292" ht="30.0" customHeight="1">
      <c r="AH292" s="5"/>
      <c r="AI292" s="5"/>
      <c r="AJ292" s="5"/>
    </row>
    <row r="293" ht="30.0" customHeight="1">
      <c r="AH293" s="5"/>
      <c r="AI293" s="5"/>
      <c r="AJ293" s="5"/>
    </row>
    <row r="294" ht="30.0" customHeight="1">
      <c r="AH294" s="5"/>
      <c r="AI294" s="5"/>
      <c r="AJ294" s="5"/>
    </row>
    <row r="295" ht="30.0" customHeight="1">
      <c r="AH295" s="5"/>
      <c r="AI295" s="5"/>
      <c r="AJ295" s="5"/>
    </row>
    <row r="296" ht="30.0" customHeight="1">
      <c r="AH296" s="5"/>
      <c r="AI296" s="5"/>
      <c r="AJ296" s="5"/>
    </row>
    <row r="297" ht="30.0" customHeight="1">
      <c r="AH297" s="5"/>
      <c r="AI297" s="5"/>
      <c r="AJ297" s="5"/>
    </row>
    <row r="298" ht="30.0" customHeight="1">
      <c r="AH298" s="5"/>
      <c r="AI298" s="5"/>
      <c r="AJ298" s="5"/>
    </row>
    <row r="299" ht="30.0" customHeight="1">
      <c r="AH299" s="5"/>
      <c r="AI299" s="5"/>
      <c r="AJ299" s="5"/>
    </row>
    <row r="300" ht="30.0" customHeight="1">
      <c r="AH300" s="5"/>
      <c r="AI300" s="5"/>
      <c r="AJ300" s="5"/>
    </row>
    <row r="301" ht="30.0" customHeight="1">
      <c r="AH301" s="5"/>
      <c r="AI301" s="5"/>
      <c r="AJ301" s="5"/>
    </row>
    <row r="302" ht="30.0" customHeight="1">
      <c r="AH302" s="5"/>
      <c r="AI302" s="5"/>
      <c r="AJ302" s="5"/>
    </row>
    <row r="303" ht="30.0" customHeight="1">
      <c r="AH303" s="5"/>
      <c r="AI303" s="5"/>
      <c r="AJ303" s="5"/>
    </row>
    <row r="304" ht="30.0" customHeight="1">
      <c r="AH304" s="5"/>
      <c r="AI304" s="5"/>
      <c r="AJ304" s="5"/>
    </row>
    <row r="305" ht="30.0" customHeight="1">
      <c r="AH305" s="5"/>
      <c r="AI305" s="5"/>
      <c r="AJ305" s="5"/>
    </row>
    <row r="306" ht="30.0" customHeight="1">
      <c r="AH306" s="5"/>
      <c r="AI306" s="5"/>
      <c r="AJ306" s="5"/>
    </row>
    <row r="307" ht="30.0" customHeight="1">
      <c r="AH307" s="5"/>
      <c r="AI307" s="5"/>
      <c r="AJ307" s="5"/>
    </row>
    <row r="308" ht="30.0" customHeight="1">
      <c r="AH308" s="5"/>
      <c r="AI308" s="5"/>
      <c r="AJ308" s="5"/>
    </row>
    <row r="309" ht="30.0" customHeight="1">
      <c r="AH309" s="5"/>
      <c r="AI309" s="5"/>
      <c r="AJ309" s="5"/>
    </row>
    <row r="310" ht="30.0" customHeight="1">
      <c r="AH310" s="5"/>
      <c r="AI310" s="5"/>
      <c r="AJ310" s="5"/>
    </row>
    <row r="311" ht="30.0" customHeight="1">
      <c r="AH311" s="5"/>
      <c r="AI311" s="5"/>
      <c r="AJ311" s="5"/>
    </row>
    <row r="312" ht="30.0" customHeight="1">
      <c r="AH312" s="5"/>
      <c r="AI312" s="5"/>
      <c r="AJ312" s="5"/>
    </row>
    <row r="313" ht="30.0" customHeight="1">
      <c r="AH313" s="5"/>
      <c r="AI313" s="5"/>
      <c r="AJ313" s="5"/>
    </row>
    <row r="314" ht="30.0" customHeight="1">
      <c r="AH314" s="5"/>
      <c r="AI314" s="5"/>
      <c r="AJ314" s="5"/>
    </row>
    <row r="315" ht="30.0" customHeight="1">
      <c r="AH315" s="5"/>
      <c r="AI315" s="5"/>
      <c r="AJ315" s="5"/>
    </row>
    <row r="316" ht="30.0" customHeight="1">
      <c r="AH316" s="5"/>
      <c r="AI316" s="5"/>
      <c r="AJ316" s="5"/>
    </row>
    <row r="317" ht="30.0" customHeight="1">
      <c r="AH317" s="5"/>
      <c r="AI317" s="5"/>
      <c r="AJ317" s="5"/>
    </row>
    <row r="318" ht="30.0" customHeight="1">
      <c r="AH318" s="5"/>
      <c r="AI318" s="5"/>
      <c r="AJ318" s="5"/>
    </row>
    <row r="319" ht="30.0" customHeight="1">
      <c r="AH319" s="5"/>
      <c r="AI319" s="5"/>
      <c r="AJ319" s="5"/>
    </row>
    <row r="320" ht="30.0" customHeight="1">
      <c r="AH320" s="5"/>
      <c r="AI320" s="5"/>
      <c r="AJ320" s="5"/>
    </row>
    <row r="321" ht="30.0" customHeight="1">
      <c r="AH321" s="5"/>
      <c r="AI321" s="5"/>
      <c r="AJ321" s="5"/>
    </row>
    <row r="322" ht="30.0" customHeight="1">
      <c r="AH322" s="5"/>
      <c r="AI322" s="5"/>
      <c r="AJ322" s="5"/>
    </row>
    <row r="323" ht="30.0" customHeight="1">
      <c r="AH323" s="5"/>
      <c r="AI323" s="5"/>
      <c r="AJ323" s="5"/>
    </row>
    <row r="324" ht="30.0" customHeight="1">
      <c r="AH324" s="5"/>
      <c r="AI324" s="5"/>
      <c r="AJ324" s="5"/>
    </row>
    <row r="325" ht="30.0" customHeight="1">
      <c r="AH325" s="5"/>
      <c r="AI325" s="5"/>
      <c r="AJ325" s="5"/>
    </row>
    <row r="326" ht="30.0" customHeight="1">
      <c r="AH326" s="5"/>
      <c r="AI326" s="5"/>
      <c r="AJ326" s="5"/>
    </row>
    <row r="327" ht="30.0" customHeight="1">
      <c r="AH327" s="5"/>
      <c r="AI327" s="5"/>
      <c r="AJ327" s="5"/>
    </row>
    <row r="328" ht="30.0" customHeight="1">
      <c r="AH328" s="5"/>
      <c r="AI328" s="5"/>
      <c r="AJ328" s="5"/>
    </row>
    <row r="329" ht="30.0" customHeight="1">
      <c r="AH329" s="5"/>
      <c r="AI329" s="5"/>
      <c r="AJ329" s="5"/>
    </row>
    <row r="330" ht="30.0" customHeight="1">
      <c r="AH330" s="5"/>
      <c r="AI330" s="5"/>
      <c r="AJ330" s="5"/>
    </row>
    <row r="331" ht="30.0" customHeight="1">
      <c r="AH331" s="5"/>
      <c r="AI331" s="5"/>
      <c r="AJ331" s="5"/>
    </row>
    <row r="332" ht="30.0" customHeight="1">
      <c r="AH332" s="5"/>
      <c r="AI332" s="5"/>
      <c r="AJ332" s="5"/>
    </row>
    <row r="333" ht="30.0" customHeight="1">
      <c r="AH333" s="5"/>
      <c r="AI333" s="5"/>
      <c r="AJ333" s="5"/>
    </row>
    <row r="334" ht="30.0" customHeight="1">
      <c r="AH334" s="5"/>
      <c r="AI334" s="5"/>
      <c r="AJ334" s="5"/>
    </row>
    <row r="335" ht="30.0" customHeight="1">
      <c r="AH335" s="5"/>
      <c r="AI335" s="5"/>
      <c r="AJ335" s="5"/>
    </row>
    <row r="336" ht="30.0" customHeight="1">
      <c r="AH336" s="5"/>
      <c r="AI336" s="5"/>
      <c r="AJ336" s="5"/>
    </row>
    <row r="337" ht="30.0" customHeight="1">
      <c r="AH337" s="5"/>
      <c r="AI337" s="5"/>
      <c r="AJ337" s="5"/>
    </row>
    <row r="338" ht="30.0" customHeight="1">
      <c r="AH338" s="5"/>
      <c r="AI338" s="5"/>
      <c r="AJ338" s="5"/>
    </row>
    <row r="339" ht="30.0" customHeight="1">
      <c r="AH339" s="5"/>
      <c r="AI339" s="5"/>
      <c r="AJ339" s="5"/>
    </row>
    <row r="340" ht="30.0" customHeight="1">
      <c r="AH340" s="5"/>
      <c r="AI340" s="5"/>
      <c r="AJ340" s="5"/>
    </row>
    <row r="341" ht="30.0" customHeight="1">
      <c r="AH341" s="5"/>
      <c r="AI341" s="5"/>
      <c r="AJ341" s="5"/>
    </row>
    <row r="342" ht="30.0" customHeight="1">
      <c r="AH342" s="5"/>
      <c r="AI342" s="5"/>
      <c r="AJ342" s="5"/>
    </row>
    <row r="343" ht="30.0" customHeight="1">
      <c r="AH343" s="5"/>
      <c r="AI343" s="5"/>
      <c r="AJ343" s="5"/>
    </row>
    <row r="344" ht="30.0" customHeight="1">
      <c r="AH344" s="5"/>
      <c r="AI344" s="5"/>
      <c r="AJ344" s="5"/>
    </row>
    <row r="345" ht="30.0" customHeight="1">
      <c r="AH345" s="5"/>
      <c r="AI345" s="5"/>
      <c r="AJ345" s="5"/>
    </row>
    <row r="346" ht="30.0" customHeight="1">
      <c r="AH346" s="5"/>
      <c r="AI346" s="5"/>
      <c r="AJ346" s="5"/>
    </row>
    <row r="347" ht="30.0" customHeight="1">
      <c r="AH347" s="5"/>
      <c r="AI347" s="5"/>
      <c r="AJ347" s="5"/>
    </row>
    <row r="348" ht="30.0" customHeight="1">
      <c r="AH348" s="5"/>
      <c r="AI348" s="5"/>
      <c r="AJ348" s="5"/>
    </row>
    <row r="349" ht="30.0" customHeight="1">
      <c r="AH349" s="5"/>
      <c r="AI349" s="5"/>
      <c r="AJ349" s="5"/>
    </row>
    <row r="350" ht="30.0" customHeight="1">
      <c r="AH350" s="5"/>
      <c r="AI350" s="5"/>
      <c r="AJ350" s="5"/>
    </row>
    <row r="351" ht="30.0" customHeight="1">
      <c r="AH351" s="5"/>
      <c r="AI351" s="5"/>
      <c r="AJ351" s="5"/>
    </row>
    <row r="352" ht="30.0" customHeight="1">
      <c r="AH352" s="5"/>
      <c r="AI352" s="5"/>
      <c r="AJ352" s="5"/>
    </row>
    <row r="353" ht="30.0" customHeight="1">
      <c r="AH353" s="5"/>
      <c r="AI353" s="5"/>
      <c r="AJ353" s="5"/>
    </row>
    <row r="354" ht="30.0" customHeight="1">
      <c r="AH354" s="5"/>
      <c r="AI354" s="5"/>
      <c r="AJ354" s="5"/>
    </row>
    <row r="355" ht="30.0" customHeight="1">
      <c r="AH355" s="5"/>
      <c r="AI355" s="5"/>
      <c r="AJ355" s="5"/>
    </row>
    <row r="356" ht="30.0" customHeight="1">
      <c r="AH356" s="5"/>
      <c r="AI356" s="5"/>
      <c r="AJ356" s="5"/>
    </row>
    <row r="357" ht="30.0" customHeight="1">
      <c r="AH357" s="5"/>
      <c r="AI357" s="5"/>
      <c r="AJ357" s="5"/>
    </row>
    <row r="358" ht="30.0" customHeight="1">
      <c r="AH358" s="5"/>
      <c r="AI358" s="5"/>
      <c r="AJ358" s="5"/>
    </row>
    <row r="359" ht="30.0" customHeight="1">
      <c r="AH359" s="5"/>
      <c r="AI359" s="5"/>
      <c r="AJ359" s="5"/>
    </row>
    <row r="360" ht="30.0" customHeight="1">
      <c r="AH360" s="5"/>
      <c r="AI360" s="5"/>
      <c r="AJ360" s="5"/>
    </row>
    <row r="361" ht="30.0" customHeight="1">
      <c r="AH361" s="5"/>
      <c r="AI361" s="5"/>
      <c r="AJ361" s="5"/>
    </row>
    <row r="362" ht="30.0" customHeight="1">
      <c r="AH362" s="5"/>
      <c r="AI362" s="5"/>
      <c r="AJ362" s="5"/>
    </row>
    <row r="363" ht="30.0" customHeight="1">
      <c r="AH363" s="5"/>
      <c r="AI363" s="5"/>
      <c r="AJ363" s="5"/>
    </row>
    <row r="364" ht="30.0" customHeight="1">
      <c r="AH364" s="5"/>
      <c r="AI364" s="5"/>
      <c r="AJ364" s="5"/>
    </row>
    <row r="365" ht="30.0" customHeight="1">
      <c r="AH365" s="5"/>
      <c r="AI365" s="5"/>
      <c r="AJ365" s="5"/>
    </row>
    <row r="366" ht="30.0" customHeight="1">
      <c r="AH366" s="5"/>
      <c r="AI366" s="5"/>
      <c r="AJ366" s="5"/>
    </row>
    <row r="367" ht="30.0" customHeight="1">
      <c r="AH367" s="5"/>
      <c r="AI367" s="5"/>
      <c r="AJ367" s="5"/>
    </row>
    <row r="368" ht="30.0" customHeight="1">
      <c r="AH368" s="5"/>
      <c r="AI368" s="5"/>
      <c r="AJ368" s="5"/>
    </row>
    <row r="369" ht="30.0" customHeight="1">
      <c r="AH369" s="5"/>
      <c r="AI369" s="5"/>
      <c r="AJ369" s="5"/>
    </row>
    <row r="370" ht="30.0" customHeight="1">
      <c r="AH370" s="5"/>
      <c r="AI370" s="5"/>
      <c r="AJ370" s="5"/>
    </row>
    <row r="371" ht="30.0" customHeight="1">
      <c r="AH371" s="5"/>
      <c r="AI371" s="5"/>
      <c r="AJ371" s="5"/>
    </row>
    <row r="372" ht="30.0" customHeight="1">
      <c r="AH372" s="5"/>
      <c r="AI372" s="5"/>
      <c r="AJ372" s="5"/>
    </row>
    <row r="373" ht="30.0" customHeight="1">
      <c r="AH373" s="5"/>
      <c r="AI373" s="5"/>
      <c r="AJ373" s="5"/>
    </row>
    <row r="374" ht="30.0" customHeight="1">
      <c r="AH374" s="5"/>
      <c r="AI374" s="5"/>
      <c r="AJ374" s="5"/>
    </row>
    <row r="375" ht="30.0" customHeight="1">
      <c r="AH375" s="5"/>
      <c r="AI375" s="5"/>
      <c r="AJ375" s="5"/>
    </row>
    <row r="376" ht="30.0" customHeight="1">
      <c r="AH376" s="5"/>
      <c r="AI376" s="5"/>
      <c r="AJ376" s="5"/>
    </row>
    <row r="377" ht="30.0" customHeight="1">
      <c r="AH377" s="5"/>
      <c r="AI377" s="5"/>
      <c r="AJ377" s="5"/>
    </row>
    <row r="378" ht="30.0" customHeight="1">
      <c r="AH378" s="5"/>
      <c r="AI378" s="5"/>
      <c r="AJ378" s="5"/>
    </row>
    <row r="379" ht="30.0" customHeight="1">
      <c r="AH379" s="5"/>
      <c r="AI379" s="5"/>
      <c r="AJ379" s="5"/>
    </row>
    <row r="380" ht="30.0" customHeight="1">
      <c r="AH380" s="5"/>
      <c r="AI380" s="5"/>
      <c r="AJ380" s="5"/>
    </row>
    <row r="381" ht="30.0" customHeight="1">
      <c r="AH381" s="5"/>
      <c r="AI381" s="5"/>
      <c r="AJ381" s="5"/>
    </row>
    <row r="382" ht="30.0" customHeight="1">
      <c r="AH382" s="5"/>
      <c r="AI382" s="5"/>
      <c r="AJ382" s="5"/>
    </row>
    <row r="383" ht="30.0" customHeight="1">
      <c r="AH383" s="5"/>
      <c r="AI383" s="5"/>
      <c r="AJ383" s="5"/>
    </row>
    <row r="384" ht="30.0" customHeight="1">
      <c r="AH384" s="5"/>
      <c r="AI384" s="5"/>
      <c r="AJ384" s="5"/>
    </row>
    <row r="385" ht="30.0" customHeight="1">
      <c r="AH385" s="5"/>
      <c r="AI385" s="5"/>
      <c r="AJ385" s="5"/>
    </row>
    <row r="386" ht="30.0" customHeight="1">
      <c r="AH386" s="5"/>
      <c r="AI386" s="5"/>
      <c r="AJ386" s="5"/>
    </row>
    <row r="387" ht="30.0" customHeight="1">
      <c r="AH387" s="5"/>
      <c r="AI387" s="5"/>
      <c r="AJ387" s="5"/>
    </row>
    <row r="388" ht="30.0" customHeight="1">
      <c r="AH388" s="5"/>
      <c r="AI388" s="5"/>
      <c r="AJ388" s="5"/>
    </row>
    <row r="389" ht="30.0" customHeight="1">
      <c r="AH389" s="5"/>
      <c r="AI389" s="5"/>
      <c r="AJ389" s="5"/>
    </row>
    <row r="390" ht="30.0" customHeight="1">
      <c r="AH390" s="5"/>
      <c r="AI390" s="5"/>
      <c r="AJ390" s="5"/>
    </row>
    <row r="391" ht="30.0" customHeight="1">
      <c r="AH391" s="5"/>
      <c r="AI391" s="5"/>
      <c r="AJ391" s="5"/>
    </row>
    <row r="392" ht="30.0" customHeight="1">
      <c r="AH392" s="5"/>
      <c r="AI392" s="5"/>
      <c r="AJ392" s="5"/>
    </row>
    <row r="393" ht="30.0" customHeight="1">
      <c r="AH393" s="5"/>
      <c r="AI393" s="5"/>
      <c r="AJ393" s="5"/>
    </row>
    <row r="394" ht="30.0" customHeight="1">
      <c r="AH394" s="5"/>
      <c r="AI394" s="5"/>
      <c r="AJ394" s="5"/>
    </row>
    <row r="395" ht="30.0" customHeight="1">
      <c r="AH395" s="5"/>
      <c r="AI395" s="5"/>
      <c r="AJ395" s="5"/>
    </row>
    <row r="396" ht="30.0" customHeight="1">
      <c r="AH396" s="5"/>
      <c r="AI396" s="5"/>
      <c r="AJ396" s="5"/>
    </row>
    <row r="397" ht="30.0" customHeight="1">
      <c r="AH397" s="5"/>
      <c r="AI397" s="5"/>
      <c r="AJ397" s="5"/>
    </row>
    <row r="398" ht="30.0" customHeight="1">
      <c r="AH398" s="5"/>
      <c r="AI398" s="5"/>
      <c r="AJ398" s="5"/>
    </row>
    <row r="399" ht="30.0" customHeight="1">
      <c r="AH399" s="5"/>
      <c r="AI399" s="5"/>
      <c r="AJ399" s="5"/>
    </row>
    <row r="400" ht="30.0" customHeight="1">
      <c r="AH400" s="5"/>
      <c r="AI400" s="5"/>
      <c r="AJ400" s="5"/>
    </row>
    <row r="401" ht="30.0" customHeight="1">
      <c r="AH401" s="5"/>
      <c r="AI401" s="5"/>
      <c r="AJ401" s="5"/>
    </row>
    <row r="402" ht="30.0" customHeight="1">
      <c r="AH402" s="5"/>
      <c r="AI402" s="5"/>
      <c r="AJ402" s="5"/>
    </row>
    <row r="403" ht="30.0" customHeight="1">
      <c r="AH403" s="5"/>
      <c r="AI403" s="5"/>
      <c r="AJ403" s="5"/>
    </row>
    <row r="404" ht="30.0" customHeight="1">
      <c r="AH404" s="5"/>
      <c r="AI404" s="5"/>
      <c r="AJ404" s="5"/>
    </row>
    <row r="405" ht="30.0" customHeight="1">
      <c r="AH405" s="5"/>
      <c r="AI405" s="5"/>
      <c r="AJ405" s="5"/>
    </row>
    <row r="406" ht="30.0" customHeight="1">
      <c r="AH406" s="5"/>
      <c r="AI406" s="5"/>
      <c r="AJ406" s="5"/>
    </row>
    <row r="407" ht="30.0" customHeight="1">
      <c r="AH407" s="5"/>
      <c r="AI407" s="5"/>
      <c r="AJ407" s="5"/>
    </row>
    <row r="408" ht="30.0" customHeight="1">
      <c r="AH408" s="5"/>
      <c r="AI408" s="5"/>
      <c r="AJ408" s="5"/>
    </row>
    <row r="409" ht="30.0" customHeight="1">
      <c r="AH409" s="5"/>
      <c r="AI409" s="5"/>
      <c r="AJ409" s="5"/>
    </row>
    <row r="410" ht="30.0" customHeight="1">
      <c r="AH410" s="5"/>
      <c r="AI410" s="5"/>
      <c r="AJ410" s="5"/>
    </row>
    <row r="411" ht="30.0" customHeight="1">
      <c r="AH411" s="5"/>
      <c r="AI411" s="5"/>
      <c r="AJ411" s="5"/>
    </row>
    <row r="412" ht="30.0" customHeight="1">
      <c r="AH412" s="5"/>
      <c r="AI412" s="5"/>
      <c r="AJ412" s="5"/>
    </row>
    <row r="413" ht="30.0" customHeight="1">
      <c r="AH413" s="5"/>
      <c r="AI413" s="5"/>
      <c r="AJ413" s="5"/>
    </row>
    <row r="414" ht="30.0" customHeight="1">
      <c r="AH414" s="5"/>
      <c r="AI414" s="5"/>
      <c r="AJ414" s="5"/>
    </row>
    <row r="415" ht="30.0" customHeight="1">
      <c r="AH415" s="5"/>
      <c r="AI415" s="5"/>
      <c r="AJ415" s="5"/>
    </row>
    <row r="416" ht="30.0" customHeight="1">
      <c r="AH416" s="5"/>
      <c r="AI416" s="5"/>
      <c r="AJ416" s="5"/>
    </row>
    <row r="417" ht="30.0" customHeight="1">
      <c r="AH417" s="5"/>
      <c r="AI417" s="5"/>
      <c r="AJ417" s="5"/>
    </row>
    <row r="418" ht="30.0" customHeight="1">
      <c r="AH418" s="5"/>
      <c r="AI418" s="5"/>
      <c r="AJ418" s="5"/>
    </row>
    <row r="419" ht="30.0" customHeight="1">
      <c r="AH419" s="5"/>
      <c r="AI419" s="5"/>
      <c r="AJ419" s="5"/>
    </row>
    <row r="420" ht="30.0" customHeight="1">
      <c r="AH420" s="5"/>
      <c r="AI420" s="5"/>
      <c r="AJ420" s="5"/>
    </row>
    <row r="421" ht="30.0" customHeight="1">
      <c r="AH421" s="5"/>
      <c r="AI421" s="5"/>
      <c r="AJ421" s="5"/>
    </row>
    <row r="422" ht="30.0" customHeight="1">
      <c r="AH422" s="5"/>
      <c r="AI422" s="5"/>
      <c r="AJ422" s="5"/>
    </row>
    <row r="423" ht="30.0" customHeight="1">
      <c r="AH423" s="5"/>
      <c r="AI423" s="5"/>
      <c r="AJ423" s="5"/>
    </row>
    <row r="424" ht="30.0" customHeight="1">
      <c r="AH424" s="5"/>
      <c r="AI424" s="5"/>
      <c r="AJ424" s="5"/>
    </row>
    <row r="425" ht="30.0" customHeight="1">
      <c r="AH425" s="5"/>
      <c r="AI425" s="5"/>
      <c r="AJ425" s="5"/>
    </row>
    <row r="426" ht="30.0" customHeight="1">
      <c r="AH426" s="5"/>
      <c r="AI426" s="5"/>
      <c r="AJ426" s="5"/>
    </row>
    <row r="427" ht="30.0" customHeight="1">
      <c r="AH427" s="5"/>
      <c r="AI427" s="5"/>
      <c r="AJ427" s="5"/>
    </row>
    <row r="428" ht="30.0" customHeight="1">
      <c r="AH428" s="5"/>
      <c r="AI428" s="5"/>
      <c r="AJ428" s="5"/>
    </row>
    <row r="429" ht="30.0" customHeight="1">
      <c r="AH429" s="5"/>
      <c r="AI429" s="5"/>
      <c r="AJ429" s="5"/>
    </row>
    <row r="430" ht="30.0" customHeight="1">
      <c r="AH430" s="5"/>
      <c r="AI430" s="5"/>
      <c r="AJ430" s="5"/>
    </row>
    <row r="431" ht="30.0" customHeight="1">
      <c r="AH431" s="5"/>
      <c r="AI431" s="5"/>
      <c r="AJ431" s="5"/>
    </row>
    <row r="432" ht="30.0" customHeight="1">
      <c r="AH432" s="5"/>
      <c r="AI432" s="5"/>
      <c r="AJ432" s="5"/>
    </row>
    <row r="433" ht="30.0" customHeight="1">
      <c r="AH433" s="5"/>
      <c r="AI433" s="5"/>
      <c r="AJ433" s="5"/>
    </row>
    <row r="434" ht="30.0" customHeight="1">
      <c r="AH434" s="5"/>
      <c r="AI434" s="5"/>
      <c r="AJ434" s="5"/>
    </row>
    <row r="435" ht="30.0" customHeight="1">
      <c r="AH435" s="5"/>
      <c r="AI435" s="5"/>
      <c r="AJ435" s="5"/>
    </row>
    <row r="436" ht="30.0" customHeight="1">
      <c r="AH436" s="5"/>
      <c r="AI436" s="5"/>
      <c r="AJ436" s="5"/>
    </row>
    <row r="437" ht="30.0" customHeight="1">
      <c r="AH437" s="5"/>
      <c r="AI437" s="5"/>
      <c r="AJ437" s="5"/>
    </row>
    <row r="438" ht="30.0" customHeight="1">
      <c r="AH438" s="5"/>
      <c r="AI438" s="5"/>
      <c r="AJ438" s="5"/>
    </row>
    <row r="439" ht="30.0" customHeight="1">
      <c r="AH439" s="5"/>
      <c r="AI439" s="5"/>
      <c r="AJ439" s="5"/>
    </row>
    <row r="440" ht="30.0" customHeight="1">
      <c r="AH440" s="5"/>
      <c r="AI440" s="5"/>
      <c r="AJ440" s="5"/>
    </row>
    <row r="441" ht="30.0" customHeight="1">
      <c r="AH441" s="5"/>
      <c r="AI441" s="5"/>
      <c r="AJ441" s="5"/>
    </row>
    <row r="442" ht="30.0" customHeight="1">
      <c r="AH442" s="5"/>
      <c r="AI442" s="5"/>
      <c r="AJ442" s="5"/>
    </row>
    <row r="443" ht="30.0" customHeight="1">
      <c r="AH443" s="5"/>
      <c r="AI443" s="5"/>
      <c r="AJ443" s="5"/>
    </row>
    <row r="444" ht="30.0" customHeight="1">
      <c r="AH444" s="5"/>
      <c r="AI444" s="5"/>
      <c r="AJ444" s="5"/>
    </row>
    <row r="445" ht="30.0" customHeight="1">
      <c r="AH445" s="5"/>
      <c r="AI445" s="5"/>
      <c r="AJ445" s="5"/>
    </row>
    <row r="446" ht="30.0" customHeight="1">
      <c r="AH446" s="5"/>
      <c r="AI446" s="5"/>
      <c r="AJ446" s="5"/>
    </row>
    <row r="447" ht="30.0" customHeight="1">
      <c r="AH447" s="5"/>
      <c r="AI447" s="5"/>
      <c r="AJ447" s="5"/>
    </row>
    <row r="448" ht="30.0" customHeight="1">
      <c r="AH448" s="5"/>
      <c r="AI448" s="5"/>
      <c r="AJ448" s="5"/>
    </row>
    <row r="449" ht="30.0" customHeight="1">
      <c r="AH449" s="5"/>
      <c r="AI449" s="5"/>
      <c r="AJ449" s="5"/>
    </row>
    <row r="450" ht="30.0" customHeight="1">
      <c r="AH450" s="5"/>
      <c r="AI450" s="5"/>
      <c r="AJ450" s="5"/>
    </row>
    <row r="451" ht="30.0" customHeight="1">
      <c r="AH451" s="5"/>
      <c r="AI451" s="5"/>
      <c r="AJ451" s="5"/>
    </row>
    <row r="452" ht="30.0" customHeight="1">
      <c r="AH452" s="5"/>
      <c r="AI452" s="5"/>
      <c r="AJ452" s="5"/>
    </row>
    <row r="453" ht="30.0" customHeight="1">
      <c r="AH453" s="5"/>
      <c r="AI453" s="5"/>
      <c r="AJ453" s="5"/>
    </row>
    <row r="454" ht="30.0" customHeight="1">
      <c r="AH454" s="5"/>
      <c r="AI454" s="5"/>
      <c r="AJ454" s="5"/>
    </row>
    <row r="455" ht="30.0" customHeight="1">
      <c r="AH455" s="5"/>
      <c r="AI455" s="5"/>
      <c r="AJ455" s="5"/>
    </row>
    <row r="456" ht="30.0" customHeight="1">
      <c r="AH456" s="5"/>
      <c r="AI456" s="5"/>
      <c r="AJ456" s="5"/>
    </row>
    <row r="457" ht="30.0" customHeight="1">
      <c r="AH457" s="5"/>
      <c r="AI457" s="5"/>
      <c r="AJ457" s="5"/>
    </row>
    <row r="458" ht="30.0" customHeight="1">
      <c r="AH458" s="5"/>
      <c r="AI458" s="5"/>
      <c r="AJ458" s="5"/>
    </row>
    <row r="459" ht="30.0" customHeight="1">
      <c r="AH459" s="5"/>
      <c r="AI459" s="5"/>
      <c r="AJ459" s="5"/>
    </row>
    <row r="460" ht="30.0" customHeight="1">
      <c r="AH460" s="5"/>
      <c r="AI460" s="5"/>
      <c r="AJ460" s="5"/>
    </row>
    <row r="461" ht="30.0" customHeight="1">
      <c r="AH461" s="5"/>
      <c r="AI461" s="5"/>
      <c r="AJ461" s="5"/>
    </row>
    <row r="462" ht="30.0" customHeight="1">
      <c r="AH462" s="5"/>
      <c r="AI462" s="5"/>
      <c r="AJ462" s="5"/>
    </row>
    <row r="463" ht="30.0" customHeight="1">
      <c r="AH463" s="5"/>
      <c r="AI463" s="5"/>
      <c r="AJ463" s="5"/>
    </row>
    <row r="464" ht="30.0" customHeight="1">
      <c r="AH464" s="5"/>
      <c r="AI464" s="5"/>
      <c r="AJ464" s="5"/>
    </row>
    <row r="465" ht="30.0" customHeight="1">
      <c r="AH465" s="5"/>
      <c r="AI465" s="5"/>
      <c r="AJ465" s="5"/>
    </row>
    <row r="466" ht="30.0" customHeight="1">
      <c r="AH466" s="5"/>
      <c r="AI466" s="5"/>
      <c r="AJ466" s="5"/>
    </row>
    <row r="467" ht="30.0" customHeight="1">
      <c r="AH467" s="5"/>
      <c r="AI467" s="5"/>
      <c r="AJ467" s="5"/>
    </row>
    <row r="468" ht="30.0" customHeight="1">
      <c r="AH468" s="5"/>
      <c r="AI468" s="5"/>
      <c r="AJ468" s="5"/>
    </row>
    <row r="469" ht="30.0" customHeight="1">
      <c r="AH469" s="5"/>
      <c r="AI469" s="5"/>
      <c r="AJ469" s="5"/>
    </row>
    <row r="470" ht="30.0" customHeight="1">
      <c r="AH470" s="5"/>
      <c r="AI470" s="5"/>
      <c r="AJ470" s="5"/>
    </row>
    <row r="471" ht="30.0" customHeight="1">
      <c r="AH471" s="5"/>
      <c r="AI471" s="5"/>
      <c r="AJ471" s="5"/>
    </row>
    <row r="472" ht="30.0" customHeight="1">
      <c r="AH472" s="5"/>
      <c r="AI472" s="5"/>
      <c r="AJ472" s="5"/>
    </row>
    <row r="473" ht="30.0" customHeight="1">
      <c r="AH473" s="5"/>
      <c r="AI473" s="5"/>
      <c r="AJ473" s="5"/>
    </row>
    <row r="474" ht="30.0" customHeight="1">
      <c r="AH474" s="5"/>
      <c r="AI474" s="5"/>
      <c r="AJ474" s="5"/>
    </row>
    <row r="475" ht="30.0" customHeight="1">
      <c r="AH475" s="5"/>
      <c r="AI475" s="5"/>
      <c r="AJ475" s="5"/>
    </row>
    <row r="476" ht="30.0" customHeight="1">
      <c r="AH476" s="5"/>
      <c r="AI476" s="5"/>
      <c r="AJ476" s="5"/>
    </row>
    <row r="477" ht="30.0" customHeight="1">
      <c r="AH477" s="5"/>
      <c r="AI477" s="5"/>
      <c r="AJ477" s="5"/>
    </row>
    <row r="478" ht="30.0" customHeight="1">
      <c r="AH478" s="5"/>
      <c r="AI478" s="5"/>
      <c r="AJ478" s="5"/>
    </row>
    <row r="479" ht="30.0" customHeight="1">
      <c r="AH479" s="5"/>
      <c r="AI479" s="5"/>
      <c r="AJ479" s="5"/>
    </row>
    <row r="480" ht="30.0" customHeight="1">
      <c r="AH480" s="5"/>
      <c r="AI480" s="5"/>
      <c r="AJ480" s="5"/>
    </row>
    <row r="481" ht="30.0" customHeight="1">
      <c r="AH481" s="5"/>
      <c r="AI481" s="5"/>
      <c r="AJ481" s="5"/>
    </row>
    <row r="482" ht="30.0" customHeight="1">
      <c r="AH482" s="5"/>
      <c r="AI482" s="5"/>
      <c r="AJ482" s="5"/>
    </row>
    <row r="483" ht="30.0" customHeight="1">
      <c r="AH483" s="5"/>
      <c r="AI483" s="5"/>
      <c r="AJ483" s="5"/>
    </row>
    <row r="484" ht="30.0" customHeight="1">
      <c r="AH484" s="5"/>
      <c r="AI484" s="5"/>
      <c r="AJ484" s="5"/>
    </row>
    <row r="485" ht="30.0" customHeight="1">
      <c r="AH485" s="5"/>
      <c r="AI485" s="5"/>
      <c r="AJ485" s="5"/>
    </row>
    <row r="486" ht="30.0" customHeight="1">
      <c r="AH486" s="5"/>
      <c r="AI486" s="5"/>
      <c r="AJ486" s="5"/>
    </row>
    <row r="487" ht="30.0" customHeight="1">
      <c r="AH487" s="5"/>
      <c r="AI487" s="5"/>
      <c r="AJ487" s="5"/>
    </row>
    <row r="488" ht="30.0" customHeight="1">
      <c r="AH488" s="5"/>
      <c r="AI488" s="5"/>
      <c r="AJ488" s="5"/>
    </row>
    <row r="489" ht="30.0" customHeight="1">
      <c r="AH489" s="5"/>
      <c r="AI489" s="5"/>
      <c r="AJ489" s="5"/>
    </row>
    <row r="490" ht="30.0" customHeight="1">
      <c r="AH490" s="5"/>
      <c r="AI490" s="5"/>
      <c r="AJ490" s="5"/>
    </row>
    <row r="491" ht="30.0" customHeight="1">
      <c r="AH491" s="5"/>
      <c r="AI491" s="5"/>
      <c r="AJ491" s="5"/>
    </row>
    <row r="492" ht="30.0" customHeight="1">
      <c r="AH492" s="5"/>
      <c r="AI492" s="5"/>
      <c r="AJ492" s="5"/>
    </row>
    <row r="493" ht="30.0" customHeight="1">
      <c r="AH493" s="5"/>
      <c r="AI493" s="5"/>
      <c r="AJ493" s="5"/>
    </row>
    <row r="494" ht="30.0" customHeight="1">
      <c r="AH494" s="5"/>
      <c r="AI494" s="5"/>
      <c r="AJ494" s="5"/>
    </row>
    <row r="495" ht="30.0" customHeight="1">
      <c r="AH495" s="5"/>
      <c r="AI495" s="5"/>
      <c r="AJ495" s="5"/>
    </row>
    <row r="496" ht="30.0" customHeight="1">
      <c r="AH496" s="5"/>
      <c r="AI496" s="5"/>
      <c r="AJ496" s="5"/>
    </row>
    <row r="497" ht="30.0" customHeight="1">
      <c r="AH497" s="5"/>
      <c r="AI497" s="5"/>
      <c r="AJ497" s="5"/>
    </row>
    <row r="498" ht="30.0" customHeight="1">
      <c r="AH498" s="5"/>
      <c r="AI498" s="5"/>
      <c r="AJ498" s="5"/>
    </row>
    <row r="499" ht="30.0" customHeight="1">
      <c r="AH499" s="5"/>
      <c r="AI499" s="5"/>
      <c r="AJ499" s="5"/>
    </row>
    <row r="500" ht="30.0" customHeight="1">
      <c r="AH500" s="5"/>
      <c r="AI500" s="5"/>
      <c r="AJ500" s="5"/>
    </row>
    <row r="501" ht="30.0" customHeight="1">
      <c r="AH501" s="5"/>
      <c r="AI501" s="5"/>
      <c r="AJ501" s="5"/>
    </row>
    <row r="502" ht="30.0" customHeight="1">
      <c r="AH502" s="5"/>
      <c r="AI502" s="5"/>
      <c r="AJ502" s="5"/>
    </row>
    <row r="503" ht="30.0" customHeight="1">
      <c r="AH503" s="5"/>
      <c r="AI503" s="5"/>
      <c r="AJ503" s="5"/>
    </row>
    <row r="504" ht="30.0" customHeight="1">
      <c r="AH504" s="5"/>
      <c r="AI504" s="5"/>
      <c r="AJ504" s="5"/>
    </row>
    <row r="505" ht="30.0" customHeight="1">
      <c r="AH505" s="5"/>
      <c r="AI505" s="5"/>
      <c r="AJ505" s="5"/>
    </row>
    <row r="506" ht="30.0" customHeight="1">
      <c r="AH506" s="5"/>
      <c r="AI506" s="5"/>
      <c r="AJ506" s="5"/>
    </row>
    <row r="507" ht="30.0" customHeight="1">
      <c r="AH507" s="5"/>
      <c r="AI507" s="5"/>
      <c r="AJ507" s="5"/>
    </row>
    <row r="508" ht="30.0" customHeight="1">
      <c r="AH508" s="5"/>
      <c r="AI508" s="5"/>
      <c r="AJ508" s="5"/>
    </row>
    <row r="509" ht="30.0" customHeight="1">
      <c r="AH509" s="5"/>
      <c r="AI509" s="5"/>
      <c r="AJ509" s="5"/>
    </row>
    <row r="510" ht="30.0" customHeight="1">
      <c r="AH510" s="5"/>
      <c r="AI510" s="5"/>
      <c r="AJ510" s="5"/>
    </row>
    <row r="511" ht="30.0" customHeight="1">
      <c r="AH511" s="5"/>
      <c r="AI511" s="5"/>
      <c r="AJ511" s="5"/>
    </row>
    <row r="512" ht="30.0" customHeight="1">
      <c r="AH512" s="5"/>
      <c r="AI512" s="5"/>
      <c r="AJ512" s="5"/>
    </row>
    <row r="513" ht="30.0" customHeight="1">
      <c r="AH513" s="5"/>
      <c r="AI513" s="5"/>
      <c r="AJ513" s="5"/>
    </row>
    <row r="514" ht="30.0" customHeight="1">
      <c r="AH514" s="5"/>
      <c r="AI514" s="5"/>
      <c r="AJ514" s="5"/>
    </row>
    <row r="515" ht="30.0" customHeight="1">
      <c r="AH515" s="5"/>
      <c r="AI515" s="5"/>
      <c r="AJ515" s="5"/>
    </row>
    <row r="516" ht="30.0" customHeight="1">
      <c r="AH516" s="5"/>
      <c r="AI516" s="5"/>
      <c r="AJ516" s="5"/>
    </row>
    <row r="517" ht="30.0" customHeight="1">
      <c r="AH517" s="5"/>
      <c r="AI517" s="5"/>
      <c r="AJ517" s="5"/>
    </row>
    <row r="518" ht="30.0" customHeight="1">
      <c r="AH518" s="5"/>
      <c r="AI518" s="5"/>
      <c r="AJ518" s="5"/>
    </row>
    <row r="519" ht="30.0" customHeight="1">
      <c r="AH519" s="5"/>
      <c r="AI519" s="5"/>
      <c r="AJ519" s="5"/>
    </row>
    <row r="520" ht="30.0" customHeight="1">
      <c r="AH520" s="5"/>
      <c r="AI520" s="5"/>
      <c r="AJ520" s="5"/>
    </row>
    <row r="521" ht="30.0" customHeight="1">
      <c r="AH521" s="5"/>
      <c r="AI521" s="5"/>
      <c r="AJ521" s="5"/>
    </row>
    <row r="522" ht="30.0" customHeight="1">
      <c r="AH522" s="5"/>
      <c r="AI522" s="5"/>
      <c r="AJ522" s="5"/>
    </row>
    <row r="523" ht="30.0" customHeight="1">
      <c r="AH523" s="5"/>
      <c r="AI523" s="5"/>
      <c r="AJ523" s="5"/>
    </row>
    <row r="524" ht="30.0" customHeight="1">
      <c r="AH524" s="5"/>
      <c r="AI524" s="5"/>
      <c r="AJ524" s="5"/>
    </row>
    <row r="525" ht="30.0" customHeight="1">
      <c r="AH525" s="5"/>
      <c r="AI525" s="5"/>
      <c r="AJ525" s="5"/>
    </row>
    <row r="526" ht="30.0" customHeight="1">
      <c r="AH526" s="5"/>
      <c r="AI526" s="5"/>
      <c r="AJ526" s="5"/>
    </row>
    <row r="527" ht="30.0" customHeight="1">
      <c r="AH527" s="5"/>
      <c r="AI527" s="5"/>
      <c r="AJ527" s="5"/>
    </row>
    <row r="528" ht="30.0" customHeight="1">
      <c r="AH528" s="5"/>
      <c r="AI528" s="5"/>
      <c r="AJ528" s="5"/>
    </row>
    <row r="529" ht="30.0" customHeight="1">
      <c r="AH529" s="5"/>
      <c r="AI529" s="5"/>
      <c r="AJ529" s="5"/>
    </row>
    <row r="530" ht="30.0" customHeight="1">
      <c r="AH530" s="5"/>
      <c r="AI530" s="5"/>
      <c r="AJ530" s="5"/>
    </row>
    <row r="531" ht="30.0" customHeight="1">
      <c r="AH531" s="5"/>
      <c r="AI531" s="5"/>
      <c r="AJ531" s="5"/>
    </row>
    <row r="532" ht="30.0" customHeight="1">
      <c r="AH532" s="5"/>
      <c r="AI532" s="5"/>
      <c r="AJ532" s="5"/>
    </row>
    <row r="533" ht="30.0" customHeight="1">
      <c r="AH533" s="5"/>
      <c r="AI533" s="5"/>
      <c r="AJ533" s="5"/>
    </row>
    <row r="534" ht="30.0" customHeight="1">
      <c r="AH534" s="5"/>
      <c r="AI534" s="5"/>
      <c r="AJ534" s="5"/>
    </row>
    <row r="535" ht="30.0" customHeight="1">
      <c r="AH535" s="5"/>
      <c r="AI535" s="5"/>
      <c r="AJ535" s="5"/>
    </row>
    <row r="536" ht="30.0" customHeight="1">
      <c r="AH536" s="5"/>
      <c r="AI536" s="5"/>
      <c r="AJ536" s="5"/>
    </row>
    <row r="537" ht="30.0" customHeight="1">
      <c r="AH537" s="5"/>
      <c r="AI537" s="5"/>
      <c r="AJ537" s="5"/>
    </row>
    <row r="538" ht="30.0" customHeight="1">
      <c r="AH538" s="5"/>
      <c r="AI538" s="5"/>
      <c r="AJ538" s="5"/>
    </row>
    <row r="539" ht="30.0" customHeight="1">
      <c r="AH539" s="5"/>
      <c r="AI539" s="5"/>
      <c r="AJ539" s="5"/>
    </row>
    <row r="540" ht="30.0" customHeight="1">
      <c r="AH540" s="5"/>
      <c r="AI540" s="5"/>
      <c r="AJ540" s="5"/>
    </row>
    <row r="541" ht="30.0" customHeight="1">
      <c r="AH541" s="5"/>
      <c r="AI541" s="5"/>
      <c r="AJ541" s="5"/>
    </row>
    <row r="542" ht="30.0" customHeight="1">
      <c r="AH542" s="5"/>
      <c r="AI542" s="5"/>
      <c r="AJ542" s="5"/>
    </row>
    <row r="543" ht="30.0" customHeight="1">
      <c r="AH543" s="5"/>
      <c r="AI543" s="5"/>
      <c r="AJ543" s="5"/>
    </row>
    <row r="544" ht="30.0" customHeight="1">
      <c r="AH544" s="5"/>
      <c r="AI544" s="5"/>
      <c r="AJ544" s="5"/>
    </row>
    <row r="545" ht="30.0" customHeight="1">
      <c r="AH545" s="5"/>
      <c r="AI545" s="5"/>
      <c r="AJ545" s="5"/>
    </row>
    <row r="546" ht="30.0" customHeight="1">
      <c r="AH546" s="5"/>
      <c r="AI546" s="5"/>
      <c r="AJ546" s="5"/>
    </row>
    <row r="547" ht="30.0" customHeight="1">
      <c r="AH547" s="5"/>
      <c r="AI547" s="5"/>
      <c r="AJ547" s="5"/>
    </row>
    <row r="548" ht="30.0" customHeight="1">
      <c r="AH548" s="5"/>
      <c r="AI548" s="5"/>
      <c r="AJ548" s="5"/>
    </row>
    <row r="549" ht="30.0" customHeight="1">
      <c r="AH549" s="5"/>
      <c r="AI549" s="5"/>
      <c r="AJ549" s="5"/>
    </row>
    <row r="550" ht="30.0" customHeight="1">
      <c r="AH550" s="5"/>
      <c r="AI550" s="5"/>
      <c r="AJ550" s="5"/>
    </row>
    <row r="551" ht="30.0" customHeight="1">
      <c r="AH551" s="5"/>
      <c r="AI551" s="5"/>
      <c r="AJ551" s="5"/>
    </row>
    <row r="552" ht="30.0" customHeight="1">
      <c r="AH552" s="5"/>
      <c r="AI552" s="5"/>
      <c r="AJ552" s="5"/>
    </row>
    <row r="553" ht="30.0" customHeight="1">
      <c r="AH553" s="5"/>
      <c r="AI553" s="5"/>
      <c r="AJ553" s="5"/>
    </row>
    <row r="554" ht="30.0" customHeight="1">
      <c r="AH554" s="5"/>
      <c r="AI554" s="5"/>
      <c r="AJ554" s="5"/>
    </row>
    <row r="555" ht="30.0" customHeight="1">
      <c r="AH555" s="5"/>
      <c r="AI555" s="5"/>
      <c r="AJ555" s="5"/>
    </row>
    <row r="556" ht="30.0" customHeight="1">
      <c r="AH556" s="5"/>
      <c r="AI556" s="5"/>
      <c r="AJ556" s="5"/>
    </row>
    <row r="557" ht="30.0" customHeight="1">
      <c r="AH557" s="5"/>
      <c r="AI557" s="5"/>
      <c r="AJ557" s="5"/>
    </row>
    <row r="558" ht="30.0" customHeight="1">
      <c r="AH558" s="5"/>
      <c r="AI558" s="5"/>
      <c r="AJ558" s="5"/>
    </row>
    <row r="559" ht="30.0" customHeight="1">
      <c r="AH559" s="5"/>
      <c r="AI559" s="5"/>
      <c r="AJ559" s="5"/>
    </row>
    <row r="560" ht="30.0" customHeight="1">
      <c r="AH560" s="5"/>
      <c r="AI560" s="5"/>
      <c r="AJ560" s="5"/>
    </row>
    <row r="561" ht="30.0" customHeight="1">
      <c r="AH561" s="5"/>
      <c r="AI561" s="5"/>
      <c r="AJ561" s="5"/>
    </row>
    <row r="562" ht="30.0" customHeight="1">
      <c r="AH562" s="5"/>
      <c r="AI562" s="5"/>
      <c r="AJ562" s="5"/>
    </row>
    <row r="563" ht="30.0" customHeight="1">
      <c r="AH563" s="5"/>
      <c r="AI563" s="5"/>
      <c r="AJ563" s="5"/>
    </row>
    <row r="564" ht="30.0" customHeight="1">
      <c r="AH564" s="5"/>
      <c r="AI564" s="5"/>
      <c r="AJ564" s="5"/>
    </row>
    <row r="565" ht="30.0" customHeight="1">
      <c r="AH565" s="5"/>
      <c r="AI565" s="5"/>
      <c r="AJ565" s="5"/>
    </row>
    <row r="566" ht="30.0" customHeight="1">
      <c r="AH566" s="5"/>
      <c r="AI566" s="5"/>
      <c r="AJ566" s="5"/>
    </row>
    <row r="567" ht="30.0" customHeight="1">
      <c r="AH567" s="5"/>
      <c r="AI567" s="5"/>
      <c r="AJ567" s="5"/>
    </row>
    <row r="568" ht="30.0" customHeight="1">
      <c r="AH568" s="5"/>
      <c r="AI568" s="5"/>
      <c r="AJ568" s="5"/>
    </row>
    <row r="569" ht="30.0" customHeight="1">
      <c r="AH569" s="5"/>
      <c r="AI569" s="5"/>
      <c r="AJ569" s="5"/>
    </row>
    <row r="570" ht="30.0" customHeight="1">
      <c r="AH570" s="5"/>
      <c r="AI570" s="5"/>
      <c r="AJ570" s="5"/>
    </row>
    <row r="571" ht="30.0" customHeight="1">
      <c r="AH571" s="5"/>
      <c r="AI571" s="5"/>
      <c r="AJ571" s="5"/>
    </row>
    <row r="572" ht="30.0" customHeight="1">
      <c r="AH572" s="5"/>
      <c r="AI572" s="5"/>
      <c r="AJ572" s="5"/>
    </row>
    <row r="573" ht="30.0" customHeight="1">
      <c r="AH573" s="5"/>
      <c r="AI573" s="5"/>
      <c r="AJ573" s="5"/>
    </row>
    <row r="574" ht="30.0" customHeight="1">
      <c r="AH574" s="5"/>
      <c r="AI574" s="5"/>
      <c r="AJ574" s="5"/>
    </row>
    <row r="575" ht="30.0" customHeight="1">
      <c r="AH575" s="5"/>
      <c r="AI575" s="5"/>
      <c r="AJ575" s="5"/>
    </row>
    <row r="576" ht="30.0" customHeight="1">
      <c r="AH576" s="5"/>
      <c r="AI576" s="5"/>
      <c r="AJ576" s="5"/>
    </row>
    <row r="577" ht="30.0" customHeight="1">
      <c r="AH577" s="5"/>
      <c r="AI577" s="5"/>
      <c r="AJ577" s="5"/>
    </row>
    <row r="578" ht="30.0" customHeight="1">
      <c r="AH578" s="5"/>
      <c r="AI578" s="5"/>
      <c r="AJ578" s="5"/>
    </row>
    <row r="579" ht="30.0" customHeight="1">
      <c r="AH579" s="5"/>
      <c r="AI579" s="5"/>
      <c r="AJ579" s="5"/>
    </row>
    <row r="580" ht="30.0" customHeight="1">
      <c r="AH580" s="5"/>
      <c r="AI580" s="5"/>
      <c r="AJ580" s="5"/>
    </row>
    <row r="581" ht="30.0" customHeight="1">
      <c r="AH581" s="5"/>
      <c r="AI581" s="5"/>
      <c r="AJ581" s="5"/>
    </row>
    <row r="582" ht="30.0" customHeight="1">
      <c r="AH582" s="5"/>
      <c r="AI582" s="5"/>
      <c r="AJ582" s="5"/>
    </row>
    <row r="583" ht="30.0" customHeight="1">
      <c r="AH583" s="5"/>
      <c r="AI583" s="5"/>
      <c r="AJ583" s="5"/>
    </row>
    <row r="584" ht="30.0" customHeight="1">
      <c r="AH584" s="5"/>
      <c r="AI584" s="5"/>
      <c r="AJ584" s="5"/>
    </row>
    <row r="585" ht="30.0" customHeight="1">
      <c r="AH585" s="5"/>
      <c r="AI585" s="5"/>
      <c r="AJ585" s="5"/>
    </row>
    <row r="586" ht="30.0" customHeight="1">
      <c r="AH586" s="5"/>
      <c r="AI586" s="5"/>
      <c r="AJ586" s="5"/>
    </row>
    <row r="587" ht="30.0" customHeight="1">
      <c r="AH587" s="5"/>
      <c r="AI587" s="5"/>
      <c r="AJ587" s="5"/>
    </row>
    <row r="588" ht="30.0" customHeight="1">
      <c r="AH588" s="5"/>
      <c r="AI588" s="5"/>
      <c r="AJ588" s="5"/>
    </row>
    <row r="589" ht="30.0" customHeight="1">
      <c r="AH589" s="5"/>
      <c r="AI589" s="5"/>
      <c r="AJ589" s="5"/>
    </row>
    <row r="590" ht="30.0" customHeight="1">
      <c r="AH590" s="5"/>
      <c r="AI590" s="5"/>
      <c r="AJ590" s="5"/>
    </row>
    <row r="591" ht="30.0" customHeight="1">
      <c r="AH591" s="5"/>
      <c r="AI591" s="5"/>
      <c r="AJ591" s="5"/>
    </row>
    <row r="592" ht="30.0" customHeight="1">
      <c r="AH592" s="5"/>
      <c r="AI592" s="5"/>
      <c r="AJ592" s="5"/>
    </row>
    <row r="593" ht="30.0" customHeight="1">
      <c r="AH593" s="5"/>
      <c r="AI593" s="5"/>
      <c r="AJ593" s="5"/>
    </row>
    <row r="594" ht="30.0" customHeight="1">
      <c r="AH594" s="5"/>
      <c r="AI594" s="5"/>
      <c r="AJ594" s="5"/>
    </row>
    <row r="595" ht="30.0" customHeight="1">
      <c r="AH595" s="5"/>
      <c r="AI595" s="5"/>
      <c r="AJ595" s="5"/>
    </row>
    <row r="596" ht="30.0" customHeight="1">
      <c r="AH596" s="5"/>
      <c r="AI596" s="5"/>
      <c r="AJ596" s="5"/>
    </row>
    <row r="597" ht="30.0" customHeight="1">
      <c r="AH597" s="5"/>
      <c r="AI597" s="5"/>
      <c r="AJ597" s="5"/>
    </row>
    <row r="598" ht="30.0" customHeight="1">
      <c r="AH598" s="5"/>
      <c r="AI598" s="5"/>
      <c r="AJ598" s="5"/>
    </row>
    <row r="599" ht="30.0" customHeight="1">
      <c r="AH599" s="5"/>
      <c r="AI599" s="5"/>
      <c r="AJ599" s="5"/>
    </row>
    <row r="600" ht="30.0" customHeight="1">
      <c r="AH600" s="5"/>
      <c r="AI600" s="5"/>
      <c r="AJ600" s="5"/>
    </row>
    <row r="601" ht="30.0" customHeight="1">
      <c r="AH601" s="5"/>
      <c r="AI601" s="5"/>
      <c r="AJ601" s="5"/>
    </row>
    <row r="602" ht="30.0" customHeight="1">
      <c r="AH602" s="5"/>
      <c r="AI602" s="5"/>
      <c r="AJ602" s="5"/>
    </row>
    <row r="603" ht="30.0" customHeight="1">
      <c r="AH603" s="5"/>
      <c r="AI603" s="5"/>
      <c r="AJ603" s="5"/>
    </row>
    <row r="604" ht="30.0" customHeight="1">
      <c r="AH604" s="5"/>
      <c r="AI604" s="5"/>
      <c r="AJ604" s="5"/>
    </row>
    <row r="605" ht="30.0" customHeight="1">
      <c r="AH605" s="5"/>
      <c r="AI605" s="5"/>
      <c r="AJ605" s="5"/>
    </row>
    <row r="606" ht="30.0" customHeight="1">
      <c r="AH606" s="5"/>
      <c r="AI606" s="5"/>
      <c r="AJ606" s="5"/>
    </row>
    <row r="607" ht="30.0" customHeight="1">
      <c r="AH607" s="5"/>
      <c r="AI607" s="5"/>
      <c r="AJ607" s="5"/>
    </row>
    <row r="608" ht="30.0" customHeight="1">
      <c r="AH608" s="5"/>
      <c r="AI608" s="5"/>
      <c r="AJ608" s="5"/>
    </row>
    <row r="609" ht="30.0" customHeight="1">
      <c r="AH609" s="5"/>
      <c r="AI609" s="5"/>
      <c r="AJ609" s="5"/>
    </row>
    <row r="610" ht="30.0" customHeight="1">
      <c r="AH610" s="5"/>
      <c r="AI610" s="5"/>
      <c r="AJ610" s="5"/>
    </row>
    <row r="611" ht="30.0" customHeight="1">
      <c r="AH611" s="5"/>
      <c r="AI611" s="5"/>
      <c r="AJ611" s="5"/>
    </row>
    <row r="612" ht="30.0" customHeight="1">
      <c r="AH612" s="5"/>
      <c r="AI612" s="5"/>
      <c r="AJ612" s="5"/>
    </row>
    <row r="613" ht="30.0" customHeight="1">
      <c r="AH613" s="5"/>
      <c r="AI613" s="5"/>
      <c r="AJ613" s="5"/>
    </row>
    <row r="614" ht="30.0" customHeight="1">
      <c r="AH614" s="5"/>
      <c r="AI614" s="5"/>
      <c r="AJ614" s="5"/>
    </row>
    <row r="615" ht="30.0" customHeight="1">
      <c r="AH615" s="5"/>
      <c r="AI615" s="5"/>
      <c r="AJ615" s="5"/>
    </row>
    <row r="616" ht="30.0" customHeight="1">
      <c r="AH616" s="5"/>
      <c r="AI616" s="5"/>
      <c r="AJ616" s="5"/>
    </row>
    <row r="617" ht="30.0" customHeight="1">
      <c r="AH617" s="5"/>
      <c r="AI617" s="5"/>
      <c r="AJ617" s="5"/>
    </row>
    <row r="618" ht="30.0" customHeight="1">
      <c r="AH618" s="5"/>
      <c r="AI618" s="5"/>
      <c r="AJ618" s="5"/>
    </row>
    <row r="619" ht="30.0" customHeight="1">
      <c r="AH619" s="5"/>
      <c r="AI619" s="5"/>
      <c r="AJ619" s="5"/>
    </row>
    <row r="620" ht="30.0" customHeight="1">
      <c r="AH620" s="5"/>
      <c r="AI620" s="5"/>
      <c r="AJ620" s="5"/>
    </row>
    <row r="621" ht="30.0" customHeight="1">
      <c r="AH621" s="5"/>
      <c r="AI621" s="5"/>
      <c r="AJ621" s="5"/>
    </row>
    <row r="622" ht="30.0" customHeight="1">
      <c r="AH622" s="5"/>
      <c r="AI622" s="5"/>
      <c r="AJ622" s="5"/>
    </row>
    <row r="623" ht="30.0" customHeight="1">
      <c r="AH623" s="5"/>
      <c r="AI623" s="5"/>
      <c r="AJ623" s="5"/>
    </row>
    <row r="624" ht="30.0" customHeight="1">
      <c r="AH624" s="5"/>
      <c r="AI624" s="5"/>
      <c r="AJ624" s="5"/>
    </row>
    <row r="625" ht="30.0" customHeight="1">
      <c r="AH625" s="5"/>
      <c r="AI625" s="5"/>
      <c r="AJ625" s="5"/>
    </row>
    <row r="626" ht="30.0" customHeight="1">
      <c r="AH626" s="5"/>
      <c r="AI626" s="5"/>
      <c r="AJ626" s="5"/>
    </row>
    <row r="627" ht="30.0" customHeight="1">
      <c r="AH627" s="5"/>
      <c r="AI627" s="5"/>
      <c r="AJ627" s="5"/>
    </row>
    <row r="628" ht="30.0" customHeight="1">
      <c r="AH628" s="5"/>
      <c r="AI628" s="5"/>
      <c r="AJ628" s="5"/>
    </row>
    <row r="629" ht="30.0" customHeight="1">
      <c r="AH629" s="5"/>
      <c r="AI629" s="5"/>
      <c r="AJ629" s="5"/>
    </row>
    <row r="630" ht="30.0" customHeight="1">
      <c r="AH630" s="5"/>
      <c r="AI630" s="5"/>
      <c r="AJ630" s="5"/>
    </row>
    <row r="631" ht="30.0" customHeight="1">
      <c r="AH631" s="5"/>
      <c r="AI631" s="5"/>
      <c r="AJ631" s="5"/>
    </row>
    <row r="632" ht="30.0" customHeight="1">
      <c r="AH632" s="5"/>
      <c r="AI632" s="5"/>
      <c r="AJ632" s="5"/>
    </row>
    <row r="633" ht="30.0" customHeight="1">
      <c r="AH633" s="5"/>
      <c r="AI633" s="5"/>
      <c r="AJ633" s="5"/>
    </row>
    <row r="634" ht="30.0" customHeight="1">
      <c r="AH634" s="5"/>
      <c r="AI634" s="5"/>
      <c r="AJ634" s="5"/>
    </row>
    <row r="635" ht="30.0" customHeight="1">
      <c r="AH635" s="5"/>
      <c r="AI635" s="5"/>
      <c r="AJ635" s="5"/>
    </row>
    <row r="636" ht="30.0" customHeight="1">
      <c r="AH636" s="5"/>
      <c r="AI636" s="5"/>
      <c r="AJ636" s="5"/>
    </row>
    <row r="637" ht="30.0" customHeight="1">
      <c r="AH637" s="5"/>
      <c r="AI637" s="5"/>
      <c r="AJ637" s="5"/>
    </row>
    <row r="638" ht="30.0" customHeight="1">
      <c r="AH638" s="5"/>
      <c r="AI638" s="5"/>
      <c r="AJ638" s="5"/>
    </row>
    <row r="639" ht="30.0" customHeight="1">
      <c r="AH639" s="5"/>
      <c r="AI639" s="5"/>
      <c r="AJ639" s="5"/>
    </row>
    <row r="640" ht="30.0" customHeight="1">
      <c r="AH640" s="5"/>
      <c r="AI640" s="5"/>
      <c r="AJ640" s="5"/>
    </row>
    <row r="641" ht="30.0" customHeight="1">
      <c r="AH641" s="5"/>
      <c r="AI641" s="5"/>
      <c r="AJ641" s="5"/>
    </row>
    <row r="642" ht="30.0" customHeight="1">
      <c r="AH642" s="5"/>
      <c r="AI642" s="5"/>
      <c r="AJ642" s="5"/>
    </row>
    <row r="643" ht="30.0" customHeight="1">
      <c r="AH643" s="5"/>
      <c r="AI643" s="5"/>
      <c r="AJ643" s="5"/>
    </row>
    <row r="644" ht="30.0" customHeight="1">
      <c r="AH644" s="5"/>
      <c r="AI644" s="5"/>
      <c r="AJ644" s="5"/>
    </row>
    <row r="645" ht="30.0" customHeight="1">
      <c r="AH645" s="5"/>
      <c r="AI645" s="5"/>
      <c r="AJ645" s="5"/>
    </row>
    <row r="646" ht="30.0" customHeight="1">
      <c r="AH646" s="5"/>
      <c r="AI646" s="5"/>
      <c r="AJ646" s="5"/>
    </row>
    <row r="647" ht="30.0" customHeight="1">
      <c r="AH647" s="5"/>
      <c r="AI647" s="5"/>
      <c r="AJ647" s="5"/>
    </row>
    <row r="648" ht="30.0" customHeight="1">
      <c r="AH648" s="5"/>
      <c r="AI648" s="5"/>
      <c r="AJ648" s="5"/>
    </row>
    <row r="649" ht="30.0" customHeight="1">
      <c r="AH649" s="5"/>
      <c r="AI649" s="5"/>
      <c r="AJ649" s="5"/>
    </row>
    <row r="650" ht="30.0" customHeight="1">
      <c r="AH650" s="5"/>
      <c r="AI650" s="5"/>
      <c r="AJ650" s="5"/>
    </row>
    <row r="651" ht="30.0" customHeight="1">
      <c r="AH651" s="5"/>
      <c r="AI651" s="5"/>
      <c r="AJ651" s="5"/>
    </row>
    <row r="652" ht="30.0" customHeight="1">
      <c r="AH652" s="5"/>
      <c r="AI652" s="5"/>
      <c r="AJ652" s="5"/>
    </row>
    <row r="653" ht="30.0" customHeight="1">
      <c r="AH653" s="5"/>
      <c r="AI653" s="5"/>
      <c r="AJ653" s="5"/>
    </row>
    <row r="654" ht="30.0" customHeight="1">
      <c r="AH654" s="5"/>
      <c r="AI654" s="5"/>
      <c r="AJ654" s="5"/>
    </row>
    <row r="655" ht="30.0" customHeight="1">
      <c r="AH655" s="5"/>
      <c r="AI655" s="5"/>
      <c r="AJ655" s="5"/>
    </row>
    <row r="656" ht="30.0" customHeight="1">
      <c r="AH656" s="5"/>
      <c r="AI656" s="5"/>
      <c r="AJ656" s="5"/>
    </row>
    <row r="657" ht="30.0" customHeight="1">
      <c r="AH657" s="5"/>
      <c r="AI657" s="5"/>
      <c r="AJ657" s="5"/>
    </row>
    <row r="658" ht="30.0" customHeight="1">
      <c r="AH658" s="5"/>
      <c r="AI658" s="5"/>
      <c r="AJ658" s="5"/>
    </row>
    <row r="659" ht="30.0" customHeight="1">
      <c r="AH659" s="5"/>
      <c r="AI659" s="5"/>
      <c r="AJ659" s="5"/>
    </row>
    <row r="660" ht="30.0" customHeight="1">
      <c r="AH660" s="5"/>
      <c r="AI660" s="5"/>
      <c r="AJ660" s="5"/>
    </row>
    <row r="661" ht="30.0" customHeight="1">
      <c r="AH661" s="5"/>
      <c r="AI661" s="5"/>
      <c r="AJ661" s="5"/>
    </row>
    <row r="662" ht="30.0" customHeight="1">
      <c r="AH662" s="5"/>
      <c r="AI662" s="5"/>
      <c r="AJ662" s="5"/>
    </row>
    <row r="663" ht="30.0" customHeight="1">
      <c r="AH663" s="5"/>
      <c r="AI663" s="5"/>
      <c r="AJ663" s="5"/>
    </row>
    <row r="664" ht="30.0" customHeight="1">
      <c r="AH664" s="5"/>
      <c r="AI664" s="5"/>
      <c r="AJ664" s="5"/>
    </row>
    <row r="665" ht="30.0" customHeight="1">
      <c r="AH665" s="5"/>
      <c r="AI665" s="5"/>
      <c r="AJ665" s="5"/>
    </row>
    <row r="666" ht="30.0" customHeight="1">
      <c r="AH666" s="5"/>
      <c r="AI666" s="5"/>
      <c r="AJ666" s="5"/>
    </row>
    <row r="667" ht="30.0" customHeight="1">
      <c r="AH667" s="5"/>
      <c r="AI667" s="5"/>
      <c r="AJ667" s="5"/>
    </row>
    <row r="668" ht="30.0" customHeight="1">
      <c r="AH668" s="5"/>
      <c r="AI668" s="5"/>
      <c r="AJ668" s="5"/>
    </row>
    <row r="669" ht="30.0" customHeight="1">
      <c r="AH669" s="5"/>
      <c r="AI669" s="5"/>
      <c r="AJ669" s="5"/>
    </row>
    <row r="670" ht="30.0" customHeight="1">
      <c r="AH670" s="5"/>
      <c r="AI670" s="5"/>
      <c r="AJ670" s="5"/>
    </row>
    <row r="671" ht="30.0" customHeight="1">
      <c r="AH671" s="5"/>
      <c r="AI671" s="5"/>
      <c r="AJ671" s="5"/>
    </row>
    <row r="672" ht="30.0" customHeight="1">
      <c r="AH672" s="5"/>
      <c r="AI672" s="5"/>
      <c r="AJ672" s="5"/>
    </row>
    <row r="673" ht="30.0" customHeight="1">
      <c r="AH673" s="5"/>
      <c r="AI673" s="5"/>
      <c r="AJ673" s="5"/>
    </row>
    <row r="674" ht="30.0" customHeight="1">
      <c r="AH674" s="5"/>
      <c r="AI674" s="5"/>
      <c r="AJ674" s="5"/>
    </row>
    <row r="675" ht="30.0" customHeight="1">
      <c r="AH675" s="5"/>
      <c r="AI675" s="5"/>
      <c r="AJ675" s="5"/>
    </row>
    <row r="676" ht="30.0" customHeight="1">
      <c r="AH676" s="5"/>
      <c r="AI676" s="5"/>
      <c r="AJ676" s="5"/>
    </row>
    <row r="677" ht="30.0" customHeight="1">
      <c r="AH677" s="5"/>
      <c r="AI677" s="5"/>
      <c r="AJ677" s="5"/>
    </row>
    <row r="678" ht="30.0" customHeight="1">
      <c r="AH678" s="5"/>
      <c r="AI678" s="5"/>
      <c r="AJ678" s="5"/>
    </row>
    <row r="679" ht="30.0" customHeight="1">
      <c r="AH679" s="5"/>
      <c r="AI679" s="5"/>
      <c r="AJ679" s="5"/>
    </row>
    <row r="680" ht="30.0" customHeight="1">
      <c r="AH680" s="5"/>
      <c r="AI680" s="5"/>
      <c r="AJ680" s="5"/>
    </row>
    <row r="681" ht="30.0" customHeight="1">
      <c r="AH681" s="5"/>
      <c r="AI681" s="5"/>
      <c r="AJ681" s="5"/>
    </row>
    <row r="682" ht="30.0" customHeight="1">
      <c r="AH682" s="5"/>
      <c r="AI682" s="5"/>
      <c r="AJ682" s="5"/>
    </row>
    <row r="683" ht="30.0" customHeight="1">
      <c r="AH683" s="5"/>
      <c r="AI683" s="5"/>
      <c r="AJ683" s="5"/>
    </row>
    <row r="684" ht="30.0" customHeight="1">
      <c r="AH684" s="5"/>
      <c r="AI684" s="5"/>
      <c r="AJ684" s="5"/>
    </row>
    <row r="685" ht="30.0" customHeight="1">
      <c r="AH685" s="5"/>
      <c r="AI685" s="5"/>
      <c r="AJ685" s="5"/>
    </row>
    <row r="686" ht="30.0" customHeight="1">
      <c r="AH686" s="5"/>
      <c r="AI686" s="5"/>
      <c r="AJ686" s="5"/>
    </row>
    <row r="687" ht="30.0" customHeight="1">
      <c r="AH687" s="5"/>
      <c r="AI687" s="5"/>
      <c r="AJ687" s="5"/>
    </row>
    <row r="688" ht="30.0" customHeight="1">
      <c r="AH688" s="5"/>
      <c r="AI688" s="5"/>
      <c r="AJ688" s="5"/>
    </row>
    <row r="689" ht="30.0" customHeight="1">
      <c r="AH689" s="5"/>
      <c r="AI689" s="5"/>
      <c r="AJ689" s="5"/>
    </row>
    <row r="690" ht="30.0" customHeight="1">
      <c r="AH690" s="5"/>
      <c r="AI690" s="5"/>
      <c r="AJ690" s="5"/>
    </row>
    <row r="691" ht="30.0" customHeight="1">
      <c r="AH691" s="5"/>
      <c r="AI691" s="5"/>
      <c r="AJ691" s="5"/>
    </row>
    <row r="692" ht="30.0" customHeight="1">
      <c r="AH692" s="5"/>
      <c r="AI692" s="5"/>
      <c r="AJ692" s="5"/>
    </row>
    <row r="693" ht="30.0" customHeight="1">
      <c r="AH693" s="5"/>
      <c r="AI693" s="5"/>
      <c r="AJ693" s="5"/>
    </row>
    <row r="694" ht="30.0" customHeight="1">
      <c r="AH694" s="5"/>
      <c r="AI694" s="5"/>
      <c r="AJ694" s="5"/>
    </row>
    <row r="695" ht="30.0" customHeight="1">
      <c r="AH695" s="5"/>
      <c r="AI695" s="5"/>
      <c r="AJ695" s="5"/>
    </row>
    <row r="696" ht="30.0" customHeight="1">
      <c r="AH696" s="5"/>
      <c r="AI696" s="5"/>
      <c r="AJ696" s="5"/>
    </row>
    <row r="697" ht="30.0" customHeight="1">
      <c r="AH697" s="5"/>
      <c r="AI697" s="5"/>
      <c r="AJ697" s="5"/>
    </row>
    <row r="698" ht="30.0" customHeight="1">
      <c r="AH698" s="5"/>
      <c r="AI698" s="5"/>
      <c r="AJ698" s="5"/>
    </row>
    <row r="699" ht="30.0" customHeight="1">
      <c r="AH699" s="5"/>
      <c r="AI699" s="5"/>
      <c r="AJ699" s="5"/>
    </row>
    <row r="700" ht="30.0" customHeight="1">
      <c r="AH700" s="5"/>
      <c r="AI700" s="5"/>
      <c r="AJ700" s="5"/>
    </row>
    <row r="701" ht="30.0" customHeight="1">
      <c r="AH701" s="5"/>
      <c r="AI701" s="5"/>
      <c r="AJ701" s="5"/>
    </row>
    <row r="702" ht="30.0" customHeight="1">
      <c r="AH702" s="5"/>
      <c r="AI702" s="5"/>
      <c r="AJ702" s="5"/>
    </row>
    <row r="703" ht="30.0" customHeight="1">
      <c r="AH703" s="5"/>
      <c r="AI703" s="5"/>
      <c r="AJ703" s="5"/>
    </row>
    <row r="704" ht="30.0" customHeight="1">
      <c r="AH704" s="5"/>
      <c r="AI704" s="5"/>
      <c r="AJ704" s="5"/>
    </row>
    <row r="705" ht="30.0" customHeight="1">
      <c r="AH705" s="5"/>
      <c r="AI705" s="5"/>
      <c r="AJ705" s="5"/>
    </row>
    <row r="706" ht="30.0" customHeight="1">
      <c r="AH706" s="5"/>
      <c r="AI706" s="5"/>
      <c r="AJ706" s="5"/>
    </row>
    <row r="707" ht="30.0" customHeight="1">
      <c r="AH707" s="5"/>
      <c r="AI707" s="5"/>
      <c r="AJ707" s="5"/>
    </row>
    <row r="708" ht="30.0" customHeight="1">
      <c r="AH708" s="5"/>
      <c r="AI708" s="5"/>
      <c r="AJ708" s="5"/>
    </row>
    <row r="709" ht="30.0" customHeight="1">
      <c r="AH709" s="5"/>
      <c r="AI709" s="5"/>
      <c r="AJ709" s="5"/>
    </row>
    <row r="710" ht="30.0" customHeight="1">
      <c r="AH710" s="5"/>
      <c r="AI710" s="5"/>
      <c r="AJ710" s="5"/>
    </row>
    <row r="711" ht="30.0" customHeight="1">
      <c r="AH711" s="5"/>
      <c r="AI711" s="5"/>
      <c r="AJ711" s="5"/>
    </row>
    <row r="712" ht="30.0" customHeight="1">
      <c r="AH712" s="5"/>
      <c r="AI712" s="5"/>
      <c r="AJ712" s="5"/>
    </row>
    <row r="713" ht="30.0" customHeight="1">
      <c r="AH713" s="5"/>
      <c r="AI713" s="5"/>
      <c r="AJ713" s="5"/>
    </row>
    <row r="714" ht="30.0" customHeight="1">
      <c r="AH714" s="5"/>
      <c r="AI714" s="5"/>
      <c r="AJ714" s="5"/>
    </row>
    <row r="715" ht="30.0" customHeight="1">
      <c r="AH715" s="5"/>
      <c r="AI715" s="5"/>
      <c r="AJ715" s="5"/>
    </row>
    <row r="716" ht="30.0" customHeight="1">
      <c r="AH716" s="5"/>
      <c r="AI716" s="5"/>
      <c r="AJ716" s="5"/>
    </row>
    <row r="717" ht="30.0" customHeight="1">
      <c r="AH717" s="5"/>
      <c r="AI717" s="5"/>
      <c r="AJ717" s="5"/>
    </row>
    <row r="718" ht="30.0" customHeight="1">
      <c r="AH718" s="5"/>
      <c r="AI718" s="5"/>
      <c r="AJ718" s="5"/>
    </row>
    <row r="719" ht="30.0" customHeight="1">
      <c r="AH719" s="5"/>
      <c r="AI719" s="5"/>
      <c r="AJ719" s="5"/>
    </row>
    <row r="720" ht="30.0" customHeight="1">
      <c r="AH720" s="5"/>
      <c r="AI720" s="5"/>
      <c r="AJ720" s="5"/>
    </row>
    <row r="721" ht="30.0" customHeight="1">
      <c r="AH721" s="5"/>
      <c r="AI721" s="5"/>
      <c r="AJ721" s="5"/>
    </row>
    <row r="722" ht="30.0" customHeight="1">
      <c r="AH722" s="5"/>
      <c r="AI722" s="5"/>
      <c r="AJ722" s="5"/>
    </row>
    <row r="723" ht="30.0" customHeight="1">
      <c r="AH723" s="5"/>
      <c r="AI723" s="5"/>
      <c r="AJ723" s="5"/>
    </row>
    <row r="724" ht="30.0" customHeight="1">
      <c r="AH724" s="5"/>
      <c r="AI724" s="5"/>
      <c r="AJ724" s="5"/>
    </row>
    <row r="725" ht="30.0" customHeight="1">
      <c r="AH725" s="5"/>
      <c r="AI725" s="5"/>
      <c r="AJ725" s="5"/>
    </row>
    <row r="726" ht="30.0" customHeight="1">
      <c r="AH726" s="5"/>
      <c r="AI726" s="5"/>
      <c r="AJ726" s="5"/>
    </row>
    <row r="727" ht="30.0" customHeight="1">
      <c r="AH727" s="5"/>
      <c r="AI727" s="5"/>
      <c r="AJ727" s="5"/>
    </row>
    <row r="728" ht="30.0" customHeight="1">
      <c r="AH728" s="5"/>
      <c r="AI728" s="5"/>
      <c r="AJ728" s="5"/>
    </row>
    <row r="729" ht="30.0" customHeight="1">
      <c r="AH729" s="5"/>
      <c r="AI729" s="5"/>
      <c r="AJ729" s="5"/>
    </row>
    <row r="730" ht="30.0" customHeight="1">
      <c r="AH730" s="5"/>
      <c r="AI730" s="5"/>
      <c r="AJ730" s="5"/>
    </row>
    <row r="731" ht="30.0" customHeight="1">
      <c r="AH731" s="5"/>
      <c r="AI731" s="5"/>
      <c r="AJ731" s="5"/>
    </row>
    <row r="732" ht="30.0" customHeight="1">
      <c r="AH732" s="5"/>
      <c r="AI732" s="5"/>
      <c r="AJ732" s="5"/>
    </row>
    <row r="733" ht="30.0" customHeight="1">
      <c r="AH733" s="5"/>
      <c r="AI733" s="5"/>
      <c r="AJ733" s="5"/>
    </row>
    <row r="734" ht="30.0" customHeight="1">
      <c r="AH734" s="5"/>
      <c r="AI734" s="5"/>
      <c r="AJ734" s="5"/>
    </row>
    <row r="735" ht="30.0" customHeight="1">
      <c r="AH735" s="5"/>
      <c r="AI735" s="5"/>
      <c r="AJ735" s="5"/>
    </row>
    <row r="736" ht="30.0" customHeight="1">
      <c r="AH736" s="5"/>
      <c r="AI736" s="5"/>
      <c r="AJ736" s="5"/>
    </row>
    <row r="737" ht="30.0" customHeight="1">
      <c r="AH737" s="5"/>
      <c r="AI737" s="5"/>
      <c r="AJ737" s="5"/>
    </row>
    <row r="738" ht="30.0" customHeight="1">
      <c r="AH738" s="5"/>
      <c r="AI738" s="5"/>
      <c r="AJ738" s="5"/>
    </row>
    <row r="739" ht="30.0" customHeight="1">
      <c r="AH739" s="5"/>
      <c r="AI739" s="5"/>
      <c r="AJ739" s="5"/>
    </row>
    <row r="740" ht="30.0" customHeight="1">
      <c r="AH740" s="5"/>
      <c r="AI740" s="5"/>
      <c r="AJ740" s="5"/>
    </row>
    <row r="741" ht="30.0" customHeight="1">
      <c r="AH741" s="5"/>
      <c r="AI741" s="5"/>
      <c r="AJ741" s="5"/>
    </row>
    <row r="742" ht="30.0" customHeight="1">
      <c r="AH742" s="5"/>
      <c r="AI742" s="5"/>
      <c r="AJ742" s="5"/>
    </row>
    <row r="743" ht="30.0" customHeight="1">
      <c r="AH743" s="5"/>
      <c r="AI743" s="5"/>
      <c r="AJ743" s="5"/>
    </row>
    <row r="744" ht="30.0" customHeight="1">
      <c r="AH744" s="5"/>
      <c r="AI744" s="5"/>
      <c r="AJ744" s="5"/>
    </row>
    <row r="745" ht="30.0" customHeight="1">
      <c r="AH745" s="5"/>
      <c r="AI745" s="5"/>
      <c r="AJ745" s="5"/>
    </row>
    <row r="746" ht="30.0" customHeight="1">
      <c r="AH746" s="5"/>
      <c r="AI746" s="5"/>
      <c r="AJ746" s="5"/>
    </row>
    <row r="747" ht="30.0" customHeight="1">
      <c r="AH747" s="5"/>
      <c r="AI747" s="5"/>
      <c r="AJ747" s="5"/>
    </row>
    <row r="748" ht="30.0" customHeight="1">
      <c r="AH748" s="5"/>
      <c r="AI748" s="5"/>
      <c r="AJ748" s="5"/>
    </row>
    <row r="749" ht="30.0" customHeight="1">
      <c r="AH749" s="5"/>
      <c r="AI749" s="5"/>
      <c r="AJ749" s="5"/>
    </row>
    <row r="750" ht="30.0" customHeight="1">
      <c r="AH750" s="5"/>
      <c r="AI750" s="5"/>
      <c r="AJ750" s="5"/>
    </row>
    <row r="751" ht="30.0" customHeight="1">
      <c r="AH751" s="5"/>
      <c r="AI751" s="5"/>
      <c r="AJ751" s="5"/>
    </row>
    <row r="752" ht="30.0" customHeight="1">
      <c r="AH752" s="5"/>
      <c r="AI752" s="5"/>
      <c r="AJ752" s="5"/>
    </row>
    <row r="753" ht="30.0" customHeight="1">
      <c r="AH753" s="5"/>
      <c r="AI753" s="5"/>
      <c r="AJ753" s="5"/>
    </row>
    <row r="754" ht="30.0" customHeight="1">
      <c r="AH754" s="5"/>
      <c r="AI754" s="5"/>
      <c r="AJ754" s="5"/>
    </row>
    <row r="755" ht="30.0" customHeight="1">
      <c r="AH755" s="5"/>
      <c r="AI755" s="5"/>
      <c r="AJ755" s="5"/>
    </row>
    <row r="756" ht="30.0" customHeight="1">
      <c r="AH756" s="5"/>
      <c r="AI756" s="5"/>
      <c r="AJ756" s="5"/>
    </row>
    <row r="757" ht="30.0" customHeight="1">
      <c r="AH757" s="5"/>
      <c r="AI757" s="5"/>
      <c r="AJ757" s="5"/>
    </row>
    <row r="758" ht="30.0" customHeight="1">
      <c r="AH758" s="5"/>
      <c r="AI758" s="5"/>
      <c r="AJ758" s="5"/>
    </row>
    <row r="759" ht="30.0" customHeight="1">
      <c r="AH759" s="5"/>
      <c r="AI759" s="5"/>
      <c r="AJ759" s="5"/>
    </row>
    <row r="760" ht="30.0" customHeight="1">
      <c r="AH760" s="5"/>
      <c r="AI760" s="5"/>
      <c r="AJ760" s="5"/>
    </row>
    <row r="761" ht="30.0" customHeight="1">
      <c r="AH761" s="5"/>
      <c r="AI761" s="5"/>
      <c r="AJ761" s="5"/>
    </row>
    <row r="762" ht="30.0" customHeight="1">
      <c r="AH762" s="5"/>
      <c r="AI762" s="5"/>
      <c r="AJ762" s="5"/>
    </row>
    <row r="763" ht="30.0" customHeight="1">
      <c r="AH763" s="5"/>
      <c r="AI763" s="5"/>
      <c r="AJ763" s="5"/>
    </row>
    <row r="764" ht="30.0" customHeight="1">
      <c r="AH764" s="5"/>
      <c r="AI764" s="5"/>
      <c r="AJ764" s="5"/>
    </row>
    <row r="765" ht="30.0" customHeight="1">
      <c r="AH765" s="5"/>
      <c r="AI765" s="5"/>
      <c r="AJ765" s="5"/>
    </row>
    <row r="766" ht="30.0" customHeight="1">
      <c r="AH766" s="5"/>
      <c r="AI766" s="5"/>
      <c r="AJ766" s="5"/>
    </row>
    <row r="767" ht="30.0" customHeight="1">
      <c r="AH767" s="5"/>
      <c r="AI767" s="5"/>
      <c r="AJ767" s="5"/>
    </row>
    <row r="768" ht="30.0" customHeight="1">
      <c r="AH768" s="5"/>
      <c r="AI768" s="5"/>
      <c r="AJ768" s="5"/>
    </row>
    <row r="769" ht="30.0" customHeight="1">
      <c r="AH769" s="5"/>
      <c r="AI769" s="5"/>
      <c r="AJ769" s="5"/>
    </row>
    <row r="770" ht="30.0" customHeight="1">
      <c r="AH770" s="5"/>
      <c r="AI770" s="5"/>
      <c r="AJ770" s="5"/>
    </row>
    <row r="771" ht="30.0" customHeight="1">
      <c r="AH771" s="5"/>
      <c r="AI771" s="5"/>
      <c r="AJ771" s="5"/>
    </row>
    <row r="772" ht="30.0" customHeight="1">
      <c r="AH772" s="5"/>
      <c r="AI772" s="5"/>
      <c r="AJ772" s="5"/>
    </row>
    <row r="773" ht="30.0" customHeight="1">
      <c r="AH773" s="5"/>
      <c r="AI773" s="5"/>
      <c r="AJ773" s="5"/>
    </row>
    <row r="774" ht="30.0" customHeight="1">
      <c r="AH774" s="5"/>
      <c r="AI774" s="5"/>
      <c r="AJ774" s="5"/>
    </row>
    <row r="775" ht="30.0" customHeight="1">
      <c r="AH775" s="5"/>
      <c r="AI775" s="5"/>
      <c r="AJ775" s="5"/>
    </row>
    <row r="776" ht="30.0" customHeight="1">
      <c r="AH776" s="5"/>
      <c r="AI776" s="5"/>
      <c r="AJ776" s="5"/>
    </row>
    <row r="777" ht="30.0" customHeight="1">
      <c r="AH777" s="5"/>
      <c r="AI777" s="5"/>
      <c r="AJ777" s="5"/>
    </row>
    <row r="778" ht="30.0" customHeight="1">
      <c r="AH778" s="5"/>
      <c r="AI778" s="5"/>
      <c r="AJ778" s="5"/>
    </row>
    <row r="779" ht="30.0" customHeight="1">
      <c r="AH779" s="5"/>
      <c r="AI779" s="5"/>
      <c r="AJ779" s="5"/>
    </row>
    <row r="780" ht="30.0" customHeight="1">
      <c r="AH780" s="5"/>
      <c r="AI780" s="5"/>
      <c r="AJ780" s="5"/>
    </row>
    <row r="781" ht="30.0" customHeight="1">
      <c r="AH781" s="5"/>
      <c r="AI781" s="5"/>
      <c r="AJ781" s="5"/>
    </row>
    <row r="782" ht="30.0" customHeight="1">
      <c r="AH782" s="5"/>
      <c r="AI782" s="5"/>
      <c r="AJ782" s="5"/>
    </row>
    <row r="783" ht="30.0" customHeight="1">
      <c r="AH783" s="5"/>
      <c r="AI783" s="5"/>
      <c r="AJ783" s="5"/>
    </row>
    <row r="784" ht="30.0" customHeight="1">
      <c r="AH784" s="5"/>
      <c r="AI784" s="5"/>
      <c r="AJ784" s="5"/>
    </row>
    <row r="785" ht="30.0" customHeight="1">
      <c r="AH785" s="5"/>
      <c r="AI785" s="5"/>
      <c r="AJ785" s="5"/>
    </row>
    <row r="786" ht="30.0" customHeight="1">
      <c r="AH786" s="5"/>
      <c r="AI786" s="5"/>
      <c r="AJ786" s="5"/>
    </row>
    <row r="787" ht="30.0" customHeight="1">
      <c r="AH787" s="5"/>
      <c r="AI787" s="5"/>
      <c r="AJ787" s="5"/>
    </row>
    <row r="788" ht="30.0" customHeight="1">
      <c r="AH788" s="5"/>
      <c r="AI788" s="5"/>
      <c r="AJ788" s="5"/>
    </row>
    <row r="789" ht="30.0" customHeight="1">
      <c r="AH789" s="5"/>
      <c r="AI789" s="5"/>
      <c r="AJ789" s="5"/>
    </row>
    <row r="790" ht="30.0" customHeight="1">
      <c r="AH790" s="5"/>
      <c r="AI790" s="5"/>
      <c r="AJ790" s="5"/>
    </row>
    <row r="791" ht="30.0" customHeight="1">
      <c r="AH791" s="5"/>
      <c r="AI791" s="5"/>
      <c r="AJ791" s="5"/>
    </row>
    <row r="792" ht="30.0" customHeight="1">
      <c r="AH792" s="5"/>
      <c r="AI792" s="5"/>
      <c r="AJ792" s="5"/>
    </row>
    <row r="793" ht="30.0" customHeight="1">
      <c r="AH793" s="5"/>
      <c r="AI793" s="5"/>
      <c r="AJ793" s="5"/>
    </row>
    <row r="794" ht="30.0" customHeight="1">
      <c r="AH794" s="5"/>
      <c r="AI794" s="5"/>
      <c r="AJ794" s="5"/>
    </row>
    <row r="795" ht="30.0" customHeight="1">
      <c r="AH795" s="5"/>
      <c r="AI795" s="5"/>
      <c r="AJ795" s="5"/>
    </row>
    <row r="796" ht="30.0" customHeight="1">
      <c r="AH796" s="5"/>
      <c r="AI796" s="5"/>
      <c r="AJ796" s="5"/>
    </row>
    <row r="797" ht="30.0" customHeight="1">
      <c r="AH797" s="5"/>
      <c r="AI797" s="5"/>
      <c r="AJ797" s="5"/>
    </row>
    <row r="798" ht="30.0" customHeight="1">
      <c r="AH798" s="5"/>
      <c r="AI798" s="5"/>
      <c r="AJ798" s="5"/>
    </row>
    <row r="799" ht="30.0" customHeight="1">
      <c r="AH799" s="5"/>
      <c r="AI799" s="5"/>
      <c r="AJ799" s="5"/>
    </row>
    <row r="800" ht="30.0" customHeight="1">
      <c r="AH800" s="5"/>
      <c r="AI800" s="5"/>
      <c r="AJ800" s="5"/>
    </row>
    <row r="801" ht="30.0" customHeight="1">
      <c r="AH801" s="5"/>
      <c r="AI801" s="5"/>
      <c r="AJ801" s="5"/>
    </row>
    <row r="802" ht="30.0" customHeight="1">
      <c r="AH802" s="5"/>
      <c r="AI802" s="5"/>
      <c r="AJ802" s="5"/>
    </row>
    <row r="803" ht="30.0" customHeight="1">
      <c r="AH803" s="5"/>
      <c r="AI803" s="5"/>
      <c r="AJ803" s="5"/>
    </row>
    <row r="804" ht="30.0" customHeight="1">
      <c r="AH804" s="5"/>
      <c r="AI804" s="5"/>
      <c r="AJ804" s="5"/>
    </row>
    <row r="805" ht="30.0" customHeight="1">
      <c r="AH805" s="5"/>
      <c r="AI805" s="5"/>
      <c r="AJ805" s="5"/>
    </row>
    <row r="806" ht="30.0" customHeight="1">
      <c r="AH806" s="5"/>
      <c r="AI806" s="5"/>
      <c r="AJ806" s="5"/>
    </row>
    <row r="807" ht="30.0" customHeight="1">
      <c r="AH807" s="5"/>
      <c r="AI807" s="5"/>
      <c r="AJ807" s="5"/>
    </row>
    <row r="808" ht="30.0" customHeight="1">
      <c r="AH808" s="5"/>
      <c r="AI808" s="5"/>
      <c r="AJ808" s="5"/>
    </row>
    <row r="809" ht="30.0" customHeight="1">
      <c r="AH809" s="5"/>
      <c r="AI809" s="5"/>
      <c r="AJ809" s="5"/>
    </row>
    <row r="810" ht="30.0" customHeight="1">
      <c r="AH810" s="5"/>
      <c r="AI810" s="5"/>
      <c r="AJ810" s="5"/>
    </row>
    <row r="811" ht="30.0" customHeight="1">
      <c r="AH811" s="5"/>
      <c r="AI811" s="5"/>
      <c r="AJ811" s="5"/>
    </row>
    <row r="812" ht="30.0" customHeight="1">
      <c r="AH812" s="5"/>
      <c r="AI812" s="5"/>
      <c r="AJ812" s="5"/>
    </row>
    <row r="813" ht="30.0" customHeight="1">
      <c r="AH813" s="5"/>
      <c r="AI813" s="5"/>
      <c r="AJ813" s="5"/>
    </row>
    <row r="814" ht="30.0" customHeight="1">
      <c r="AH814" s="5"/>
      <c r="AI814" s="5"/>
      <c r="AJ814" s="5"/>
    </row>
    <row r="815" ht="30.0" customHeight="1">
      <c r="AH815" s="5"/>
      <c r="AI815" s="5"/>
      <c r="AJ815" s="5"/>
    </row>
    <row r="816" ht="30.0" customHeight="1">
      <c r="AH816" s="5"/>
      <c r="AI816" s="5"/>
      <c r="AJ816" s="5"/>
    </row>
    <row r="817" ht="30.0" customHeight="1">
      <c r="AH817" s="5"/>
      <c r="AI817" s="5"/>
      <c r="AJ817" s="5"/>
    </row>
    <row r="818" ht="30.0" customHeight="1">
      <c r="AH818" s="5"/>
      <c r="AI818" s="5"/>
      <c r="AJ818" s="5"/>
    </row>
    <row r="819" ht="30.0" customHeight="1">
      <c r="AH819" s="5"/>
      <c r="AI819" s="5"/>
      <c r="AJ819" s="5"/>
    </row>
    <row r="820" ht="30.0" customHeight="1">
      <c r="AH820" s="5"/>
      <c r="AI820" s="5"/>
      <c r="AJ820" s="5"/>
    </row>
    <row r="821" ht="30.0" customHeight="1">
      <c r="AH821" s="5"/>
      <c r="AI821" s="5"/>
      <c r="AJ821" s="5"/>
    </row>
    <row r="822" ht="30.0" customHeight="1">
      <c r="AH822" s="5"/>
      <c r="AI822" s="5"/>
      <c r="AJ822" s="5"/>
    </row>
    <row r="823" ht="30.0" customHeight="1">
      <c r="AH823" s="5"/>
      <c r="AI823" s="5"/>
      <c r="AJ823" s="5"/>
    </row>
    <row r="824" ht="30.0" customHeight="1">
      <c r="AH824" s="5"/>
      <c r="AI824" s="5"/>
      <c r="AJ824" s="5"/>
    </row>
    <row r="825" ht="30.0" customHeight="1">
      <c r="AH825" s="5"/>
      <c r="AI825" s="5"/>
      <c r="AJ825" s="5"/>
    </row>
    <row r="826" ht="30.0" customHeight="1">
      <c r="AH826" s="5"/>
      <c r="AI826" s="5"/>
      <c r="AJ826" s="5"/>
    </row>
    <row r="827" ht="30.0" customHeight="1">
      <c r="AH827" s="5"/>
      <c r="AI827" s="5"/>
      <c r="AJ827" s="5"/>
    </row>
    <row r="828" ht="30.0" customHeight="1">
      <c r="AH828" s="5"/>
      <c r="AI828" s="5"/>
      <c r="AJ828" s="5"/>
    </row>
    <row r="829" ht="30.0" customHeight="1">
      <c r="AH829" s="5"/>
      <c r="AI829" s="5"/>
      <c r="AJ829" s="5"/>
    </row>
    <row r="830" ht="30.0" customHeight="1">
      <c r="AH830" s="5"/>
      <c r="AI830" s="5"/>
      <c r="AJ830" s="5"/>
    </row>
    <row r="831" ht="30.0" customHeight="1">
      <c r="AH831" s="5"/>
      <c r="AI831" s="5"/>
      <c r="AJ831" s="5"/>
    </row>
    <row r="832" ht="30.0" customHeight="1">
      <c r="AH832" s="5"/>
      <c r="AI832" s="5"/>
      <c r="AJ832" s="5"/>
    </row>
    <row r="833" ht="30.0" customHeight="1">
      <c r="AH833" s="5"/>
      <c r="AI833" s="5"/>
      <c r="AJ833" s="5"/>
    </row>
    <row r="834" ht="30.0" customHeight="1">
      <c r="AH834" s="5"/>
      <c r="AI834" s="5"/>
      <c r="AJ834" s="5"/>
    </row>
    <row r="835" ht="30.0" customHeight="1">
      <c r="AH835" s="5"/>
      <c r="AI835" s="5"/>
      <c r="AJ835" s="5"/>
    </row>
    <row r="836" ht="30.0" customHeight="1">
      <c r="AH836" s="5"/>
      <c r="AI836" s="5"/>
      <c r="AJ836" s="5"/>
    </row>
    <row r="837" ht="30.0" customHeight="1">
      <c r="AH837" s="5"/>
      <c r="AI837" s="5"/>
      <c r="AJ837" s="5"/>
    </row>
    <row r="838" ht="30.0" customHeight="1">
      <c r="AH838" s="5"/>
      <c r="AI838" s="5"/>
      <c r="AJ838" s="5"/>
    </row>
    <row r="839" ht="30.0" customHeight="1">
      <c r="AH839" s="5"/>
      <c r="AI839" s="5"/>
      <c r="AJ839" s="5"/>
    </row>
    <row r="840" ht="30.0" customHeight="1">
      <c r="AH840" s="5"/>
      <c r="AI840" s="5"/>
      <c r="AJ840" s="5"/>
    </row>
    <row r="841" ht="30.0" customHeight="1">
      <c r="AH841" s="5"/>
      <c r="AI841" s="5"/>
      <c r="AJ841" s="5"/>
    </row>
    <row r="842" ht="30.0" customHeight="1">
      <c r="AH842" s="5"/>
      <c r="AI842" s="5"/>
      <c r="AJ842" s="5"/>
    </row>
    <row r="843" ht="30.0" customHeight="1">
      <c r="AH843" s="5"/>
      <c r="AI843" s="5"/>
      <c r="AJ843" s="5"/>
    </row>
    <row r="844" ht="30.0" customHeight="1">
      <c r="AH844" s="5"/>
      <c r="AI844" s="5"/>
      <c r="AJ844" s="5"/>
    </row>
    <row r="845" ht="30.0" customHeight="1">
      <c r="AH845" s="5"/>
      <c r="AI845" s="5"/>
      <c r="AJ845" s="5"/>
    </row>
    <row r="846" ht="30.0" customHeight="1">
      <c r="AH846" s="5"/>
      <c r="AI846" s="5"/>
      <c r="AJ846" s="5"/>
    </row>
    <row r="847" ht="30.0" customHeight="1">
      <c r="AH847" s="5"/>
      <c r="AI847" s="5"/>
      <c r="AJ847" s="5"/>
    </row>
    <row r="848" ht="30.0" customHeight="1">
      <c r="AH848" s="5"/>
      <c r="AI848" s="5"/>
      <c r="AJ848" s="5"/>
    </row>
    <row r="849" ht="30.0" customHeight="1">
      <c r="AH849" s="5"/>
      <c r="AI849" s="5"/>
      <c r="AJ849" s="5"/>
    </row>
    <row r="850" ht="30.0" customHeight="1">
      <c r="AH850" s="5"/>
      <c r="AI850" s="5"/>
      <c r="AJ850" s="5"/>
    </row>
    <row r="851" ht="30.0" customHeight="1">
      <c r="AH851" s="5"/>
      <c r="AI851" s="5"/>
      <c r="AJ851" s="5"/>
    </row>
    <row r="852" ht="30.0" customHeight="1">
      <c r="AH852" s="5"/>
      <c r="AI852" s="5"/>
      <c r="AJ852" s="5"/>
    </row>
    <row r="853" ht="30.0" customHeight="1">
      <c r="AH853" s="5"/>
      <c r="AI853" s="5"/>
      <c r="AJ853" s="5"/>
    </row>
    <row r="854" ht="30.0" customHeight="1">
      <c r="AH854" s="5"/>
      <c r="AI854" s="5"/>
      <c r="AJ854" s="5"/>
    </row>
    <row r="855" ht="30.0" customHeight="1">
      <c r="AH855" s="5"/>
      <c r="AI855" s="5"/>
      <c r="AJ855" s="5"/>
    </row>
    <row r="856" ht="30.0" customHeight="1">
      <c r="AH856" s="5"/>
      <c r="AI856" s="5"/>
      <c r="AJ856" s="5"/>
    </row>
    <row r="857" ht="30.0" customHeight="1">
      <c r="AH857" s="5"/>
      <c r="AI857" s="5"/>
      <c r="AJ857" s="5"/>
    </row>
    <row r="858" ht="30.0" customHeight="1">
      <c r="AH858" s="5"/>
      <c r="AI858" s="5"/>
      <c r="AJ858" s="5"/>
    </row>
    <row r="859" ht="30.0" customHeight="1">
      <c r="AH859" s="5"/>
      <c r="AI859" s="5"/>
      <c r="AJ859" s="5"/>
    </row>
    <row r="860" ht="30.0" customHeight="1">
      <c r="AH860" s="5"/>
      <c r="AI860" s="5"/>
      <c r="AJ860" s="5"/>
    </row>
    <row r="861" ht="30.0" customHeight="1">
      <c r="AH861" s="5"/>
      <c r="AI861" s="5"/>
      <c r="AJ861" s="5"/>
    </row>
    <row r="862" ht="30.0" customHeight="1">
      <c r="AH862" s="5"/>
      <c r="AI862" s="5"/>
      <c r="AJ862" s="5"/>
    </row>
    <row r="863" ht="30.0" customHeight="1">
      <c r="AH863" s="5"/>
      <c r="AI863" s="5"/>
      <c r="AJ863" s="5"/>
    </row>
    <row r="864" ht="30.0" customHeight="1">
      <c r="AH864" s="5"/>
      <c r="AI864" s="5"/>
      <c r="AJ864" s="5"/>
    </row>
    <row r="865" ht="30.0" customHeight="1">
      <c r="AH865" s="5"/>
      <c r="AI865" s="5"/>
      <c r="AJ865" s="5"/>
    </row>
    <row r="866" ht="30.0" customHeight="1">
      <c r="AH866" s="5"/>
      <c r="AI866" s="5"/>
      <c r="AJ866" s="5"/>
    </row>
    <row r="867" ht="30.0" customHeight="1">
      <c r="AH867" s="5"/>
      <c r="AI867" s="5"/>
      <c r="AJ867" s="5"/>
    </row>
    <row r="868" ht="30.0" customHeight="1">
      <c r="AH868" s="5"/>
      <c r="AI868" s="5"/>
      <c r="AJ868" s="5"/>
    </row>
    <row r="869" ht="30.0" customHeight="1">
      <c r="AH869" s="5"/>
      <c r="AI869" s="5"/>
      <c r="AJ869" s="5"/>
    </row>
    <row r="870" ht="30.0" customHeight="1">
      <c r="AH870" s="5"/>
      <c r="AI870" s="5"/>
      <c r="AJ870" s="5"/>
    </row>
    <row r="871" ht="30.0" customHeight="1">
      <c r="AH871" s="5"/>
      <c r="AI871" s="5"/>
      <c r="AJ871" s="5"/>
    </row>
    <row r="872" ht="30.0" customHeight="1">
      <c r="AH872" s="5"/>
      <c r="AI872" s="5"/>
      <c r="AJ872" s="5"/>
    </row>
    <row r="873" ht="30.0" customHeight="1">
      <c r="AH873" s="5"/>
      <c r="AI873" s="5"/>
      <c r="AJ873" s="5"/>
    </row>
    <row r="874" ht="30.0" customHeight="1">
      <c r="AH874" s="5"/>
      <c r="AI874" s="5"/>
      <c r="AJ874" s="5"/>
    </row>
    <row r="875" ht="30.0" customHeight="1">
      <c r="AH875" s="5"/>
      <c r="AI875" s="5"/>
      <c r="AJ875" s="5"/>
    </row>
    <row r="876" ht="30.0" customHeight="1">
      <c r="AH876" s="5"/>
      <c r="AI876" s="5"/>
      <c r="AJ876" s="5"/>
    </row>
    <row r="877" ht="30.0" customHeight="1">
      <c r="AH877" s="5"/>
      <c r="AI877" s="5"/>
      <c r="AJ877" s="5"/>
    </row>
    <row r="878" ht="30.0" customHeight="1">
      <c r="AH878" s="5"/>
      <c r="AI878" s="5"/>
      <c r="AJ878" s="5"/>
    </row>
    <row r="879" ht="30.0" customHeight="1">
      <c r="AH879" s="5"/>
      <c r="AI879" s="5"/>
      <c r="AJ879" s="5"/>
    </row>
    <row r="880" ht="30.0" customHeight="1">
      <c r="AH880" s="5"/>
      <c r="AI880" s="5"/>
      <c r="AJ880" s="5"/>
    </row>
    <row r="881" ht="30.0" customHeight="1">
      <c r="AH881" s="5"/>
      <c r="AI881" s="5"/>
      <c r="AJ881" s="5"/>
    </row>
    <row r="882" ht="30.0" customHeight="1">
      <c r="AH882" s="5"/>
      <c r="AI882" s="5"/>
      <c r="AJ882" s="5"/>
    </row>
    <row r="883" ht="30.0" customHeight="1">
      <c r="AH883" s="5"/>
      <c r="AI883" s="5"/>
      <c r="AJ883" s="5"/>
    </row>
    <row r="884" ht="30.0" customHeight="1">
      <c r="AH884" s="5"/>
      <c r="AI884" s="5"/>
      <c r="AJ884" s="5"/>
    </row>
    <row r="885" ht="30.0" customHeight="1">
      <c r="AH885" s="5"/>
      <c r="AI885" s="5"/>
      <c r="AJ885" s="5"/>
    </row>
    <row r="886" ht="30.0" customHeight="1">
      <c r="AH886" s="5"/>
      <c r="AI886" s="5"/>
      <c r="AJ886" s="5"/>
    </row>
    <row r="887" ht="30.0" customHeight="1">
      <c r="AH887" s="5"/>
      <c r="AI887" s="5"/>
      <c r="AJ887" s="5"/>
    </row>
    <row r="888" ht="30.0" customHeight="1">
      <c r="AH888" s="5"/>
      <c r="AI888" s="5"/>
      <c r="AJ888" s="5"/>
    </row>
    <row r="889" ht="30.0" customHeight="1">
      <c r="AH889" s="5"/>
      <c r="AI889" s="5"/>
      <c r="AJ889" s="5"/>
    </row>
    <row r="890" ht="30.0" customHeight="1">
      <c r="AH890" s="5"/>
      <c r="AI890" s="5"/>
      <c r="AJ890" s="5"/>
    </row>
    <row r="891" ht="30.0" customHeight="1">
      <c r="AH891" s="5"/>
      <c r="AI891" s="5"/>
      <c r="AJ891" s="5"/>
    </row>
    <row r="892" ht="30.0" customHeight="1">
      <c r="AH892" s="5"/>
      <c r="AI892" s="5"/>
      <c r="AJ892" s="5"/>
    </row>
    <row r="893" ht="30.0" customHeight="1">
      <c r="AH893" s="5"/>
      <c r="AI893" s="5"/>
      <c r="AJ893" s="5"/>
    </row>
    <row r="894" ht="30.0" customHeight="1">
      <c r="AH894" s="5"/>
      <c r="AI894" s="5"/>
      <c r="AJ894" s="5"/>
    </row>
    <row r="895" ht="30.0" customHeight="1">
      <c r="AH895" s="5"/>
      <c r="AI895" s="5"/>
      <c r="AJ895" s="5"/>
    </row>
    <row r="896" ht="30.0" customHeight="1">
      <c r="AH896" s="5"/>
      <c r="AI896" s="5"/>
      <c r="AJ896" s="5"/>
    </row>
    <row r="897" ht="30.0" customHeight="1">
      <c r="AH897" s="5"/>
      <c r="AI897" s="5"/>
      <c r="AJ897" s="5"/>
    </row>
    <row r="898" ht="30.0" customHeight="1">
      <c r="AH898" s="5"/>
      <c r="AI898" s="5"/>
      <c r="AJ898" s="5"/>
    </row>
    <row r="899" ht="30.0" customHeight="1">
      <c r="AH899" s="5"/>
      <c r="AI899" s="5"/>
      <c r="AJ899" s="5"/>
    </row>
    <row r="900" ht="30.0" customHeight="1">
      <c r="AH900" s="5"/>
      <c r="AI900" s="5"/>
      <c r="AJ900" s="5"/>
    </row>
    <row r="901" ht="30.0" customHeight="1">
      <c r="AH901" s="5"/>
      <c r="AI901" s="5"/>
      <c r="AJ901" s="5"/>
    </row>
    <row r="902" ht="30.0" customHeight="1">
      <c r="AH902" s="5"/>
      <c r="AI902" s="5"/>
      <c r="AJ902" s="5"/>
    </row>
    <row r="903" ht="30.0" customHeight="1">
      <c r="AH903" s="5"/>
      <c r="AI903" s="5"/>
      <c r="AJ903" s="5"/>
    </row>
    <row r="904" ht="30.0" customHeight="1">
      <c r="AH904" s="5"/>
      <c r="AI904" s="5"/>
      <c r="AJ904" s="5"/>
    </row>
    <row r="905" ht="30.0" customHeight="1">
      <c r="AH905" s="5"/>
      <c r="AI905" s="5"/>
      <c r="AJ905" s="5"/>
    </row>
    <row r="906" ht="30.0" customHeight="1">
      <c r="AH906" s="5"/>
      <c r="AI906" s="5"/>
      <c r="AJ906" s="5"/>
    </row>
    <row r="907" ht="30.0" customHeight="1">
      <c r="AH907" s="5"/>
      <c r="AI907" s="5"/>
      <c r="AJ907" s="5"/>
    </row>
    <row r="908" ht="30.0" customHeight="1">
      <c r="AH908" s="5"/>
      <c r="AI908" s="5"/>
      <c r="AJ908" s="5"/>
    </row>
    <row r="909" ht="30.0" customHeight="1">
      <c r="AH909" s="5"/>
      <c r="AI909" s="5"/>
      <c r="AJ909" s="5"/>
    </row>
    <row r="910" ht="30.0" customHeight="1">
      <c r="AH910" s="5"/>
      <c r="AI910" s="5"/>
      <c r="AJ910" s="5"/>
    </row>
    <row r="911" ht="30.0" customHeight="1">
      <c r="AH911" s="5"/>
      <c r="AI911" s="5"/>
      <c r="AJ911" s="5"/>
    </row>
    <row r="912" ht="30.0" customHeight="1">
      <c r="AH912" s="5"/>
      <c r="AI912" s="5"/>
      <c r="AJ912" s="5"/>
    </row>
    <row r="913" ht="30.0" customHeight="1">
      <c r="AH913" s="5"/>
      <c r="AI913" s="5"/>
      <c r="AJ913" s="5"/>
    </row>
    <row r="914" ht="30.0" customHeight="1">
      <c r="AH914" s="5"/>
      <c r="AI914" s="5"/>
      <c r="AJ914" s="5"/>
    </row>
    <row r="915" ht="30.0" customHeight="1">
      <c r="AH915" s="5"/>
      <c r="AI915" s="5"/>
      <c r="AJ915" s="5"/>
    </row>
    <row r="916" ht="30.0" customHeight="1">
      <c r="AH916" s="5"/>
      <c r="AI916" s="5"/>
      <c r="AJ916" s="5"/>
    </row>
    <row r="917" ht="30.0" customHeight="1">
      <c r="AH917" s="5"/>
      <c r="AI917" s="5"/>
      <c r="AJ917" s="5"/>
    </row>
    <row r="918" ht="30.0" customHeight="1">
      <c r="AH918" s="5"/>
      <c r="AI918" s="5"/>
      <c r="AJ918" s="5"/>
    </row>
    <row r="919" ht="30.0" customHeight="1">
      <c r="AH919" s="5"/>
      <c r="AI919" s="5"/>
      <c r="AJ919" s="5"/>
    </row>
    <row r="920" ht="30.0" customHeight="1">
      <c r="AH920" s="5"/>
      <c r="AI920" s="5"/>
      <c r="AJ920" s="5"/>
    </row>
    <row r="921" ht="30.0" customHeight="1">
      <c r="AH921" s="5"/>
      <c r="AI921" s="5"/>
      <c r="AJ921" s="5"/>
    </row>
    <row r="922" ht="30.0" customHeight="1">
      <c r="AH922" s="5"/>
      <c r="AI922" s="5"/>
      <c r="AJ922" s="5"/>
    </row>
    <row r="923" ht="30.0" customHeight="1">
      <c r="AH923" s="5"/>
      <c r="AI923" s="5"/>
      <c r="AJ923" s="5"/>
    </row>
    <row r="924" ht="30.0" customHeight="1">
      <c r="AH924" s="5"/>
      <c r="AI924" s="5"/>
      <c r="AJ924" s="5"/>
    </row>
    <row r="925" ht="30.0" customHeight="1">
      <c r="AH925" s="5"/>
      <c r="AI925" s="5"/>
      <c r="AJ925" s="5"/>
    </row>
    <row r="926" ht="30.0" customHeight="1">
      <c r="AH926" s="5"/>
      <c r="AI926" s="5"/>
      <c r="AJ926" s="5"/>
    </row>
    <row r="927" ht="30.0" customHeight="1">
      <c r="AH927" s="5"/>
      <c r="AI927" s="5"/>
      <c r="AJ927" s="5"/>
    </row>
    <row r="928" ht="30.0" customHeight="1">
      <c r="AH928" s="5"/>
      <c r="AI928" s="5"/>
      <c r="AJ928" s="5"/>
    </row>
    <row r="929" ht="30.0" customHeight="1">
      <c r="AH929" s="5"/>
      <c r="AI929" s="5"/>
      <c r="AJ929" s="5"/>
    </row>
    <row r="930" ht="30.0" customHeight="1">
      <c r="AH930" s="5"/>
      <c r="AI930" s="5"/>
      <c r="AJ930" s="5"/>
    </row>
    <row r="931" ht="30.0" customHeight="1">
      <c r="AH931" s="5"/>
      <c r="AI931" s="5"/>
      <c r="AJ931" s="5"/>
    </row>
    <row r="932" ht="30.0" customHeight="1">
      <c r="AH932" s="5"/>
      <c r="AI932" s="5"/>
      <c r="AJ932" s="5"/>
    </row>
    <row r="933" ht="30.0" customHeight="1">
      <c r="AH933" s="5"/>
      <c r="AI933" s="5"/>
      <c r="AJ933" s="5"/>
    </row>
    <row r="934" ht="30.0" customHeight="1">
      <c r="AH934" s="5"/>
      <c r="AI934" s="5"/>
      <c r="AJ934" s="5"/>
    </row>
    <row r="935" ht="30.0" customHeight="1">
      <c r="AH935" s="5"/>
      <c r="AI935" s="5"/>
      <c r="AJ935" s="5"/>
    </row>
    <row r="936" ht="30.0" customHeight="1">
      <c r="AH936" s="5"/>
      <c r="AI936" s="5"/>
      <c r="AJ936" s="5"/>
    </row>
    <row r="937" ht="30.0" customHeight="1">
      <c r="AH937" s="5"/>
      <c r="AI937" s="5"/>
      <c r="AJ937" s="5"/>
    </row>
    <row r="938" ht="30.0" customHeight="1">
      <c r="AH938" s="5"/>
      <c r="AI938" s="5"/>
      <c r="AJ938" s="5"/>
    </row>
    <row r="939" ht="30.0" customHeight="1">
      <c r="AH939" s="5"/>
      <c r="AI939" s="5"/>
      <c r="AJ939" s="5"/>
    </row>
    <row r="940" ht="30.0" customHeight="1">
      <c r="AH940" s="5"/>
      <c r="AI940" s="5"/>
      <c r="AJ940" s="5"/>
    </row>
    <row r="941" ht="30.0" customHeight="1">
      <c r="AH941" s="5"/>
      <c r="AI941" s="5"/>
      <c r="AJ941" s="5"/>
    </row>
    <row r="942" ht="30.0" customHeight="1">
      <c r="AH942" s="5"/>
      <c r="AI942" s="5"/>
      <c r="AJ942" s="5"/>
    </row>
    <row r="943" ht="30.0" customHeight="1">
      <c r="AH943" s="5"/>
      <c r="AI943" s="5"/>
      <c r="AJ943" s="5"/>
    </row>
    <row r="944" ht="30.0" customHeight="1">
      <c r="AH944" s="5"/>
      <c r="AI944" s="5"/>
      <c r="AJ944" s="5"/>
    </row>
    <row r="945" ht="30.0" customHeight="1">
      <c r="AH945" s="5"/>
      <c r="AI945" s="5"/>
      <c r="AJ945" s="5"/>
    </row>
    <row r="946" ht="30.0" customHeight="1">
      <c r="AH946" s="5"/>
      <c r="AI946" s="5"/>
      <c r="AJ946" s="5"/>
    </row>
    <row r="947" ht="30.0" customHeight="1">
      <c r="AH947" s="5"/>
      <c r="AI947" s="5"/>
      <c r="AJ947" s="5"/>
    </row>
    <row r="948" ht="30.0" customHeight="1">
      <c r="AH948" s="5"/>
      <c r="AI948" s="5"/>
      <c r="AJ948" s="5"/>
    </row>
    <row r="949" ht="30.0" customHeight="1">
      <c r="AH949" s="5"/>
      <c r="AI949" s="5"/>
      <c r="AJ949" s="5"/>
    </row>
    <row r="950" ht="30.0" customHeight="1">
      <c r="AH950" s="5"/>
      <c r="AI950" s="5"/>
      <c r="AJ950" s="5"/>
    </row>
    <row r="951" ht="30.0" customHeight="1">
      <c r="AH951" s="5"/>
      <c r="AI951" s="5"/>
      <c r="AJ951" s="5"/>
    </row>
    <row r="952" ht="30.0" customHeight="1">
      <c r="AH952" s="5"/>
      <c r="AI952" s="5"/>
      <c r="AJ952" s="5"/>
    </row>
    <row r="953" ht="30.0" customHeight="1">
      <c r="AH953" s="5"/>
      <c r="AI953" s="5"/>
      <c r="AJ953" s="5"/>
    </row>
    <row r="954" ht="30.0" customHeight="1">
      <c r="AH954" s="5"/>
      <c r="AI954" s="5"/>
      <c r="AJ954" s="5"/>
    </row>
    <row r="955" ht="30.0" customHeight="1">
      <c r="AH955" s="5"/>
      <c r="AI955" s="5"/>
      <c r="AJ955" s="5"/>
    </row>
    <row r="956" ht="30.0" customHeight="1">
      <c r="AH956" s="5"/>
      <c r="AI956" s="5"/>
      <c r="AJ956" s="5"/>
    </row>
    <row r="957" ht="30.0" customHeight="1">
      <c r="AH957" s="5"/>
      <c r="AI957" s="5"/>
      <c r="AJ957" s="5"/>
    </row>
    <row r="958" ht="30.0" customHeight="1">
      <c r="AH958" s="5"/>
      <c r="AI958" s="5"/>
      <c r="AJ958" s="5"/>
    </row>
    <row r="959" ht="30.0" customHeight="1">
      <c r="AH959" s="5"/>
      <c r="AI959" s="5"/>
      <c r="AJ959" s="5"/>
    </row>
    <row r="960" ht="30.0" customHeight="1">
      <c r="AH960" s="5"/>
      <c r="AI960" s="5"/>
      <c r="AJ960" s="5"/>
    </row>
    <row r="961" ht="30.0" customHeight="1">
      <c r="AH961" s="5"/>
      <c r="AI961" s="5"/>
      <c r="AJ961" s="5"/>
    </row>
    <row r="962" ht="30.0" customHeight="1">
      <c r="AH962" s="5"/>
      <c r="AI962" s="5"/>
      <c r="AJ962" s="5"/>
    </row>
    <row r="963" ht="30.0" customHeight="1">
      <c r="AH963" s="5"/>
      <c r="AI963" s="5"/>
      <c r="AJ963" s="5"/>
    </row>
    <row r="964" ht="30.0" customHeight="1">
      <c r="AH964" s="5"/>
      <c r="AI964" s="5"/>
      <c r="AJ964" s="5"/>
    </row>
    <row r="965" ht="30.0" customHeight="1">
      <c r="AH965" s="5"/>
      <c r="AI965" s="5"/>
      <c r="AJ965" s="5"/>
    </row>
    <row r="966" ht="30.0" customHeight="1">
      <c r="AH966" s="5"/>
      <c r="AI966" s="5"/>
      <c r="AJ966" s="5"/>
    </row>
    <row r="967" ht="30.0" customHeight="1">
      <c r="AH967" s="5"/>
      <c r="AI967" s="5"/>
      <c r="AJ967" s="5"/>
    </row>
    <row r="968" ht="30.0" customHeight="1">
      <c r="AH968" s="5"/>
      <c r="AI968" s="5"/>
      <c r="AJ968" s="5"/>
    </row>
    <row r="969" ht="30.0" customHeight="1">
      <c r="AH969" s="5"/>
      <c r="AI969" s="5"/>
      <c r="AJ969" s="5"/>
    </row>
    <row r="970" ht="30.0" customHeight="1">
      <c r="AH970" s="5"/>
      <c r="AI970" s="5"/>
      <c r="AJ970" s="5"/>
    </row>
    <row r="971" ht="30.0" customHeight="1">
      <c r="AH971" s="5"/>
      <c r="AI971" s="5"/>
      <c r="AJ971" s="5"/>
    </row>
    <row r="972" ht="30.0" customHeight="1">
      <c r="AH972" s="5"/>
      <c r="AI972" s="5"/>
      <c r="AJ972" s="5"/>
    </row>
    <row r="973" ht="30.0" customHeight="1">
      <c r="AH973" s="5"/>
      <c r="AI973" s="5"/>
      <c r="AJ973" s="5"/>
    </row>
    <row r="974" ht="30.0" customHeight="1">
      <c r="AH974" s="5"/>
      <c r="AI974" s="5"/>
      <c r="AJ974" s="5"/>
    </row>
    <row r="975" ht="30.0" customHeight="1">
      <c r="AH975" s="5"/>
      <c r="AI975" s="5"/>
      <c r="AJ975" s="5"/>
    </row>
    <row r="976" ht="30.0" customHeight="1">
      <c r="AH976" s="5"/>
      <c r="AI976" s="5"/>
      <c r="AJ976" s="5"/>
    </row>
    <row r="977" ht="30.0" customHeight="1">
      <c r="AH977" s="5"/>
      <c r="AI977" s="5"/>
      <c r="AJ977" s="5"/>
    </row>
    <row r="978" ht="30.0" customHeight="1">
      <c r="AH978" s="5"/>
      <c r="AI978" s="5"/>
      <c r="AJ978" s="5"/>
    </row>
    <row r="979" ht="30.0" customHeight="1">
      <c r="AH979" s="5"/>
      <c r="AI979" s="5"/>
      <c r="AJ979" s="5"/>
    </row>
    <row r="980" ht="30.0" customHeight="1">
      <c r="AH980" s="5"/>
      <c r="AI980" s="5"/>
      <c r="AJ980" s="5"/>
    </row>
    <row r="981" ht="30.0" customHeight="1">
      <c r="AH981" s="5"/>
      <c r="AI981" s="5"/>
      <c r="AJ981" s="5"/>
    </row>
    <row r="982" ht="30.0" customHeight="1">
      <c r="AH982" s="5"/>
      <c r="AI982" s="5"/>
      <c r="AJ982" s="5"/>
    </row>
    <row r="983" ht="30.0" customHeight="1">
      <c r="AH983" s="5"/>
      <c r="AI983" s="5"/>
      <c r="AJ983" s="5"/>
    </row>
    <row r="984" ht="30.0" customHeight="1">
      <c r="AH984" s="5"/>
      <c r="AI984" s="5"/>
      <c r="AJ984" s="5"/>
    </row>
    <row r="985" ht="30.0" customHeight="1">
      <c r="AH985" s="5"/>
      <c r="AI985" s="5"/>
      <c r="AJ985" s="5"/>
    </row>
    <row r="986" ht="30.0" customHeight="1">
      <c r="AH986" s="5"/>
      <c r="AI986" s="5"/>
      <c r="AJ986" s="5"/>
    </row>
    <row r="987" ht="30.0" customHeight="1">
      <c r="AH987" s="5"/>
      <c r="AI987" s="5"/>
      <c r="AJ987" s="5"/>
    </row>
    <row r="988" ht="30.0" customHeight="1">
      <c r="AH988" s="5"/>
      <c r="AI988" s="5"/>
      <c r="AJ988" s="5"/>
    </row>
    <row r="989" ht="30.0" customHeight="1">
      <c r="AH989" s="5"/>
      <c r="AI989" s="5"/>
      <c r="AJ989" s="5"/>
    </row>
    <row r="990" ht="30.0" customHeight="1">
      <c r="AH990" s="5"/>
      <c r="AI990" s="5"/>
      <c r="AJ990" s="5"/>
    </row>
    <row r="991" ht="30.0" customHeight="1">
      <c r="AH991" s="5"/>
      <c r="AI991" s="5"/>
      <c r="AJ991" s="5"/>
    </row>
    <row r="992" ht="30.0" customHeight="1">
      <c r="AH992" s="5"/>
      <c r="AI992" s="5"/>
      <c r="AJ992" s="5"/>
    </row>
    <row r="993" ht="30.0" customHeight="1">
      <c r="AH993" s="5"/>
      <c r="AI993" s="5"/>
      <c r="AJ993" s="5"/>
    </row>
    <row r="994" ht="30.0" customHeight="1">
      <c r="AH994" s="5"/>
      <c r="AI994" s="5"/>
      <c r="AJ994" s="5"/>
    </row>
    <row r="995" ht="30.0" customHeight="1">
      <c r="AH995" s="5"/>
      <c r="AI995" s="5"/>
      <c r="AJ995" s="5"/>
    </row>
    <row r="996" ht="30.0" customHeight="1">
      <c r="AH996" s="5"/>
      <c r="AI996" s="5"/>
      <c r="AJ996" s="5"/>
    </row>
    <row r="997" ht="30.0" customHeight="1">
      <c r="AH997" s="5"/>
      <c r="AI997" s="5"/>
      <c r="AJ997" s="5"/>
    </row>
    <row r="998" ht="30.0" customHeight="1">
      <c r="AH998" s="5"/>
      <c r="AI998" s="5"/>
      <c r="AJ998" s="5"/>
    </row>
    <row r="999" ht="30.0" customHeight="1">
      <c r="AH999" s="5"/>
      <c r="AI999" s="5"/>
      <c r="AJ999" s="5"/>
    </row>
    <row r="1000" ht="30.0" customHeight="1">
      <c r="AH1000" s="5"/>
      <c r="AI1000" s="5"/>
      <c r="AJ1000" s="5"/>
    </row>
    <row r="1001" ht="30.0" customHeight="1">
      <c r="AH1001" s="5"/>
      <c r="AI1001" s="5"/>
      <c r="AJ1001" s="5"/>
    </row>
    <row r="1002" ht="30.0" customHeight="1">
      <c r="AH1002" s="5"/>
      <c r="AI1002" s="5"/>
      <c r="AJ1002" s="5"/>
    </row>
    <row r="1003" ht="30.0" customHeight="1">
      <c r="AH1003" s="5"/>
      <c r="AI1003" s="5"/>
      <c r="AJ1003" s="5"/>
    </row>
    <row r="1004" ht="30.0" customHeight="1">
      <c r="AH1004" s="5"/>
      <c r="AI1004" s="5"/>
      <c r="AJ1004" s="5"/>
    </row>
    <row r="1005" ht="30.0" customHeight="1">
      <c r="AH1005" s="5"/>
      <c r="AI1005" s="5"/>
      <c r="AJ1005" s="5"/>
    </row>
    <row r="1006" ht="30.0" customHeight="1">
      <c r="AH1006" s="5"/>
      <c r="AI1006" s="5"/>
      <c r="AJ1006" s="5"/>
    </row>
    <row r="1007" ht="30.0" customHeight="1">
      <c r="AH1007" s="5"/>
      <c r="AI1007" s="5"/>
      <c r="AJ1007" s="5"/>
    </row>
    <row r="1008" ht="30.0" customHeight="1">
      <c r="AH1008" s="5"/>
      <c r="AI1008" s="5"/>
      <c r="AJ1008" s="5"/>
    </row>
    <row r="1009" ht="30.0" customHeight="1">
      <c r="AH1009" s="5"/>
      <c r="AI1009" s="5"/>
      <c r="AJ1009" s="5"/>
    </row>
    <row r="1010" ht="30.0" customHeight="1">
      <c r="AH1010" s="5"/>
      <c r="AI1010" s="5"/>
      <c r="AJ1010" s="5"/>
    </row>
    <row r="1011" ht="30.0" customHeight="1">
      <c r="AH1011" s="5"/>
      <c r="AI1011" s="5"/>
      <c r="AJ1011" s="5"/>
    </row>
    <row r="1012" ht="30.0" customHeight="1">
      <c r="AH1012" s="5"/>
      <c r="AI1012" s="5"/>
      <c r="AJ1012" s="5"/>
    </row>
    <row r="1013" ht="30.0" customHeight="1">
      <c r="AH1013" s="5"/>
      <c r="AI1013" s="5"/>
      <c r="AJ1013" s="5"/>
    </row>
    <row r="1014" ht="30.0" customHeight="1">
      <c r="AH1014" s="5"/>
      <c r="AI1014" s="5"/>
      <c r="AJ1014" s="5"/>
    </row>
    <row r="1015" ht="30.0" customHeight="1">
      <c r="AH1015" s="5"/>
      <c r="AI1015" s="5"/>
      <c r="AJ1015" s="5"/>
    </row>
    <row r="1016" ht="30.0" customHeight="1">
      <c r="AH1016" s="5"/>
      <c r="AI1016" s="5"/>
      <c r="AJ1016" s="5"/>
    </row>
    <row r="1017" ht="30.0" customHeight="1">
      <c r="AH1017" s="5"/>
      <c r="AI1017" s="5"/>
      <c r="AJ1017" s="5"/>
    </row>
    <row r="1018" ht="30.0" customHeight="1">
      <c r="AH1018" s="5"/>
      <c r="AI1018" s="5"/>
      <c r="AJ1018" s="5"/>
    </row>
    <row r="1019" ht="30.0" customHeight="1">
      <c r="AH1019" s="5"/>
      <c r="AI1019" s="5"/>
      <c r="AJ1019" s="5"/>
    </row>
    <row r="1020" ht="30.0" customHeight="1">
      <c r="AH1020" s="5"/>
      <c r="AI1020" s="5"/>
      <c r="AJ1020" s="5"/>
    </row>
    <row r="1021" ht="30.0" customHeight="1">
      <c r="AH1021" s="5"/>
      <c r="AI1021" s="5"/>
      <c r="AJ1021" s="5"/>
    </row>
    <row r="1022" ht="30.0" customHeight="1">
      <c r="AH1022" s="5"/>
      <c r="AI1022" s="5"/>
      <c r="AJ1022" s="5"/>
    </row>
    <row r="1023" ht="30.0" customHeight="1">
      <c r="AH1023" s="5"/>
      <c r="AI1023" s="5"/>
      <c r="AJ1023" s="5"/>
    </row>
    <row r="1024" ht="30.0" customHeight="1">
      <c r="AH1024" s="5"/>
      <c r="AI1024" s="5"/>
      <c r="AJ1024" s="5"/>
    </row>
    <row r="1025" ht="30.0" customHeight="1">
      <c r="AH1025" s="5"/>
      <c r="AI1025" s="5"/>
      <c r="AJ1025" s="5"/>
    </row>
    <row r="1026" ht="30.0" customHeight="1">
      <c r="AH1026" s="5"/>
      <c r="AI1026" s="5"/>
      <c r="AJ1026" s="5"/>
    </row>
    <row r="1027" ht="30.0" customHeight="1">
      <c r="AH1027" s="5"/>
      <c r="AI1027" s="5"/>
      <c r="AJ1027" s="5"/>
    </row>
    <row r="1028" ht="30.0" customHeight="1">
      <c r="AH1028" s="5"/>
      <c r="AI1028" s="5"/>
      <c r="AJ1028" s="5"/>
    </row>
    <row r="1029" ht="30.0" customHeight="1">
      <c r="AH1029" s="5"/>
      <c r="AI1029" s="5"/>
      <c r="AJ1029" s="5"/>
    </row>
    <row r="1030" ht="30.0" customHeight="1">
      <c r="AH1030" s="5"/>
      <c r="AI1030" s="5"/>
      <c r="AJ1030" s="5"/>
    </row>
    <row r="1031" ht="30.0" customHeight="1">
      <c r="AH1031" s="5"/>
      <c r="AI1031" s="5"/>
      <c r="AJ1031" s="5"/>
    </row>
    <row r="1032" ht="30.0" customHeight="1">
      <c r="AH1032" s="5"/>
      <c r="AI1032" s="5"/>
      <c r="AJ1032" s="5"/>
    </row>
    <row r="1033" ht="30.0" customHeight="1">
      <c r="AH1033" s="5"/>
      <c r="AI1033" s="5"/>
      <c r="AJ1033" s="5"/>
    </row>
    <row r="1034" ht="30.0" customHeight="1">
      <c r="AH1034" s="5"/>
      <c r="AI1034" s="5"/>
      <c r="AJ1034" s="5"/>
    </row>
    <row r="1035" ht="30.0" customHeight="1">
      <c r="AH1035" s="5"/>
      <c r="AI1035" s="5"/>
      <c r="AJ1035" s="5"/>
    </row>
    <row r="1036" ht="30.0" customHeight="1">
      <c r="AH1036" s="5"/>
      <c r="AI1036" s="5"/>
      <c r="AJ1036" s="5"/>
    </row>
    <row r="1037" ht="30.0" customHeight="1">
      <c r="AH1037" s="5"/>
      <c r="AI1037" s="5"/>
      <c r="AJ1037" s="5"/>
    </row>
  </sheetData>
  <mergeCells count="16">
    <mergeCell ref="B1:X1"/>
    <mergeCell ref="D2:F2"/>
    <mergeCell ref="H2:J2"/>
    <mergeCell ref="L2:N2"/>
    <mergeCell ref="P2:S2"/>
    <mergeCell ref="U2:X2"/>
    <mergeCell ref="C4:AG4"/>
    <mergeCell ref="C179:AG179"/>
    <mergeCell ref="C189:AG189"/>
    <mergeCell ref="C10:AG10"/>
    <mergeCell ref="C37:AG37"/>
    <mergeCell ref="C64:AG64"/>
    <mergeCell ref="C97:AG97"/>
    <mergeCell ref="C123:AG123"/>
    <mergeCell ref="C149:AG149"/>
    <mergeCell ref="C166:AG166"/>
  </mergeCells>
  <conditionalFormatting sqref="C7:AG7 N33 Q33 X33:Y33">
    <cfRule type="expression" dxfId="5" priority="1" stopIfTrue="1">
      <formula>C7=""</formula>
    </cfRule>
  </conditionalFormatting>
  <conditionalFormatting sqref="K7 N7 R7 T7 C33:AC33 AE33:AG33">
    <cfRule type="expression" dxfId="5" priority="2" stopIfTrue="1">
      <formula>#REF!=""</formula>
    </cfRule>
  </conditionalFormatting>
  <conditionalFormatting sqref="AH42:AI42">
    <cfRule type="expression" dxfId="5" priority="3" stopIfTrue="1">
      <formula>AH42=""</formula>
    </cfRule>
  </conditionalFormatting>
  <conditionalFormatting sqref="C94:H94 J94:K94 M94:W94 Y94:AD94 AF94:AG94">
    <cfRule type="expression" dxfId="5" priority="4" stopIfTrue="1">
      <formula>#REF!=""</formula>
    </cfRule>
  </conditionalFormatting>
  <conditionalFormatting sqref="C120:K120 N120:AG120 C162:L163 N162:AG163">
    <cfRule type="expression" dxfId="5" priority="5" stopIfTrue="1">
      <formula>#REF!=""</formula>
    </cfRule>
  </conditionalFormatting>
  <dataValidations>
    <dataValidation type="list" allowBlank="1" showErrorMessage="1" sqref="B7 B13:B33 B40:B59 B67:B94 B102:B120 B128:B144 B153:B163 B171:B176 B184:B186 B194:B196">
      <formula1>'Nombres de los alumnos '!$B$4:$B$1016</formula1>
    </dataValidation>
    <dataValidation type="list" allowBlank="1" showErrorMessage="1" sqref="B100:B101 B126:B127 B152 B169:B170 B182:B183 B192:B193">
      <formula1>'Nombres de los alumnos '!$B$4:$B$999999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1E11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3" width="4.71"/>
    <col customWidth="1" min="34" max="36" width="20.86"/>
  </cols>
  <sheetData>
    <row r="1" ht="49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AH1" s="5"/>
      <c r="AI1" s="5"/>
      <c r="AJ1" s="5"/>
    </row>
    <row r="2" ht="15.0" customHeight="1">
      <c r="B2" s="6" t="s">
        <v>1</v>
      </c>
      <c r="C2" s="7" t="s">
        <v>2</v>
      </c>
      <c r="D2" s="8" t="s">
        <v>3</v>
      </c>
      <c r="E2" s="3"/>
      <c r="F2" s="4"/>
      <c r="G2" s="9" t="s">
        <v>4</v>
      </c>
      <c r="H2" s="8" t="s">
        <v>5</v>
      </c>
      <c r="I2" s="3"/>
      <c r="J2" s="4"/>
      <c r="K2" s="10" t="s">
        <v>6</v>
      </c>
      <c r="L2" s="8" t="s">
        <v>7</v>
      </c>
      <c r="M2" s="3"/>
      <c r="N2" s="4"/>
      <c r="O2" s="11" t="s">
        <v>8</v>
      </c>
      <c r="P2" s="8" t="s">
        <v>9</v>
      </c>
      <c r="Q2" s="3"/>
      <c r="R2" s="3"/>
      <c r="S2" s="4"/>
      <c r="T2" s="12" t="s">
        <v>10</v>
      </c>
      <c r="U2" s="8" t="s">
        <v>11</v>
      </c>
      <c r="V2" s="3"/>
      <c r="W2" s="3"/>
      <c r="X2" s="4"/>
      <c r="AH2" s="5"/>
      <c r="AI2" s="5"/>
      <c r="AJ2" s="5"/>
    </row>
    <row r="3" ht="15.0" customHeight="1">
      <c r="AH3" s="13"/>
      <c r="AI3" s="13"/>
      <c r="AJ3" s="13"/>
    </row>
    <row r="4" ht="30.0" customHeight="1">
      <c r="B4" s="14" t="s">
        <v>12</v>
      </c>
      <c r="C4" s="15" t="s">
        <v>13</v>
      </c>
      <c r="AH4" s="15">
        <v>2026.0</v>
      </c>
      <c r="AI4" s="15"/>
      <c r="AJ4" s="15"/>
    </row>
    <row r="5" ht="15.0" customHeight="1">
      <c r="B5" s="14"/>
      <c r="C5" s="16" t="str">
        <f>TEXT(WEEKDAY(DATE(Junio!CalendarioAño,1,1),1),"ddd")</f>
        <v>jue</v>
      </c>
      <c r="D5" s="16" t="str">
        <f>TEXT(WEEKDAY(DATE(Junio!CalendarioAño,1,2),1),"ddd")</f>
        <v>vie</v>
      </c>
      <c r="E5" s="16" t="str">
        <f>TEXT(WEEKDAY(DATE(Junio!CalendarioAño,1,3),1),"ddd")</f>
        <v>sáb</v>
      </c>
      <c r="F5" s="16" t="str">
        <f>TEXT(WEEKDAY(DATE(Junio!CalendarioAño,1,4),1),"ddd")</f>
        <v>dom</v>
      </c>
      <c r="G5" s="16" t="str">
        <f>TEXT(WEEKDAY(DATE(Junio!CalendarioAño,1,5),1),"ddd")</f>
        <v>lun</v>
      </c>
      <c r="H5" s="16" t="str">
        <f>TEXT(WEEKDAY(DATE(Junio!CalendarioAño,1,6),1),"ddd")</f>
        <v>mar</v>
      </c>
      <c r="I5" s="16" t="str">
        <f>TEXT(WEEKDAY(DATE(Junio!CalendarioAño,1,7),1),"ddd")</f>
        <v>mié</v>
      </c>
      <c r="J5" s="16" t="str">
        <f>TEXT(WEEKDAY(DATE(Junio!CalendarioAño,1,8),1),"ddd")</f>
        <v>jue</v>
      </c>
      <c r="K5" s="16" t="str">
        <f>TEXT(WEEKDAY(DATE(Junio!CalendarioAño,1,9),1),"ddd")</f>
        <v>vie</v>
      </c>
      <c r="L5" s="16" t="str">
        <f>TEXT(WEEKDAY(DATE(Junio!CalendarioAño,1,10),1),"ddd")</f>
        <v>sáb</v>
      </c>
      <c r="M5" s="16" t="str">
        <f>TEXT(WEEKDAY(DATE(Junio!CalendarioAño,1,11),1),"ddd")</f>
        <v>dom</v>
      </c>
      <c r="N5" s="16" t="str">
        <f>TEXT(WEEKDAY(DATE(Junio!CalendarioAño,1,12),1),"ddd")</f>
        <v>lun</v>
      </c>
      <c r="O5" s="16" t="str">
        <f>TEXT(WEEKDAY(DATE(Junio!CalendarioAño,1,13),1),"ddd")</f>
        <v>mar</v>
      </c>
      <c r="P5" s="16" t="str">
        <f>TEXT(WEEKDAY(DATE(Junio!CalendarioAño,1,14),1),"ddd")</f>
        <v>mié</v>
      </c>
      <c r="Q5" s="16" t="str">
        <f>TEXT(WEEKDAY(DATE(Junio!CalendarioAño,1,15),1),"ddd")</f>
        <v>jue</v>
      </c>
      <c r="R5" s="16" t="str">
        <f>TEXT(WEEKDAY(DATE(Junio!CalendarioAño,1,16),1),"ddd")</f>
        <v>vie</v>
      </c>
      <c r="S5" s="16" t="str">
        <f>TEXT(WEEKDAY(DATE(Junio!CalendarioAño,1,17),1),"ddd")</f>
        <v>sáb</v>
      </c>
      <c r="T5" s="16" t="str">
        <f>TEXT(WEEKDAY(DATE(Junio!CalendarioAño,1,18),1),"ddd")</f>
        <v>dom</v>
      </c>
      <c r="U5" s="16" t="str">
        <f>TEXT(WEEKDAY(DATE(Junio!CalendarioAño,1,19),1),"ddd")</f>
        <v>lun</v>
      </c>
      <c r="V5" s="16" t="str">
        <f>TEXT(WEEKDAY(DATE(Junio!CalendarioAño,1,20),1),"ddd")</f>
        <v>mar</v>
      </c>
      <c r="W5" s="16" t="str">
        <f>TEXT(WEEKDAY(DATE(Junio!CalendarioAño,1,21),1),"ddd")</f>
        <v>mié</v>
      </c>
      <c r="X5" s="16" t="str">
        <f>TEXT(WEEKDAY(DATE(Junio!CalendarioAño,1,22),1),"ddd")</f>
        <v>jue</v>
      </c>
      <c r="Y5" s="16" t="str">
        <f>TEXT(WEEKDAY(DATE(Junio!CalendarioAño,1,23),1),"ddd")</f>
        <v>vie</v>
      </c>
      <c r="Z5" s="16" t="str">
        <f>TEXT(WEEKDAY(DATE(Junio!CalendarioAño,1,24),1),"ddd")</f>
        <v>sáb</v>
      </c>
      <c r="AA5" s="16" t="str">
        <f>TEXT(WEEKDAY(DATE(Junio!CalendarioAño,1,25),1),"ddd")</f>
        <v>dom</v>
      </c>
      <c r="AB5" s="16" t="str">
        <f>TEXT(WEEKDAY(DATE(Junio!CalendarioAño,1,26),1),"ddd")</f>
        <v>lun</v>
      </c>
      <c r="AC5" s="16" t="str">
        <f>TEXT(WEEKDAY(DATE(Junio!CalendarioAño,1,27),1),"ddd")</f>
        <v>mar</v>
      </c>
      <c r="AD5" s="16" t="str">
        <f>TEXT(WEEKDAY(DATE(Junio!CalendarioAño,1,28),1),"ddd")</f>
        <v>mié</v>
      </c>
      <c r="AE5" s="16" t="str">
        <f>TEXT(WEEKDAY(DATE(Junio!CalendarioAño,1,29),1),"ddd")</f>
        <v>jue</v>
      </c>
      <c r="AF5" s="16" t="str">
        <f>TEXT(WEEKDAY(DATE(Junio!CalendarioAño,1,30),1),"ddd")</f>
        <v>vie</v>
      </c>
      <c r="AG5" s="16" t="str">
        <f>TEXT(WEEKDAY(DATE(Junio!CalendarioAño,1,31),1),"ddd")</f>
        <v>sáb</v>
      </c>
      <c r="AH5" s="14"/>
      <c r="AI5" s="14"/>
      <c r="AJ5" s="14"/>
    </row>
    <row r="6" ht="15.0" customHeight="1">
      <c r="A6" s="17"/>
      <c r="B6" s="18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  <c r="I6" s="19" t="s">
        <v>21</v>
      </c>
      <c r="J6" s="19" t="s">
        <v>22</v>
      </c>
      <c r="K6" s="19" t="s">
        <v>23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19" t="s">
        <v>36</v>
      </c>
      <c r="Y6" s="19" t="s">
        <v>37</v>
      </c>
      <c r="Z6" s="19" t="s">
        <v>38</v>
      </c>
      <c r="AA6" s="19" t="s">
        <v>39</v>
      </c>
      <c r="AB6" s="19" t="s">
        <v>40</v>
      </c>
      <c r="AC6" s="19" t="s">
        <v>41</v>
      </c>
      <c r="AD6" s="19" t="s">
        <v>42</v>
      </c>
      <c r="AE6" s="19" t="s">
        <v>43</v>
      </c>
      <c r="AF6" s="19" t="s">
        <v>44</v>
      </c>
      <c r="AG6" s="19" t="s">
        <v>45</v>
      </c>
      <c r="AH6" s="19" t="s">
        <v>46</v>
      </c>
      <c r="AI6" s="19"/>
      <c r="AJ6" s="19"/>
    </row>
    <row r="7" ht="30.0" customHeight="1">
      <c r="B7" s="20"/>
      <c r="C7" s="21"/>
      <c r="D7" s="21"/>
      <c r="E7" s="21"/>
      <c r="F7" s="22"/>
      <c r="G7" s="22"/>
      <c r="H7" s="21"/>
      <c r="I7" s="21"/>
      <c r="J7" s="21"/>
      <c r="K7" s="22"/>
      <c r="L7" s="21"/>
      <c r="M7" s="21"/>
      <c r="N7" s="22"/>
      <c r="O7" s="21"/>
      <c r="P7" s="21"/>
      <c r="Q7" s="21"/>
      <c r="R7" s="22"/>
      <c r="S7" s="21"/>
      <c r="T7" s="22"/>
      <c r="U7" s="22"/>
      <c r="V7" s="21"/>
      <c r="W7" s="21"/>
      <c r="X7" s="21"/>
      <c r="Y7" s="22"/>
      <c r="Z7" s="21"/>
      <c r="AA7" s="22"/>
      <c r="AB7" s="22"/>
      <c r="AC7" s="21"/>
      <c r="AD7" s="21"/>
      <c r="AE7" s="21"/>
      <c r="AF7" s="22"/>
      <c r="AG7" s="21"/>
      <c r="AH7" s="23"/>
      <c r="AI7" s="23"/>
      <c r="AJ7" s="23"/>
    </row>
    <row r="8" ht="30.0" customHeight="1">
      <c r="B8" s="24" t="str">
        <f>Junio!MonthName&amp;" Total"</f>
        <v>Enero Total</v>
      </c>
      <c r="C8" s="25">
        <f>SUBTOTAL(103,Junio!$C$7)</f>
        <v>0</v>
      </c>
      <c r="D8" s="25">
        <f>SUBTOTAL(103,Junio!$D$7)</f>
        <v>0</v>
      </c>
      <c r="E8" s="25">
        <f>SUBTOTAL(103,Junio!$E$7)</f>
        <v>0</v>
      </c>
      <c r="F8" s="25">
        <f>SUBTOTAL(103,Junio!$F$7)</f>
        <v>0</v>
      </c>
      <c r="G8" s="25">
        <f>SUBTOTAL(103,Junio!$G$7)</f>
        <v>0</v>
      </c>
      <c r="H8" s="25">
        <f>SUBTOTAL(103,Junio!$H$7)</f>
        <v>0</v>
      </c>
      <c r="I8" s="25">
        <f>SUBTOTAL(103,Junio!$I$7)</f>
        <v>0</v>
      </c>
      <c r="J8" s="25">
        <f>SUBTOTAL(103,Junio!$J$7)</f>
        <v>0</v>
      </c>
      <c r="K8" s="25">
        <f>SUBTOTAL(103,Junio!$K$7)</f>
        <v>0</v>
      </c>
      <c r="L8" s="25">
        <f>SUBTOTAL(103,Junio!$L$7)</f>
        <v>0</v>
      </c>
      <c r="M8" s="25">
        <f>SUBTOTAL(103,Junio!$M$7)</f>
        <v>0</v>
      </c>
      <c r="N8" s="25">
        <f>SUBTOTAL(103,Junio!$N$7)</f>
        <v>0</v>
      </c>
      <c r="O8" s="25">
        <f>SUBTOTAL(103,Junio!$O$7)</f>
        <v>0</v>
      </c>
      <c r="P8" s="25">
        <f>SUBTOTAL(103,Junio!$P$7)</f>
        <v>0</v>
      </c>
      <c r="Q8" s="25">
        <f>SUBTOTAL(103,Junio!$Q$7)</f>
        <v>0</v>
      </c>
      <c r="R8" s="25">
        <f>SUBTOTAL(103,Junio!$R$7)</f>
        <v>0</v>
      </c>
      <c r="S8" s="25">
        <f>SUBTOTAL(103,Junio!$S$7)</f>
        <v>0</v>
      </c>
      <c r="T8" s="25">
        <f>SUBTOTAL(103,Junio!$T$7)</f>
        <v>0</v>
      </c>
      <c r="U8" s="25">
        <f>SUBTOTAL(103,Junio!$U$7)</f>
        <v>0</v>
      </c>
      <c r="V8" s="25">
        <f>SUBTOTAL(103,Junio!$V$7)</f>
        <v>0</v>
      </c>
      <c r="W8" s="25">
        <f>SUBTOTAL(103,Junio!$W$7)</f>
        <v>0</v>
      </c>
      <c r="X8" s="25">
        <f>SUBTOTAL(103,Junio!$X$7)</f>
        <v>0</v>
      </c>
      <c r="Y8" s="25">
        <f>SUBTOTAL(103,Junio!$Y$7)</f>
        <v>0</v>
      </c>
      <c r="Z8" s="25">
        <f>SUBTOTAL(103,Junio!$Z$7)</f>
        <v>0</v>
      </c>
      <c r="AA8" s="25">
        <f>SUBTOTAL(103,Junio!$AA$7)</f>
        <v>0</v>
      </c>
      <c r="AB8" s="25">
        <f>SUBTOTAL(103,Junio!$AB$7)</f>
        <v>0</v>
      </c>
      <c r="AC8" s="25">
        <f>SUBTOTAL(103,Junio!$AC$7)</f>
        <v>0</v>
      </c>
      <c r="AD8" s="25">
        <f>SUBTOTAL(103,Junio!$AD$7)</f>
        <v>0</v>
      </c>
      <c r="AE8" s="25">
        <f>SUBTOTAL(103,Junio!$AE$7)</f>
        <v>0</v>
      </c>
      <c r="AF8" s="25">
        <f>SUBTOTAL(103,Junio!$AF$7)</f>
        <v>0</v>
      </c>
      <c r="AG8" s="25">
        <f>SUBTOTAL(103,Junio!$AG$7)</f>
        <v>0</v>
      </c>
      <c r="AH8" s="25"/>
      <c r="AI8" s="25"/>
      <c r="AJ8" s="25"/>
    </row>
    <row r="9" ht="30.0" customHeight="1">
      <c r="AH9" s="5"/>
      <c r="AI9" s="5"/>
      <c r="AJ9" s="5"/>
    </row>
    <row r="10" ht="30.0" customHeight="1">
      <c r="B10" s="26" t="s">
        <v>12</v>
      </c>
      <c r="C10" s="27" t="s">
        <v>47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9">
        <v>2026.0</v>
      </c>
      <c r="AI10" s="15"/>
      <c r="AJ10" s="15"/>
    </row>
    <row r="11" ht="30.0" customHeight="1">
      <c r="B11" s="30"/>
      <c r="C11" s="16" t="str">
        <f>TEXT(WEEKDAY(DATE(Junio!CalendarioAño,1,1),1),"ddd")</f>
        <v>jue</v>
      </c>
      <c r="D11" s="16" t="str">
        <f>TEXT(WEEKDAY(DATE(Junio!CalendarioAño,1,2),1),"ddd")</f>
        <v>vie</v>
      </c>
      <c r="E11" s="16" t="str">
        <f>TEXT(WEEKDAY(DATE(Junio!CalendarioAño,1,3),1),"ddd")</f>
        <v>sáb</v>
      </c>
      <c r="F11" s="16" t="str">
        <f>TEXT(WEEKDAY(DATE(Junio!CalendarioAño,1,4),1),"ddd")</f>
        <v>dom</v>
      </c>
      <c r="G11" s="16" t="str">
        <f>TEXT(WEEKDAY(DATE(Junio!CalendarioAño,1,5),1),"ddd")</f>
        <v>lun</v>
      </c>
      <c r="H11" s="16" t="str">
        <f>TEXT(WEEKDAY(DATE(Junio!CalendarioAño,1,6),1),"ddd")</f>
        <v>mar</v>
      </c>
      <c r="I11" s="16" t="str">
        <f>TEXT(WEEKDAY(DATE(Junio!CalendarioAño,1,7),1),"ddd")</f>
        <v>mié</v>
      </c>
      <c r="J11" s="16" t="str">
        <f>TEXT(WEEKDAY(DATE(Junio!CalendarioAño,1,8),1),"ddd")</f>
        <v>jue</v>
      </c>
      <c r="K11" s="16" t="str">
        <f>TEXT(WEEKDAY(DATE(Junio!CalendarioAño,1,9),1),"ddd")</f>
        <v>vie</v>
      </c>
      <c r="L11" s="16" t="str">
        <f>TEXT(WEEKDAY(DATE(Junio!CalendarioAño,1,10),1),"ddd")</f>
        <v>sáb</v>
      </c>
      <c r="M11" s="16" t="str">
        <f>TEXT(WEEKDAY(DATE(Junio!CalendarioAño,1,11),1),"ddd")</f>
        <v>dom</v>
      </c>
      <c r="N11" s="16" t="str">
        <f>TEXT(WEEKDAY(DATE(Junio!CalendarioAño,1,12),1),"ddd")</f>
        <v>lun</v>
      </c>
      <c r="O11" s="16" t="str">
        <f>TEXT(WEEKDAY(DATE(Junio!CalendarioAño,1,13),1),"ddd")</f>
        <v>mar</v>
      </c>
      <c r="P11" s="16" t="str">
        <f>TEXT(WEEKDAY(DATE(Junio!CalendarioAño,1,14),1),"ddd")</f>
        <v>mié</v>
      </c>
      <c r="Q11" s="16" t="str">
        <f>TEXT(WEEKDAY(DATE(Junio!CalendarioAño,1,15),1),"ddd")</f>
        <v>jue</v>
      </c>
      <c r="R11" s="16" t="str">
        <f>TEXT(WEEKDAY(DATE(Junio!CalendarioAño,1,16),1),"ddd")</f>
        <v>vie</v>
      </c>
      <c r="S11" s="16" t="str">
        <f>TEXT(WEEKDAY(DATE(Junio!CalendarioAño,1,17),1),"ddd")</f>
        <v>sáb</v>
      </c>
      <c r="T11" s="16" t="str">
        <f>TEXT(WEEKDAY(DATE(Junio!CalendarioAño,1,18),1),"ddd")</f>
        <v>dom</v>
      </c>
      <c r="U11" s="16" t="str">
        <f>TEXT(WEEKDAY(DATE(Junio!CalendarioAño,1,19),1),"ddd")</f>
        <v>lun</v>
      </c>
      <c r="V11" s="16" t="str">
        <f>TEXT(WEEKDAY(DATE(Junio!CalendarioAño,1,20),1),"ddd")</f>
        <v>mar</v>
      </c>
      <c r="W11" s="16" t="str">
        <f>TEXT(WEEKDAY(DATE(Junio!CalendarioAño,1,21),1),"ddd")</f>
        <v>mié</v>
      </c>
      <c r="X11" s="16" t="str">
        <f>TEXT(WEEKDAY(DATE(Junio!CalendarioAño,1,22),1),"ddd")</f>
        <v>jue</v>
      </c>
      <c r="Y11" s="16" t="str">
        <f>TEXT(WEEKDAY(DATE(Junio!CalendarioAño,1,23),1),"ddd")</f>
        <v>vie</v>
      </c>
      <c r="Z11" s="16" t="str">
        <f>TEXT(WEEKDAY(DATE(Junio!CalendarioAño,1,24),1),"ddd")</f>
        <v>sáb</v>
      </c>
      <c r="AA11" s="16" t="str">
        <f>TEXT(WEEKDAY(DATE(Junio!CalendarioAño,1,25),1),"ddd")</f>
        <v>dom</v>
      </c>
      <c r="AB11" s="16" t="str">
        <f>TEXT(WEEKDAY(DATE(Junio!CalendarioAño,1,26),1),"ddd")</f>
        <v>lun</v>
      </c>
      <c r="AC11" s="16" t="str">
        <f>TEXT(WEEKDAY(DATE(Junio!CalendarioAño,1,27),1),"ddd")</f>
        <v>mar</v>
      </c>
      <c r="AD11" s="16" t="str">
        <f>TEXT(WEEKDAY(DATE(Junio!CalendarioAño,1,28),1),"ddd")</f>
        <v>mié</v>
      </c>
      <c r="AE11" s="16" t="str">
        <f>TEXT(WEEKDAY(DATE(Junio!CalendarioAño,1,29),1),"ddd")</f>
        <v>jue</v>
      </c>
      <c r="AF11" s="16" t="str">
        <f>TEXT(WEEKDAY(DATE(Junio!CalendarioAño,1,30),1),"ddd")</f>
        <v>vie</v>
      </c>
      <c r="AG11" s="16" t="str">
        <f>TEXT(WEEKDAY(DATE(Junio!CalendarioAño,1,31),1),"ddd")</f>
        <v>sáb</v>
      </c>
      <c r="AH11" s="30"/>
      <c r="AI11" s="14"/>
      <c r="AJ11" s="14"/>
    </row>
    <row r="12" ht="21.75" customHeight="1">
      <c r="A12" s="17"/>
      <c r="B12" s="31" t="s">
        <v>14</v>
      </c>
      <c r="C12" s="19" t="s">
        <v>15</v>
      </c>
      <c r="D12" s="19" t="s">
        <v>16</v>
      </c>
      <c r="E12" s="19" t="s">
        <v>17</v>
      </c>
      <c r="F12" s="19" t="s">
        <v>18</v>
      </c>
      <c r="G12" s="19" t="s">
        <v>19</v>
      </c>
      <c r="H12" s="19" t="s">
        <v>20</v>
      </c>
      <c r="I12" s="19" t="s">
        <v>21</v>
      </c>
      <c r="J12" s="19" t="s">
        <v>22</v>
      </c>
      <c r="K12" s="19" t="s">
        <v>23</v>
      </c>
      <c r="L12" s="19" t="s">
        <v>24</v>
      </c>
      <c r="M12" s="19" t="s">
        <v>25</v>
      </c>
      <c r="N12" s="19" t="s">
        <v>26</v>
      </c>
      <c r="O12" s="19" t="s">
        <v>27</v>
      </c>
      <c r="P12" s="19" t="s">
        <v>28</v>
      </c>
      <c r="Q12" s="19" t="s">
        <v>29</v>
      </c>
      <c r="R12" s="19" t="s">
        <v>30</v>
      </c>
      <c r="S12" s="19" t="s">
        <v>31</v>
      </c>
      <c r="T12" s="19" t="s">
        <v>32</v>
      </c>
      <c r="U12" s="19" t="s">
        <v>33</v>
      </c>
      <c r="V12" s="19" t="s">
        <v>34</v>
      </c>
      <c r="W12" s="19" t="s">
        <v>35</v>
      </c>
      <c r="X12" s="19" t="s">
        <v>36</v>
      </c>
      <c r="Y12" s="19" t="s">
        <v>37</v>
      </c>
      <c r="Z12" s="19" t="s">
        <v>38</v>
      </c>
      <c r="AA12" s="19" t="s">
        <v>39</v>
      </c>
      <c r="AB12" s="19" t="s">
        <v>40</v>
      </c>
      <c r="AC12" s="19" t="s">
        <v>41</v>
      </c>
      <c r="AD12" s="19" t="s">
        <v>42</v>
      </c>
      <c r="AE12" s="19" t="s">
        <v>43</v>
      </c>
      <c r="AF12" s="19" t="s">
        <v>44</v>
      </c>
      <c r="AG12" s="19" t="s">
        <v>45</v>
      </c>
      <c r="AH12" s="19" t="s">
        <v>46</v>
      </c>
      <c r="AI12" s="19"/>
      <c r="AJ12" s="19"/>
    </row>
    <row r="13" ht="30.0" customHeight="1">
      <c r="B13" s="32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23"/>
      <c r="AI13" s="23"/>
      <c r="AJ13" s="23"/>
    </row>
    <row r="14" ht="30.0" customHeight="1">
      <c r="B14" s="32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23"/>
      <c r="AI14" s="23"/>
      <c r="AJ14" s="23"/>
    </row>
    <row r="15" ht="30.0" customHeight="1">
      <c r="B15" s="32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23"/>
      <c r="AI15" s="23"/>
      <c r="AJ15" s="23"/>
    </row>
    <row r="16" ht="30.0" customHeight="1">
      <c r="B16" s="32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23"/>
      <c r="AI16" s="23"/>
      <c r="AJ16" s="23"/>
    </row>
    <row r="17" ht="30.0" customHeight="1">
      <c r="B17" s="32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23"/>
      <c r="AI17" s="23"/>
      <c r="AJ17" s="23"/>
    </row>
    <row r="18" ht="30.0" customHeight="1">
      <c r="B18" s="32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23"/>
      <c r="AI18" s="23"/>
      <c r="AJ18" s="23"/>
    </row>
    <row r="19" ht="30.0" customHeight="1">
      <c r="B19" s="32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23"/>
      <c r="AI19" s="23"/>
      <c r="AJ19" s="23"/>
    </row>
    <row r="20" ht="30.0" customHeight="1">
      <c r="B20" s="32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23"/>
      <c r="AI20" s="23"/>
      <c r="AJ20" s="23"/>
    </row>
    <row r="21" ht="30.0" customHeight="1">
      <c r="B21" s="32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23"/>
      <c r="AI21" s="23"/>
      <c r="AJ21" s="23"/>
    </row>
    <row r="22" ht="30.0" customHeight="1">
      <c r="B22" s="32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23"/>
      <c r="AI22" s="23"/>
      <c r="AJ22" s="23"/>
    </row>
    <row r="23" ht="30.0" customHeight="1">
      <c r="B23" s="32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23"/>
      <c r="AI23" s="23"/>
      <c r="AJ23" s="23"/>
    </row>
    <row r="24" ht="30.0" customHeight="1">
      <c r="B24" s="32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23"/>
      <c r="AI24" s="23"/>
      <c r="AJ24" s="23"/>
    </row>
    <row r="25" ht="30.0" customHeight="1">
      <c r="B25" s="32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23"/>
      <c r="AI25" s="23"/>
      <c r="AJ25" s="23"/>
    </row>
    <row r="26" ht="30.0" customHeight="1">
      <c r="B26" s="32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23"/>
      <c r="AI26" s="23"/>
      <c r="AJ26" s="23"/>
    </row>
    <row r="27" ht="30.0" customHeight="1">
      <c r="B27" s="32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23"/>
      <c r="AI27" s="23"/>
      <c r="AJ27" s="23"/>
    </row>
    <row r="28" ht="30.0" customHeight="1">
      <c r="B28" s="32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23"/>
      <c r="AI28" s="23"/>
      <c r="AJ28" s="23"/>
    </row>
    <row r="29" ht="30.0" customHeight="1">
      <c r="B29" s="32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23"/>
      <c r="AI29" s="23"/>
      <c r="AJ29" s="23"/>
    </row>
    <row r="30" ht="30.0" customHeight="1">
      <c r="B30" s="32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23"/>
      <c r="AI30" s="23"/>
      <c r="AJ30" s="23"/>
    </row>
    <row r="31" ht="30.0" customHeight="1">
      <c r="B31" s="32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23"/>
      <c r="AI31" s="23"/>
      <c r="AJ31" s="23"/>
    </row>
    <row r="32" ht="30.0" customHeight="1">
      <c r="B32" s="32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23"/>
      <c r="AI32" s="23"/>
      <c r="AJ32" s="23"/>
    </row>
    <row r="33" ht="30.0" customHeight="1">
      <c r="B33" s="32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2"/>
      <c r="O33" s="21"/>
      <c r="P33" s="21"/>
      <c r="Q33" s="22"/>
      <c r="R33" s="21"/>
      <c r="S33" s="21"/>
      <c r="T33" s="21"/>
      <c r="U33" s="21"/>
      <c r="V33" s="21"/>
      <c r="W33" s="21"/>
      <c r="X33" s="22"/>
      <c r="Y33" s="22"/>
      <c r="Z33" s="21"/>
      <c r="AA33" s="21"/>
      <c r="AB33" s="21"/>
      <c r="AC33" s="21"/>
      <c r="AD33" s="33"/>
      <c r="AE33" s="22"/>
      <c r="AF33" s="21"/>
      <c r="AG33" s="22"/>
      <c r="AH33" s="23"/>
      <c r="AI33" s="23"/>
      <c r="AJ33" s="23"/>
    </row>
    <row r="34" ht="30.0" customHeight="1">
      <c r="B34" s="24" t="str">
        <f>Junio!MonthName&amp;" Total"</f>
        <v>Enero Total</v>
      </c>
      <c r="C34" s="25">
        <f>SUBTOTAL(103,Junio!$C$7)</f>
        <v>0</v>
      </c>
      <c r="D34" s="25">
        <f>SUBTOTAL(103,Junio!$D$7)</f>
        <v>0</v>
      </c>
      <c r="E34" s="25">
        <f>SUBTOTAL(103,Junio!$E$7)</f>
        <v>0</v>
      </c>
      <c r="F34" s="25"/>
      <c r="G34" s="25">
        <f>SUBTOTAL(103,Junio!$G$7)</f>
        <v>0</v>
      </c>
      <c r="H34" s="25">
        <f>SUBTOTAL(103,Junio!$H$7)</f>
        <v>0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ht="30.0" customHeight="1">
      <c r="AH35" s="5"/>
      <c r="AI35" s="5"/>
      <c r="AJ35" s="5"/>
    </row>
    <row r="36" ht="30.0" customHeight="1">
      <c r="AH36" s="5"/>
      <c r="AI36" s="5"/>
      <c r="AJ36" s="5"/>
    </row>
    <row r="37" ht="30.0" customHeight="1">
      <c r="B37" s="30" t="s">
        <v>12</v>
      </c>
      <c r="C37" s="27" t="s">
        <v>67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39">
        <v>2026.0</v>
      </c>
      <c r="AI37" s="15"/>
      <c r="AJ37" s="15"/>
    </row>
    <row r="38" ht="30.0" customHeight="1">
      <c r="B38" s="30"/>
      <c r="C38" s="16" t="str">
        <f>TEXT(WEEKDAY(DATE(Junio!CalendarioAño,1,1),1),"ddd")</f>
        <v>jue</v>
      </c>
      <c r="D38" s="16" t="str">
        <f>TEXT(WEEKDAY(DATE(Junio!CalendarioAño,1,2),1),"ddd")</f>
        <v>vie</v>
      </c>
      <c r="E38" s="16" t="str">
        <f>TEXT(WEEKDAY(DATE(Junio!CalendarioAño,1,3),1),"ddd")</f>
        <v>sáb</v>
      </c>
      <c r="F38" s="16" t="str">
        <f>TEXT(WEEKDAY(DATE(Junio!CalendarioAño,1,4),1),"ddd")</f>
        <v>dom</v>
      </c>
      <c r="G38" s="16" t="str">
        <f>TEXT(WEEKDAY(DATE(Junio!CalendarioAño,1,5),1),"ddd")</f>
        <v>lun</v>
      </c>
      <c r="H38" s="16" t="str">
        <f>TEXT(WEEKDAY(DATE(Junio!CalendarioAño,1,6),1),"ddd")</f>
        <v>mar</v>
      </c>
      <c r="I38" s="16" t="str">
        <f>TEXT(WEEKDAY(DATE(Junio!CalendarioAño,1,7),1),"ddd")</f>
        <v>mié</v>
      </c>
      <c r="J38" s="16" t="str">
        <f>TEXT(WEEKDAY(DATE(Junio!CalendarioAño,1,8),1),"ddd")</f>
        <v>jue</v>
      </c>
      <c r="K38" s="16" t="str">
        <f>TEXT(WEEKDAY(DATE(Junio!CalendarioAño,1,9),1),"ddd")</f>
        <v>vie</v>
      </c>
      <c r="L38" s="16" t="str">
        <f>TEXT(WEEKDAY(DATE(Junio!CalendarioAño,1,10),1),"ddd")</f>
        <v>sáb</v>
      </c>
      <c r="M38" s="16" t="str">
        <f>TEXT(WEEKDAY(DATE(Junio!CalendarioAño,1,11),1),"ddd")</f>
        <v>dom</v>
      </c>
      <c r="N38" s="16" t="str">
        <f>TEXT(WEEKDAY(DATE(Junio!CalendarioAño,1,12),1),"ddd")</f>
        <v>lun</v>
      </c>
      <c r="O38" s="16" t="str">
        <f>TEXT(WEEKDAY(DATE(Junio!CalendarioAño,1,13),1),"ddd")</f>
        <v>mar</v>
      </c>
      <c r="P38" s="16" t="str">
        <f>TEXT(WEEKDAY(DATE(Junio!CalendarioAño,1,14),1),"ddd")</f>
        <v>mié</v>
      </c>
      <c r="Q38" s="16" t="str">
        <f>TEXT(WEEKDAY(DATE(Junio!CalendarioAño,1,15),1),"ddd")</f>
        <v>jue</v>
      </c>
      <c r="R38" s="16" t="str">
        <f>TEXT(WEEKDAY(DATE(Junio!CalendarioAño,1,16),1),"ddd")</f>
        <v>vie</v>
      </c>
      <c r="S38" s="16" t="str">
        <f>TEXT(WEEKDAY(DATE(Junio!CalendarioAño,1,17),1),"ddd")</f>
        <v>sáb</v>
      </c>
      <c r="T38" s="16" t="str">
        <f>TEXT(WEEKDAY(DATE(Junio!CalendarioAño,1,18),1),"ddd")</f>
        <v>dom</v>
      </c>
      <c r="U38" s="16" t="str">
        <f>TEXT(WEEKDAY(DATE(Junio!CalendarioAño,1,19),1),"ddd")</f>
        <v>lun</v>
      </c>
      <c r="V38" s="16" t="str">
        <f>TEXT(WEEKDAY(DATE(Junio!CalendarioAño,1,20),1),"ddd")</f>
        <v>mar</v>
      </c>
      <c r="W38" s="16" t="str">
        <f>TEXT(WEEKDAY(DATE(Junio!CalendarioAño,1,21),1),"ddd")</f>
        <v>mié</v>
      </c>
      <c r="X38" s="16" t="str">
        <f>TEXT(WEEKDAY(DATE(Junio!CalendarioAño,1,22),1),"ddd")</f>
        <v>jue</v>
      </c>
      <c r="Y38" s="16" t="str">
        <f>TEXT(WEEKDAY(DATE(Junio!CalendarioAño,1,23),1),"ddd")</f>
        <v>vie</v>
      </c>
      <c r="Z38" s="16" t="str">
        <f>TEXT(WEEKDAY(DATE(Junio!CalendarioAño,1,24),1),"ddd")</f>
        <v>sáb</v>
      </c>
      <c r="AA38" s="16" t="str">
        <f>TEXT(WEEKDAY(DATE(Junio!CalendarioAño,1,25),1),"ddd")</f>
        <v>dom</v>
      </c>
      <c r="AB38" s="16" t="str">
        <f>TEXT(WEEKDAY(DATE(Junio!CalendarioAño,1,26),1),"ddd")</f>
        <v>lun</v>
      </c>
      <c r="AC38" s="16" t="str">
        <f>TEXT(WEEKDAY(DATE(Junio!CalendarioAño,1,27),1),"ddd")</f>
        <v>mar</v>
      </c>
      <c r="AD38" s="16" t="str">
        <f>TEXT(WEEKDAY(DATE(Junio!CalendarioAño,1,28),1),"ddd")</f>
        <v>mié</v>
      </c>
      <c r="AE38" s="16" t="str">
        <f>TEXT(WEEKDAY(DATE(Junio!CalendarioAño,1,29),1),"ddd")</f>
        <v>jue</v>
      </c>
      <c r="AF38" s="16" t="str">
        <f>TEXT(WEEKDAY(DATE(Junio!CalendarioAño,1,30),1),"ddd")</f>
        <v>vie</v>
      </c>
      <c r="AG38" s="16" t="str">
        <f>TEXT(WEEKDAY(DATE(Junio!CalendarioAño,1,31),1),"ddd")</f>
        <v>sáb</v>
      </c>
      <c r="AH38" s="30"/>
      <c r="AI38" s="14"/>
      <c r="AJ38" s="14"/>
    </row>
    <row r="39" ht="30.0" customHeight="1">
      <c r="A39" s="17"/>
      <c r="B39" s="31" t="s">
        <v>14</v>
      </c>
      <c r="C39" s="19" t="s">
        <v>15</v>
      </c>
      <c r="D39" s="19" t="s">
        <v>16</v>
      </c>
      <c r="E39" s="19" t="s">
        <v>17</v>
      </c>
      <c r="F39" s="19" t="s">
        <v>18</v>
      </c>
      <c r="G39" s="19" t="s">
        <v>19</v>
      </c>
      <c r="H39" s="19" t="s">
        <v>20</v>
      </c>
      <c r="I39" s="19" t="s">
        <v>21</v>
      </c>
      <c r="J39" s="19" t="s">
        <v>22</v>
      </c>
      <c r="K39" s="19" t="s">
        <v>23</v>
      </c>
      <c r="L39" s="19" t="s">
        <v>24</v>
      </c>
      <c r="M39" s="19" t="s">
        <v>25</v>
      </c>
      <c r="N39" s="19" t="s">
        <v>26</v>
      </c>
      <c r="O39" s="19" t="s">
        <v>27</v>
      </c>
      <c r="P39" s="19" t="s">
        <v>28</v>
      </c>
      <c r="Q39" s="19" t="s">
        <v>29</v>
      </c>
      <c r="R39" s="19" t="s">
        <v>30</v>
      </c>
      <c r="S39" s="19" t="s">
        <v>31</v>
      </c>
      <c r="T39" s="19" t="s">
        <v>32</v>
      </c>
      <c r="U39" s="19" t="s">
        <v>33</v>
      </c>
      <c r="V39" s="19" t="s">
        <v>34</v>
      </c>
      <c r="W39" s="19" t="s">
        <v>35</v>
      </c>
      <c r="X39" s="19" t="s">
        <v>36</v>
      </c>
      <c r="Y39" s="19" t="s">
        <v>37</v>
      </c>
      <c r="Z39" s="19" t="s">
        <v>38</v>
      </c>
      <c r="AA39" s="19" t="s">
        <v>39</v>
      </c>
      <c r="AB39" s="19" t="s">
        <v>40</v>
      </c>
      <c r="AC39" s="19" t="s">
        <v>41</v>
      </c>
      <c r="AD39" s="19" t="s">
        <v>42</v>
      </c>
      <c r="AE39" s="19" t="s">
        <v>43</v>
      </c>
      <c r="AF39" s="19" t="s">
        <v>44</v>
      </c>
      <c r="AG39" s="19" t="s">
        <v>45</v>
      </c>
      <c r="AH39" s="19" t="s">
        <v>46</v>
      </c>
      <c r="AI39" s="19"/>
      <c r="AJ39" s="19"/>
    </row>
    <row r="40" ht="30.0" customHeight="1">
      <c r="B40" s="40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23"/>
      <c r="AI40" s="23"/>
      <c r="AJ40" s="23"/>
    </row>
    <row r="41" ht="30.0" customHeight="1">
      <c r="B41" s="4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23"/>
      <c r="AI41" s="23"/>
      <c r="AJ41" s="23"/>
    </row>
    <row r="42" ht="30.0" customHeight="1">
      <c r="B42" s="32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21"/>
      <c r="AI42" s="21"/>
      <c r="AJ42" s="33"/>
    </row>
    <row r="43" ht="30.0" customHeight="1">
      <c r="B43" s="32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23"/>
      <c r="AI43" s="23"/>
      <c r="AJ43" s="23"/>
    </row>
    <row r="44" ht="30.0" customHeight="1">
      <c r="B44" s="32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121"/>
      <c r="AI44" s="23"/>
      <c r="AJ44" s="23"/>
    </row>
    <row r="45" ht="30.0" customHeight="1">
      <c r="B45" s="32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23"/>
      <c r="AI45" s="23"/>
      <c r="AJ45" s="23"/>
    </row>
    <row r="46" ht="30.0" customHeight="1">
      <c r="B46" s="32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23"/>
      <c r="AI46" s="23"/>
      <c r="AJ46" s="23"/>
    </row>
    <row r="47" ht="30.0" customHeight="1">
      <c r="B47" s="32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23"/>
      <c r="AI47" s="23"/>
      <c r="AJ47" s="23"/>
    </row>
    <row r="48" ht="30.0" customHeight="1">
      <c r="B48" s="32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23"/>
      <c r="AI48" s="23"/>
      <c r="AJ48" s="23"/>
    </row>
    <row r="49" ht="30.0" customHeight="1">
      <c r="B49" s="40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23"/>
      <c r="AI49" s="23"/>
      <c r="AJ49" s="23"/>
    </row>
    <row r="50" ht="30.0" customHeight="1">
      <c r="B50" s="32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23"/>
      <c r="AI50" s="23"/>
      <c r="AJ50" s="23"/>
    </row>
    <row r="51" ht="30.0" customHeight="1">
      <c r="B51" s="32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23"/>
      <c r="AI51" s="23"/>
      <c r="AJ51" s="23"/>
    </row>
    <row r="52" ht="30.0" customHeight="1">
      <c r="B52" s="32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23"/>
      <c r="AI52" s="23"/>
      <c r="AJ52" s="23"/>
    </row>
    <row r="53" ht="30.0" customHeight="1">
      <c r="B53" s="32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23"/>
      <c r="AI53" s="23"/>
      <c r="AJ53" s="23"/>
    </row>
    <row r="54" ht="30.0" customHeight="1">
      <c r="B54" s="32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23"/>
      <c r="AI54" s="23"/>
      <c r="AJ54" s="23"/>
    </row>
    <row r="55" ht="30.0" customHeight="1">
      <c r="B55" s="32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23"/>
      <c r="AI55" s="23"/>
      <c r="AJ55" s="23"/>
    </row>
    <row r="56" ht="30.0" customHeight="1">
      <c r="B56" s="32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25"/>
      <c r="AI56" s="25"/>
      <c r="AJ56" s="25"/>
    </row>
    <row r="57" ht="30.0" customHeight="1">
      <c r="B57" s="32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25"/>
      <c r="AI57" s="25"/>
      <c r="AJ57" s="25"/>
    </row>
    <row r="58" ht="30.0" customHeight="1">
      <c r="B58" s="32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25"/>
      <c r="AI58" s="25"/>
      <c r="AJ58" s="25"/>
    </row>
    <row r="59" ht="30.0" customHeight="1">
      <c r="B59" s="32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25"/>
      <c r="AI59" s="25"/>
      <c r="AJ59" s="25"/>
    </row>
    <row r="60" ht="30.0" customHeight="1">
      <c r="B60" s="24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ht="30.0" customHeight="1">
      <c r="B61" s="24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ht="30.0" customHeight="1">
      <c r="B62" s="24" t="str">
        <f>Junio!MonthName&amp;" Total"</f>
        <v>Enero Total</v>
      </c>
      <c r="C62" s="25">
        <f>SUBTOTAL(103,Junio!$C$7)</f>
        <v>0</v>
      </c>
      <c r="D62" s="25">
        <f>SUBTOTAL(103,Junio!$D$7)</f>
        <v>0</v>
      </c>
      <c r="E62" s="25">
        <f>SUBTOTAL(103,Junio!$E$7)</f>
        <v>0</v>
      </c>
      <c r="F62" s="25"/>
      <c r="G62" s="25">
        <f>SUBTOTAL(103,Junio!$G$7)</f>
        <v>0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ht="30.0" customHeight="1">
      <c r="AH63" s="5"/>
      <c r="AI63" s="5"/>
      <c r="AJ63" s="5"/>
    </row>
    <row r="64" ht="30.0" customHeight="1">
      <c r="B64" s="30" t="s">
        <v>12</v>
      </c>
      <c r="C64" s="27" t="s">
        <v>89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39">
        <v>2026.0</v>
      </c>
      <c r="AI64" s="15"/>
      <c r="AJ64" s="15"/>
    </row>
    <row r="65" ht="30.0" customHeight="1">
      <c r="B65" s="30"/>
      <c r="C65" s="16" t="str">
        <f>TEXT(WEEKDAY(DATE(Junio!CalendarioAño,1,1),1),"ddd")</f>
        <v>jue</v>
      </c>
      <c r="D65" s="16" t="str">
        <f>TEXT(WEEKDAY(DATE(Junio!CalendarioAño,1,2),1),"ddd")</f>
        <v>vie</v>
      </c>
      <c r="E65" s="16" t="str">
        <f>TEXT(WEEKDAY(DATE(Junio!CalendarioAño,1,3),1),"ddd")</f>
        <v>sáb</v>
      </c>
      <c r="F65" s="16" t="str">
        <f>TEXT(WEEKDAY(DATE(Junio!CalendarioAño,1,4),1),"ddd")</f>
        <v>dom</v>
      </c>
      <c r="G65" s="16" t="str">
        <f>TEXT(WEEKDAY(DATE(Junio!CalendarioAño,1,5),1),"ddd")</f>
        <v>lun</v>
      </c>
      <c r="H65" s="16" t="str">
        <f>TEXT(WEEKDAY(DATE(Junio!CalendarioAño,1,6),1),"ddd")</f>
        <v>mar</v>
      </c>
      <c r="I65" s="16" t="str">
        <f>TEXT(WEEKDAY(DATE(Junio!CalendarioAño,1,7),1),"ddd")</f>
        <v>mié</v>
      </c>
      <c r="J65" s="16" t="str">
        <f>TEXT(WEEKDAY(DATE(Junio!CalendarioAño,1,8),1),"ddd")</f>
        <v>jue</v>
      </c>
      <c r="K65" s="16" t="str">
        <f>TEXT(WEEKDAY(DATE(Junio!CalendarioAño,1,9),1),"ddd")</f>
        <v>vie</v>
      </c>
      <c r="L65" s="16" t="str">
        <f>TEXT(WEEKDAY(DATE(Junio!CalendarioAño,1,10),1),"ddd")</f>
        <v>sáb</v>
      </c>
      <c r="M65" s="16" t="str">
        <f>TEXT(WEEKDAY(DATE(Junio!CalendarioAño,1,11),1),"ddd")</f>
        <v>dom</v>
      </c>
      <c r="N65" s="16" t="str">
        <f>TEXT(WEEKDAY(DATE(Junio!CalendarioAño,1,12),1),"ddd")</f>
        <v>lun</v>
      </c>
      <c r="O65" s="16" t="str">
        <f>TEXT(WEEKDAY(DATE(Junio!CalendarioAño,1,13),1),"ddd")</f>
        <v>mar</v>
      </c>
      <c r="P65" s="16" t="str">
        <f>TEXT(WEEKDAY(DATE(Junio!CalendarioAño,1,14),1),"ddd")</f>
        <v>mié</v>
      </c>
      <c r="Q65" s="16" t="str">
        <f>TEXT(WEEKDAY(DATE(Junio!CalendarioAño,1,15),1),"ddd")</f>
        <v>jue</v>
      </c>
      <c r="R65" s="16" t="str">
        <f>TEXT(WEEKDAY(DATE(Junio!CalendarioAño,1,16),1),"ddd")</f>
        <v>vie</v>
      </c>
      <c r="S65" s="16" t="str">
        <f>TEXT(WEEKDAY(DATE(Junio!CalendarioAño,1,17),1),"ddd")</f>
        <v>sáb</v>
      </c>
      <c r="T65" s="16" t="str">
        <f>TEXT(WEEKDAY(DATE(Junio!CalendarioAño,1,18),1),"ddd")</f>
        <v>dom</v>
      </c>
      <c r="U65" s="16" t="str">
        <f>TEXT(WEEKDAY(DATE(Junio!CalendarioAño,1,19),1),"ddd")</f>
        <v>lun</v>
      </c>
      <c r="V65" s="16" t="str">
        <f>TEXT(WEEKDAY(DATE(Junio!CalendarioAño,1,20),1),"ddd")</f>
        <v>mar</v>
      </c>
      <c r="W65" s="16" t="str">
        <f>TEXT(WEEKDAY(DATE(Junio!CalendarioAño,1,21),1),"ddd")</f>
        <v>mié</v>
      </c>
      <c r="X65" s="16" t="str">
        <f>TEXT(WEEKDAY(DATE(Junio!CalendarioAño,1,22),1),"ddd")</f>
        <v>jue</v>
      </c>
      <c r="Y65" s="16" t="str">
        <f>TEXT(WEEKDAY(DATE(Junio!CalendarioAño,1,23),1),"ddd")</f>
        <v>vie</v>
      </c>
      <c r="Z65" s="16" t="str">
        <f>TEXT(WEEKDAY(DATE(Junio!CalendarioAño,1,24),1),"ddd")</f>
        <v>sáb</v>
      </c>
      <c r="AA65" s="16" t="str">
        <f>TEXT(WEEKDAY(DATE(Junio!CalendarioAño,1,25),1),"ddd")</f>
        <v>dom</v>
      </c>
      <c r="AB65" s="16" t="str">
        <f>TEXT(WEEKDAY(DATE(Junio!CalendarioAño,1,26),1),"ddd")</f>
        <v>lun</v>
      </c>
      <c r="AC65" s="16" t="str">
        <f>TEXT(WEEKDAY(DATE(Junio!CalendarioAño,1,27),1),"ddd")</f>
        <v>mar</v>
      </c>
      <c r="AD65" s="16" t="str">
        <f>TEXT(WEEKDAY(DATE(Junio!CalendarioAño,1,28),1),"ddd")</f>
        <v>mié</v>
      </c>
      <c r="AE65" s="16" t="str">
        <f>TEXT(WEEKDAY(DATE(Junio!CalendarioAño,1,29),1),"ddd")</f>
        <v>jue</v>
      </c>
      <c r="AF65" s="16" t="str">
        <f>TEXT(WEEKDAY(DATE(Junio!CalendarioAño,1,30),1),"ddd")</f>
        <v>vie</v>
      </c>
      <c r="AG65" s="16" t="str">
        <f>TEXT(WEEKDAY(DATE(Junio!CalendarioAño,1,31),1),"ddd")</f>
        <v>sáb</v>
      </c>
      <c r="AH65" s="30"/>
      <c r="AI65" s="14"/>
      <c r="AJ65" s="14"/>
    </row>
    <row r="66" ht="30.0" customHeight="1">
      <c r="A66" s="17"/>
      <c r="B66" s="31" t="s">
        <v>14</v>
      </c>
      <c r="C66" s="19" t="s">
        <v>15</v>
      </c>
      <c r="D66" s="19" t="s">
        <v>16</v>
      </c>
      <c r="E66" s="19" t="s">
        <v>17</v>
      </c>
      <c r="F66" s="19" t="s">
        <v>18</v>
      </c>
      <c r="G66" s="19" t="s">
        <v>19</v>
      </c>
      <c r="H66" s="19" t="s">
        <v>20</v>
      </c>
      <c r="I66" s="19" t="s">
        <v>21</v>
      </c>
      <c r="J66" s="19" t="s">
        <v>22</v>
      </c>
      <c r="K66" s="19" t="s">
        <v>23</v>
      </c>
      <c r="L66" s="19" t="s">
        <v>24</v>
      </c>
      <c r="M66" s="19" t="s">
        <v>25</v>
      </c>
      <c r="N66" s="19" t="s">
        <v>26</v>
      </c>
      <c r="O66" s="19" t="s">
        <v>27</v>
      </c>
      <c r="P66" s="19" t="s">
        <v>28</v>
      </c>
      <c r="Q66" s="19" t="s">
        <v>29</v>
      </c>
      <c r="R66" s="19" t="s">
        <v>30</v>
      </c>
      <c r="S66" s="19" t="s">
        <v>31</v>
      </c>
      <c r="T66" s="19" t="s">
        <v>32</v>
      </c>
      <c r="U66" s="19" t="s">
        <v>33</v>
      </c>
      <c r="V66" s="19" t="s">
        <v>34</v>
      </c>
      <c r="W66" s="19" t="s">
        <v>35</v>
      </c>
      <c r="X66" s="19" t="s">
        <v>36</v>
      </c>
      <c r="Y66" s="19" t="s">
        <v>37</v>
      </c>
      <c r="Z66" s="19" t="s">
        <v>38</v>
      </c>
      <c r="AA66" s="19" t="s">
        <v>39</v>
      </c>
      <c r="AB66" s="19" t="s">
        <v>40</v>
      </c>
      <c r="AC66" s="19" t="s">
        <v>41</v>
      </c>
      <c r="AD66" s="19" t="s">
        <v>42</v>
      </c>
      <c r="AE66" s="19" t="s">
        <v>43</v>
      </c>
      <c r="AF66" s="19" t="s">
        <v>44</v>
      </c>
      <c r="AG66" s="19" t="s">
        <v>45</v>
      </c>
      <c r="AH66" s="19" t="s">
        <v>46</v>
      </c>
      <c r="AI66" s="19"/>
      <c r="AJ66" s="19"/>
    </row>
    <row r="67" ht="30.0" customHeight="1">
      <c r="B67" s="40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23"/>
      <c r="AI67" s="23"/>
      <c r="AJ67" s="23"/>
    </row>
    <row r="68" ht="30.0" customHeight="1">
      <c r="B68" s="40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23"/>
      <c r="AI68" s="23"/>
      <c r="AJ68" s="23"/>
    </row>
    <row r="69" ht="30.0" customHeight="1">
      <c r="B69" s="40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23"/>
      <c r="AI69" s="23"/>
      <c r="AJ69" s="23"/>
    </row>
    <row r="70" ht="30.0" customHeight="1">
      <c r="B70" s="40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23"/>
      <c r="AI70" s="23"/>
      <c r="AJ70" s="23"/>
    </row>
    <row r="71" ht="30.0" customHeight="1">
      <c r="B71" s="32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23"/>
      <c r="AI71" s="23"/>
      <c r="AJ71" s="23"/>
    </row>
    <row r="72" ht="30.0" customHeight="1">
      <c r="B72" s="40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23"/>
      <c r="AI72" s="23"/>
      <c r="AJ72" s="23"/>
    </row>
    <row r="73" ht="30.0" customHeight="1">
      <c r="B73" s="32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23"/>
      <c r="AI73" s="23"/>
      <c r="AJ73" s="23"/>
    </row>
    <row r="74" ht="30.0" customHeight="1">
      <c r="B74" s="32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23"/>
      <c r="AI74" s="23"/>
      <c r="AJ74" s="23"/>
    </row>
    <row r="75" ht="30.0" customHeight="1">
      <c r="B75" s="32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23"/>
      <c r="AI75" s="23"/>
      <c r="AJ75" s="23"/>
    </row>
    <row r="76" ht="30.0" customHeight="1">
      <c r="B76" s="32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23"/>
      <c r="AI76" s="23"/>
      <c r="AJ76" s="23"/>
    </row>
    <row r="77" ht="30.0" customHeight="1">
      <c r="B77" s="32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23"/>
      <c r="AI77" s="23"/>
      <c r="AJ77" s="23"/>
    </row>
    <row r="78" ht="30.0" customHeight="1">
      <c r="B78" s="32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23"/>
      <c r="AI78" s="23"/>
      <c r="AJ78" s="23"/>
    </row>
    <row r="79" ht="30.0" customHeight="1">
      <c r="B79" s="32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23"/>
      <c r="AI79" s="23"/>
      <c r="AJ79" s="23"/>
    </row>
    <row r="80" ht="30.0" customHeight="1">
      <c r="B80" s="32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23"/>
      <c r="AI80" s="23"/>
      <c r="AJ80" s="23"/>
    </row>
    <row r="81" ht="30.0" customHeight="1">
      <c r="B81" s="32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23"/>
      <c r="AI81" s="23"/>
      <c r="AJ81" s="23"/>
    </row>
    <row r="82" ht="30.0" customHeight="1">
      <c r="B82" s="32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23"/>
      <c r="AI82" s="23"/>
      <c r="AJ82" s="23"/>
    </row>
    <row r="83" ht="30.0" customHeight="1">
      <c r="B83" s="40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23"/>
      <c r="AI83" s="23"/>
      <c r="AJ83" s="23"/>
    </row>
    <row r="84" ht="30.0" customHeight="1">
      <c r="B84" s="40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23"/>
      <c r="AI84" s="23"/>
      <c r="AJ84" s="23"/>
    </row>
    <row r="85" ht="30.0" customHeight="1">
      <c r="B85" s="32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23"/>
      <c r="AI85" s="23"/>
      <c r="AJ85" s="23"/>
    </row>
    <row r="86" ht="30.0" customHeight="1">
      <c r="B86" s="32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23"/>
      <c r="AI86" s="23"/>
      <c r="AJ86" s="23"/>
    </row>
    <row r="87" ht="30.0" customHeight="1">
      <c r="B87" s="32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23"/>
      <c r="AI87" s="23"/>
      <c r="AJ87" s="23"/>
    </row>
    <row r="88" ht="30.0" customHeight="1">
      <c r="B88" s="32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23"/>
      <c r="AI88" s="23"/>
      <c r="AJ88" s="23"/>
    </row>
    <row r="89" ht="30.0" customHeight="1">
      <c r="B89" s="32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23"/>
      <c r="AI89" s="23"/>
      <c r="AJ89" s="23"/>
    </row>
    <row r="90" ht="30.0" customHeight="1">
      <c r="B90" s="32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23"/>
      <c r="AI90" s="23"/>
      <c r="AJ90" s="23"/>
    </row>
    <row r="91" ht="30.0" customHeight="1">
      <c r="B91" s="32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23"/>
      <c r="AI91" s="23"/>
      <c r="AJ91" s="23"/>
    </row>
    <row r="92" ht="30.0" customHeight="1">
      <c r="B92" s="32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23"/>
      <c r="AI92" s="23"/>
      <c r="AJ92" s="23"/>
    </row>
    <row r="93" ht="30.0" customHeight="1">
      <c r="B93" s="32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23"/>
      <c r="AI93" s="23"/>
      <c r="AJ93" s="23"/>
    </row>
    <row r="94" ht="30.0" customHeight="1">
      <c r="B94" s="20"/>
      <c r="C94" s="21"/>
      <c r="D94" s="21"/>
      <c r="E94" s="21"/>
      <c r="F94" s="21"/>
      <c r="G94" s="21"/>
      <c r="H94" s="21"/>
      <c r="I94" s="43"/>
      <c r="J94" s="43"/>
      <c r="K94" s="43"/>
      <c r="L94" s="43"/>
      <c r="M94" s="43"/>
      <c r="N94" s="21"/>
      <c r="O94" s="43"/>
      <c r="P94" s="43"/>
      <c r="Q94" s="43"/>
      <c r="R94" s="21"/>
      <c r="S94" s="43"/>
      <c r="T94" s="21"/>
      <c r="U94" s="21"/>
      <c r="V94" s="21"/>
      <c r="W94" s="21"/>
      <c r="X94" s="43"/>
      <c r="Y94" s="21"/>
      <c r="Z94" s="43"/>
      <c r="AA94" s="21"/>
      <c r="AB94" s="21"/>
      <c r="AC94" s="21"/>
      <c r="AD94" s="21"/>
      <c r="AE94" s="33"/>
      <c r="AF94" s="21"/>
      <c r="AG94" s="21"/>
      <c r="AH94" s="23"/>
      <c r="AI94" s="23"/>
      <c r="AJ94" s="23"/>
    </row>
    <row r="95" ht="30.0" customHeight="1">
      <c r="B95" s="48" t="str">
        <f>Junio!MonthName&amp;" Total"</f>
        <v>Enero Total</v>
      </c>
      <c r="C95" s="25">
        <f>SUBTOTAL(103,Junio!$C$7)</f>
        <v>0</v>
      </c>
      <c r="D95" s="25">
        <f>SUBTOTAL(103,Junio!$D$7)</f>
        <v>0</v>
      </c>
      <c r="E95" s="25">
        <f>SUBTOTAL(103,Junio!$E$7)</f>
        <v>0</v>
      </c>
      <c r="F95" s="25"/>
      <c r="G95" s="25">
        <f>SUBTOTAL(103,Junio!$G$7)</f>
        <v>0</v>
      </c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</row>
    <row r="96" ht="30.0" customHeight="1">
      <c r="AH96" s="5"/>
      <c r="AI96" s="5"/>
      <c r="AJ96" s="5"/>
    </row>
    <row r="97" ht="30.0" customHeight="1">
      <c r="B97" s="30" t="s">
        <v>12</v>
      </c>
      <c r="C97" s="27" t="s">
        <v>118</v>
      </c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39">
        <v>2026.0</v>
      </c>
      <c r="AI97" s="15"/>
      <c r="AJ97" s="15"/>
    </row>
    <row r="98" ht="30.0" customHeight="1">
      <c r="B98" s="30"/>
      <c r="C98" s="16" t="str">
        <f>TEXT(WEEKDAY(DATE(Junio!CalendarioAño,1,1),1),"ddd")</f>
        <v>jue</v>
      </c>
      <c r="D98" s="16" t="str">
        <f>TEXT(WEEKDAY(DATE(Junio!CalendarioAño,1,2),1),"ddd")</f>
        <v>vie</v>
      </c>
      <c r="E98" s="16" t="str">
        <f>TEXT(WEEKDAY(DATE(Junio!CalendarioAño,1,3),1),"ddd")</f>
        <v>sáb</v>
      </c>
      <c r="F98" s="16" t="str">
        <f>TEXT(WEEKDAY(DATE(Junio!CalendarioAño,1,4),1),"ddd")</f>
        <v>dom</v>
      </c>
      <c r="G98" s="16" t="str">
        <f>TEXT(WEEKDAY(DATE(Junio!CalendarioAño,1,5),1),"ddd")</f>
        <v>lun</v>
      </c>
      <c r="H98" s="16" t="str">
        <f>TEXT(WEEKDAY(DATE(Junio!CalendarioAño,1,6),1),"ddd")</f>
        <v>mar</v>
      </c>
      <c r="I98" s="16" t="str">
        <f>TEXT(WEEKDAY(DATE(Junio!CalendarioAño,1,7),1),"ddd")</f>
        <v>mié</v>
      </c>
      <c r="J98" s="16" t="str">
        <f>TEXT(WEEKDAY(DATE(Junio!CalendarioAño,1,8),1),"ddd")</f>
        <v>jue</v>
      </c>
      <c r="K98" s="16" t="str">
        <f>TEXT(WEEKDAY(DATE(Junio!CalendarioAño,1,9),1),"ddd")</f>
        <v>vie</v>
      </c>
      <c r="L98" s="16" t="str">
        <f>TEXT(WEEKDAY(DATE(Junio!CalendarioAño,1,10),1),"ddd")</f>
        <v>sáb</v>
      </c>
      <c r="M98" s="16" t="str">
        <f>TEXT(WEEKDAY(DATE(Junio!CalendarioAño,1,11),1),"ddd")</f>
        <v>dom</v>
      </c>
      <c r="N98" s="16" t="str">
        <f>TEXT(WEEKDAY(DATE(Junio!CalendarioAño,1,12),1),"ddd")</f>
        <v>lun</v>
      </c>
      <c r="O98" s="16" t="str">
        <f>TEXT(WEEKDAY(DATE(Junio!CalendarioAño,1,13),1),"ddd")</f>
        <v>mar</v>
      </c>
      <c r="P98" s="16" t="str">
        <f>TEXT(WEEKDAY(DATE(Junio!CalendarioAño,1,14),1),"ddd")</f>
        <v>mié</v>
      </c>
      <c r="Q98" s="16" t="str">
        <f>TEXT(WEEKDAY(DATE(Junio!CalendarioAño,1,15),1),"ddd")</f>
        <v>jue</v>
      </c>
      <c r="R98" s="16" t="str">
        <f>TEXT(WEEKDAY(DATE(Junio!CalendarioAño,1,16),1),"ddd")</f>
        <v>vie</v>
      </c>
      <c r="S98" s="16" t="str">
        <f>TEXT(WEEKDAY(DATE(Junio!CalendarioAño,1,17),1),"ddd")</f>
        <v>sáb</v>
      </c>
      <c r="T98" s="16" t="str">
        <f>TEXT(WEEKDAY(DATE(Junio!CalendarioAño,1,18),1),"ddd")</f>
        <v>dom</v>
      </c>
      <c r="U98" s="16" t="str">
        <f>TEXT(WEEKDAY(DATE(Junio!CalendarioAño,1,19),1),"ddd")</f>
        <v>lun</v>
      </c>
      <c r="V98" s="16" t="str">
        <f>TEXT(WEEKDAY(DATE(Junio!CalendarioAño,1,20),1),"ddd")</f>
        <v>mar</v>
      </c>
      <c r="W98" s="16" t="str">
        <f>TEXT(WEEKDAY(DATE(Junio!CalendarioAño,1,21),1),"ddd")</f>
        <v>mié</v>
      </c>
      <c r="X98" s="16" t="str">
        <f>TEXT(WEEKDAY(DATE(Junio!CalendarioAño,1,22),1),"ddd")</f>
        <v>jue</v>
      </c>
      <c r="Y98" s="16" t="str">
        <f>TEXT(WEEKDAY(DATE(Junio!CalendarioAño,1,23),1),"ddd")</f>
        <v>vie</v>
      </c>
      <c r="Z98" s="16" t="str">
        <f>TEXT(WEEKDAY(DATE(Junio!CalendarioAño,1,24),1),"ddd")</f>
        <v>sáb</v>
      </c>
      <c r="AA98" s="16" t="str">
        <f>TEXT(WEEKDAY(DATE(Junio!CalendarioAño,1,25),1),"ddd")</f>
        <v>dom</v>
      </c>
      <c r="AB98" s="16" t="str">
        <f>TEXT(WEEKDAY(DATE(Junio!CalendarioAño,1,26),1),"ddd")</f>
        <v>lun</v>
      </c>
      <c r="AC98" s="16" t="str">
        <f>TEXT(WEEKDAY(DATE(Junio!CalendarioAño,1,27),1),"ddd")</f>
        <v>mar</v>
      </c>
      <c r="AD98" s="16" t="str">
        <f>TEXT(WEEKDAY(DATE(Junio!CalendarioAño,1,28),1),"ddd")</f>
        <v>mié</v>
      </c>
      <c r="AE98" s="16" t="str">
        <f>TEXT(WEEKDAY(DATE(Junio!CalendarioAño,1,29),1),"ddd")</f>
        <v>jue</v>
      </c>
      <c r="AF98" s="16" t="str">
        <f>TEXT(WEEKDAY(DATE(Junio!CalendarioAño,1,30),1),"ddd")</f>
        <v>vie</v>
      </c>
      <c r="AG98" s="16" t="str">
        <f>TEXT(WEEKDAY(DATE(Junio!CalendarioAño,1,31),1),"ddd")</f>
        <v>sáb</v>
      </c>
      <c r="AH98" s="30"/>
      <c r="AI98" s="14"/>
      <c r="AJ98" s="14"/>
    </row>
    <row r="99" ht="30.0" customHeight="1">
      <c r="A99" s="17"/>
      <c r="B99" s="31" t="s">
        <v>14</v>
      </c>
      <c r="C99" s="19" t="s">
        <v>15</v>
      </c>
      <c r="D99" s="19" t="s">
        <v>16</v>
      </c>
      <c r="E99" s="19" t="s">
        <v>17</v>
      </c>
      <c r="F99" s="19" t="s">
        <v>18</v>
      </c>
      <c r="G99" s="19" t="s">
        <v>19</v>
      </c>
      <c r="H99" s="19" t="s">
        <v>20</v>
      </c>
      <c r="I99" s="19" t="s">
        <v>21</v>
      </c>
      <c r="J99" s="19" t="s">
        <v>22</v>
      </c>
      <c r="K99" s="19" t="s">
        <v>23</v>
      </c>
      <c r="L99" s="19" t="s">
        <v>24</v>
      </c>
      <c r="M99" s="19" t="s">
        <v>25</v>
      </c>
      <c r="N99" s="19" t="s">
        <v>26</v>
      </c>
      <c r="O99" s="19" t="s">
        <v>27</v>
      </c>
      <c r="P99" s="19" t="s">
        <v>28</v>
      </c>
      <c r="Q99" s="19" t="s">
        <v>29</v>
      </c>
      <c r="R99" s="19" t="s">
        <v>30</v>
      </c>
      <c r="S99" s="19" t="s">
        <v>31</v>
      </c>
      <c r="T99" s="19" t="s">
        <v>32</v>
      </c>
      <c r="U99" s="19" t="s">
        <v>33</v>
      </c>
      <c r="V99" s="19" t="s">
        <v>34</v>
      </c>
      <c r="W99" s="19" t="s">
        <v>35</v>
      </c>
      <c r="X99" s="19" t="s">
        <v>36</v>
      </c>
      <c r="Y99" s="19" t="s">
        <v>37</v>
      </c>
      <c r="Z99" s="19" t="s">
        <v>38</v>
      </c>
      <c r="AA99" s="19" t="s">
        <v>39</v>
      </c>
      <c r="AB99" s="19" t="s">
        <v>40</v>
      </c>
      <c r="AC99" s="19" t="s">
        <v>41</v>
      </c>
      <c r="AD99" s="19" t="s">
        <v>42</v>
      </c>
      <c r="AE99" s="19" t="s">
        <v>43</v>
      </c>
      <c r="AF99" s="19" t="s">
        <v>44</v>
      </c>
      <c r="AG99" s="19" t="s">
        <v>45</v>
      </c>
      <c r="AH99" s="19" t="s">
        <v>46</v>
      </c>
      <c r="AI99" s="19"/>
      <c r="AJ99" s="19"/>
    </row>
    <row r="100" ht="30.0" customHeight="1">
      <c r="B100" s="32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23"/>
      <c r="AI100" s="23"/>
      <c r="AJ100" s="23"/>
    </row>
    <row r="101" ht="30.0" customHeight="1">
      <c r="B101" s="32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23"/>
      <c r="AI101" s="23"/>
      <c r="AJ101" s="23"/>
    </row>
    <row r="102" ht="30.0" customHeight="1">
      <c r="B102" s="32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23"/>
      <c r="AI102" s="23"/>
      <c r="AJ102" s="23"/>
    </row>
    <row r="103" ht="30.0" customHeight="1">
      <c r="B103" s="32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23"/>
      <c r="AI103" s="23"/>
      <c r="AJ103" s="23"/>
    </row>
    <row r="104" ht="30.0" customHeight="1">
      <c r="B104" s="32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23"/>
      <c r="AI104" s="23"/>
      <c r="AJ104" s="23"/>
    </row>
    <row r="105" ht="30.0" customHeight="1">
      <c r="B105" s="32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23"/>
      <c r="AI105" s="23"/>
      <c r="AJ105" s="23"/>
    </row>
    <row r="106" ht="30.0" customHeight="1">
      <c r="B106" s="32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23"/>
      <c r="AI106" s="23"/>
      <c r="AJ106" s="23"/>
    </row>
    <row r="107" ht="30.0" customHeight="1">
      <c r="B107" s="32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23"/>
      <c r="AI107" s="23"/>
      <c r="AJ107" s="23"/>
    </row>
    <row r="108" ht="30.0" customHeight="1">
      <c r="B108" s="32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23"/>
      <c r="AI108" s="23"/>
      <c r="AJ108" s="23"/>
    </row>
    <row r="109" ht="30.0" customHeight="1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23"/>
      <c r="AI109" s="23"/>
      <c r="AJ109" s="23"/>
    </row>
    <row r="110" ht="30.0" customHeight="1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23"/>
      <c r="AI110" s="23"/>
      <c r="AJ110" s="23"/>
    </row>
    <row r="111" ht="30.0" customHeight="1">
      <c r="A111" s="50"/>
      <c r="B111" s="5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23"/>
      <c r="AI111" s="23"/>
      <c r="AJ111" s="23"/>
    </row>
    <row r="112" ht="30.0" customHeight="1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23"/>
      <c r="AI112" s="23"/>
      <c r="AJ112" s="23"/>
    </row>
    <row r="113" ht="30.0" customHeight="1">
      <c r="A113" s="50"/>
      <c r="B113" s="5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23"/>
      <c r="AI113" s="23"/>
      <c r="AJ113" s="23"/>
    </row>
    <row r="114" ht="30.0" customHeight="1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23"/>
      <c r="AI114" s="23"/>
      <c r="AJ114" s="23"/>
    </row>
    <row r="115" ht="30.0" customHeight="1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23"/>
      <c r="AI115" s="23"/>
      <c r="AJ115" s="23"/>
    </row>
    <row r="116" ht="30.0" customHeight="1">
      <c r="A116" s="50"/>
      <c r="B116" s="5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23"/>
      <c r="AI116" s="23"/>
      <c r="AJ116" s="23"/>
    </row>
    <row r="117" ht="30.0" customHeight="1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23"/>
      <c r="AI117" s="23"/>
      <c r="AJ117" s="23"/>
    </row>
    <row r="118" ht="30.0" customHeight="1">
      <c r="A118" s="50"/>
      <c r="B118" s="5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23"/>
      <c r="AI118" s="23"/>
      <c r="AJ118" s="23"/>
    </row>
    <row r="119" ht="30.0" customHeight="1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23"/>
      <c r="AI119" s="23"/>
      <c r="AJ119" s="23"/>
    </row>
    <row r="120" ht="30.0" customHeight="1">
      <c r="A120" s="50"/>
      <c r="B120" s="71"/>
      <c r="C120" s="36"/>
      <c r="D120" s="36"/>
      <c r="E120" s="36"/>
      <c r="F120" s="36"/>
      <c r="G120" s="36"/>
      <c r="H120" s="36"/>
      <c r="I120" s="36"/>
      <c r="J120" s="36"/>
      <c r="K120" s="52"/>
      <c r="L120" s="43"/>
      <c r="M120" s="43"/>
      <c r="N120" s="36"/>
      <c r="O120" s="43"/>
      <c r="P120" s="43"/>
      <c r="Q120" s="36"/>
      <c r="R120" s="36"/>
      <c r="S120" s="36"/>
      <c r="T120" s="43"/>
      <c r="U120" s="36"/>
      <c r="V120" s="36"/>
      <c r="W120" s="36"/>
      <c r="X120" s="36"/>
      <c r="Y120" s="36"/>
      <c r="Z120" s="36"/>
      <c r="AA120" s="43"/>
      <c r="AB120" s="36"/>
      <c r="AC120" s="36"/>
      <c r="AD120" s="36"/>
      <c r="AE120" s="36"/>
      <c r="AF120" s="33"/>
      <c r="AG120" s="36"/>
      <c r="AH120" s="23"/>
      <c r="AI120" s="23"/>
      <c r="AJ120" s="23"/>
    </row>
    <row r="121" ht="30.0" customHeight="1">
      <c r="B121" s="48" t="str">
        <f>Junio!MonthName&amp;" Total"</f>
        <v>Enero Total</v>
      </c>
      <c r="C121" s="25">
        <f>SUBTOTAL(103,Junio!$C$7)</f>
        <v>0</v>
      </c>
      <c r="D121" s="25">
        <f>SUBTOTAL(103,Junio!$D$7)</f>
        <v>0</v>
      </c>
      <c r="E121" s="25">
        <f>SUBTOTAL(103,Junio!$E$7)</f>
        <v>0</v>
      </c>
      <c r="F121" s="25"/>
      <c r="G121" s="25"/>
      <c r="H121" s="25">
        <f>SUBTOTAL(103,Junio!$H$7)</f>
        <v>0</v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</row>
    <row r="122" ht="30.0" customHeight="1">
      <c r="AH122" s="5"/>
      <c r="AI122" s="5"/>
      <c r="AJ122" s="5"/>
    </row>
    <row r="123" ht="30.0" customHeight="1">
      <c r="B123" s="30" t="s">
        <v>12</v>
      </c>
      <c r="C123" s="27" t="s">
        <v>140</v>
      </c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39">
        <v>2026.0</v>
      </c>
      <c r="AI123" s="15"/>
      <c r="AJ123" s="15"/>
    </row>
    <row r="124" ht="30.0" customHeight="1">
      <c r="B124" s="30"/>
      <c r="C124" s="16" t="str">
        <f>TEXT(WEEKDAY(DATE(Junio!CalendarioAño,1,1),1),"ddd")</f>
        <v>jue</v>
      </c>
      <c r="D124" s="16" t="str">
        <f>TEXT(WEEKDAY(DATE(Junio!CalendarioAño,1,2),1),"ddd")</f>
        <v>vie</v>
      </c>
      <c r="E124" s="16" t="str">
        <f>TEXT(WEEKDAY(DATE(Junio!CalendarioAño,1,3),1),"ddd")</f>
        <v>sáb</v>
      </c>
      <c r="F124" s="16" t="str">
        <f>TEXT(WEEKDAY(DATE(Junio!CalendarioAño,1,4),1),"ddd")</f>
        <v>dom</v>
      </c>
      <c r="G124" s="16" t="str">
        <f>TEXT(WEEKDAY(DATE(Junio!CalendarioAño,1,5),1),"ddd")</f>
        <v>lun</v>
      </c>
      <c r="H124" s="16" t="str">
        <f>TEXT(WEEKDAY(DATE(Junio!CalendarioAño,1,6),1),"ddd")</f>
        <v>mar</v>
      </c>
      <c r="I124" s="16" t="str">
        <f>TEXT(WEEKDAY(DATE(Junio!CalendarioAño,1,7),1),"ddd")</f>
        <v>mié</v>
      </c>
      <c r="J124" s="16" t="str">
        <f>TEXT(WEEKDAY(DATE(Junio!CalendarioAño,1,8),1),"ddd")</f>
        <v>jue</v>
      </c>
      <c r="K124" s="16" t="str">
        <f>TEXT(WEEKDAY(DATE(Junio!CalendarioAño,1,9),1),"ddd")</f>
        <v>vie</v>
      </c>
      <c r="L124" s="16" t="str">
        <f>TEXT(WEEKDAY(DATE(Junio!CalendarioAño,1,10),1),"ddd")</f>
        <v>sáb</v>
      </c>
      <c r="M124" s="16" t="str">
        <f>TEXT(WEEKDAY(DATE(Junio!CalendarioAño,1,11),1),"ddd")</f>
        <v>dom</v>
      </c>
      <c r="N124" s="16" t="str">
        <f>TEXT(WEEKDAY(DATE(Junio!CalendarioAño,1,12),1),"ddd")</f>
        <v>lun</v>
      </c>
      <c r="O124" s="16" t="str">
        <f>TEXT(WEEKDAY(DATE(Junio!CalendarioAño,1,13),1),"ddd")</f>
        <v>mar</v>
      </c>
      <c r="P124" s="16" t="str">
        <f>TEXT(WEEKDAY(DATE(Junio!CalendarioAño,1,14),1),"ddd")</f>
        <v>mié</v>
      </c>
      <c r="Q124" s="16" t="str">
        <f>TEXT(WEEKDAY(DATE(Junio!CalendarioAño,1,15),1),"ddd")</f>
        <v>jue</v>
      </c>
      <c r="R124" s="16" t="str">
        <f>TEXT(WEEKDAY(DATE(Junio!CalendarioAño,1,16),1),"ddd")</f>
        <v>vie</v>
      </c>
      <c r="S124" s="16" t="str">
        <f>TEXT(WEEKDAY(DATE(Junio!CalendarioAño,1,17),1),"ddd")</f>
        <v>sáb</v>
      </c>
      <c r="T124" s="16" t="str">
        <f>TEXT(WEEKDAY(DATE(Junio!CalendarioAño,1,18),1),"ddd")</f>
        <v>dom</v>
      </c>
      <c r="U124" s="16" t="str">
        <f>TEXT(WEEKDAY(DATE(Junio!CalendarioAño,1,19),1),"ddd")</f>
        <v>lun</v>
      </c>
      <c r="V124" s="16" t="str">
        <f>TEXT(WEEKDAY(DATE(Junio!CalendarioAño,1,20),1),"ddd")</f>
        <v>mar</v>
      </c>
      <c r="W124" s="16" t="str">
        <f>TEXT(WEEKDAY(DATE(Junio!CalendarioAño,1,21),1),"ddd")</f>
        <v>mié</v>
      </c>
      <c r="X124" s="16" t="str">
        <f>TEXT(WEEKDAY(DATE(Junio!CalendarioAño,1,22),1),"ddd")</f>
        <v>jue</v>
      </c>
      <c r="Y124" s="16" t="str">
        <f>TEXT(WEEKDAY(DATE(Junio!CalendarioAño,1,23),1),"ddd")</f>
        <v>vie</v>
      </c>
      <c r="Z124" s="16" t="str">
        <f>TEXT(WEEKDAY(DATE(Junio!CalendarioAño,1,24),1),"ddd")</f>
        <v>sáb</v>
      </c>
      <c r="AA124" s="16" t="str">
        <f>TEXT(WEEKDAY(DATE(Junio!CalendarioAño,1,25),1),"ddd")</f>
        <v>dom</v>
      </c>
      <c r="AB124" s="16" t="str">
        <f>TEXT(WEEKDAY(DATE(Junio!CalendarioAño,1,26),1),"ddd")</f>
        <v>lun</v>
      </c>
      <c r="AC124" s="16" t="str">
        <f>TEXT(WEEKDAY(DATE(Junio!CalendarioAño,1,27),1),"ddd")</f>
        <v>mar</v>
      </c>
      <c r="AD124" s="16" t="str">
        <f>TEXT(WEEKDAY(DATE(Junio!CalendarioAño,1,28),1),"ddd")</f>
        <v>mié</v>
      </c>
      <c r="AE124" s="16" t="str">
        <f>TEXT(WEEKDAY(DATE(Junio!CalendarioAño,1,29),1),"ddd")</f>
        <v>jue</v>
      </c>
      <c r="AF124" s="16" t="str">
        <f>TEXT(WEEKDAY(DATE(Junio!CalendarioAño,1,30),1),"ddd")</f>
        <v>vie</v>
      </c>
      <c r="AG124" s="16" t="str">
        <f>TEXT(WEEKDAY(DATE(Junio!CalendarioAño,1,31),1),"ddd")</f>
        <v>sáb</v>
      </c>
      <c r="AH124" s="30"/>
      <c r="AI124" s="14"/>
      <c r="AJ124" s="14"/>
    </row>
    <row r="125" ht="30.0" customHeight="1">
      <c r="A125" s="17"/>
      <c r="B125" s="31" t="s">
        <v>14</v>
      </c>
      <c r="C125" s="19" t="s">
        <v>15</v>
      </c>
      <c r="D125" s="19" t="s">
        <v>16</v>
      </c>
      <c r="E125" s="19" t="s">
        <v>17</v>
      </c>
      <c r="F125" s="19" t="s">
        <v>18</v>
      </c>
      <c r="G125" s="19" t="s">
        <v>19</v>
      </c>
      <c r="H125" s="19" t="s">
        <v>20</v>
      </c>
      <c r="I125" s="19" t="s">
        <v>21</v>
      </c>
      <c r="J125" s="19" t="s">
        <v>22</v>
      </c>
      <c r="K125" s="19" t="s">
        <v>23</v>
      </c>
      <c r="L125" s="19" t="s">
        <v>24</v>
      </c>
      <c r="M125" s="19" t="s">
        <v>25</v>
      </c>
      <c r="N125" s="19" t="s">
        <v>26</v>
      </c>
      <c r="O125" s="19" t="s">
        <v>27</v>
      </c>
      <c r="P125" s="19" t="s">
        <v>28</v>
      </c>
      <c r="Q125" s="19" t="s">
        <v>29</v>
      </c>
      <c r="R125" s="19" t="s">
        <v>30</v>
      </c>
      <c r="S125" s="19" t="s">
        <v>31</v>
      </c>
      <c r="T125" s="19" t="s">
        <v>32</v>
      </c>
      <c r="U125" s="19" t="s">
        <v>33</v>
      </c>
      <c r="V125" s="19" t="s">
        <v>34</v>
      </c>
      <c r="W125" s="19" t="s">
        <v>35</v>
      </c>
      <c r="X125" s="19" t="s">
        <v>36</v>
      </c>
      <c r="Y125" s="19" t="s">
        <v>37</v>
      </c>
      <c r="Z125" s="19" t="s">
        <v>38</v>
      </c>
      <c r="AA125" s="19" t="s">
        <v>39</v>
      </c>
      <c r="AB125" s="19" t="s">
        <v>40</v>
      </c>
      <c r="AC125" s="19" t="s">
        <v>41</v>
      </c>
      <c r="AD125" s="19" t="s">
        <v>42</v>
      </c>
      <c r="AE125" s="19" t="s">
        <v>43</v>
      </c>
      <c r="AF125" s="19" t="s">
        <v>44</v>
      </c>
      <c r="AG125" s="19" t="s">
        <v>45</v>
      </c>
      <c r="AH125" s="19" t="s">
        <v>46</v>
      </c>
      <c r="AI125" s="19"/>
      <c r="AJ125" s="19"/>
    </row>
    <row r="126" ht="30.0" customHeight="1">
      <c r="B126" s="40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23"/>
      <c r="AI126" s="23"/>
      <c r="AJ126" s="23"/>
    </row>
    <row r="127" ht="30.0" customHeight="1">
      <c r="B127" s="32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23"/>
      <c r="AI127" s="23"/>
      <c r="AJ127" s="23"/>
    </row>
    <row r="128" ht="30.0" customHeight="1">
      <c r="B128" s="32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23"/>
      <c r="AI128" s="23"/>
      <c r="AJ128" s="23"/>
    </row>
    <row r="129" ht="30.0" customHeight="1">
      <c r="B129" s="32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23"/>
      <c r="AI129" s="23"/>
      <c r="AJ129" s="23"/>
    </row>
    <row r="130" ht="30.0" customHeight="1">
      <c r="B130" s="32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23"/>
      <c r="AI130" s="23"/>
      <c r="AJ130" s="23"/>
    </row>
    <row r="131" ht="30.0" customHeight="1">
      <c r="B131" s="40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23"/>
      <c r="AI131" s="23"/>
      <c r="AJ131" s="23"/>
    </row>
    <row r="132" ht="30.0" customHeight="1">
      <c r="B132" s="32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23"/>
      <c r="AI132" s="23"/>
      <c r="AJ132" s="23"/>
    </row>
    <row r="133" ht="30.0" customHeight="1">
      <c r="B133" s="32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23"/>
      <c r="AI133" s="23"/>
      <c r="AJ133" s="23"/>
    </row>
    <row r="134" ht="30.0" customHeight="1">
      <c r="B134" s="32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23"/>
      <c r="AI134" s="23"/>
      <c r="AJ134" s="23"/>
    </row>
    <row r="135" ht="30.0" customHeight="1">
      <c r="B135" s="32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23"/>
      <c r="AI135" s="23"/>
      <c r="AJ135" s="23"/>
    </row>
    <row r="136" ht="30.0" customHeight="1">
      <c r="B136" s="32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23"/>
      <c r="AI136" s="23"/>
      <c r="AJ136" s="23"/>
    </row>
    <row r="137" ht="30.0" customHeight="1">
      <c r="B137" s="32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23"/>
      <c r="AI137" s="23"/>
      <c r="AJ137" s="23"/>
    </row>
    <row r="138" ht="30.0" customHeight="1">
      <c r="B138" s="32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23"/>
      <c r="AI138" s="23"/>
      <c r="AJ138" s="23"/>
    </row>
    <row r="139" ht="30.0" customHeight="1">
      <c r="B139" s="32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23"/>
      <c r="AI139" s="23"/>
      <c r="AJ139" s="23"/>
    </row>
    <row r="140" ht="30.0" customHeight="1">
      <c r="B140" s="32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23"/>
      <c r="AI140" s="23"/>
      <c r="AJ140" s="23"/>
    </row>
    <row r="141" ht="30.0" customHeight="1">
      <c r="B141" s="32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23"/>
      <c r="AI141" s="23"/>
      <c r="AJ141" s="23"/>
    </row>
    <row r="142" ht="30.0" customHeight="1">
      <c r="B142" s="32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25"/>
      <c r="AI142" s="25"/>
      <c r="AJ142" s="25"/>
    </row>
    <row r="143" ht="30.0" customHeight="1">
      <c r="B143" s="32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25"/>
      <c r="AI143" s="25"/>
      <c r="AJ143" s="25"/>
    </row>
    <row r="144" ht="30.0" customHeight="1">
      <c r="B144" s="32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25"/>
      <c r="AI144" s="25"/>
      <c r="AJ144" s="25"/>
    </row>
    <row r="145" ht="30.0" customHeight="1">
      <c r="B145" s="48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25"/>
      <c r="AI145" s="25"/>
      <c r="AJ145" s="25"/>
    </row>
    <row r="146" ht="30.0" customHeight="1">
      <c r="B146" s="48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</row>
    <row r="147" ht="30.0" customHeight="1">
      <c r="B147" s="48" t="str">
        <f>Junio!MonthName&amp;" Total"</f>
        <v>Enero Total</v>
      </c>
      <c r="C147" s="25">
        <f>SUBTOTAL(103,Junio!$C$7)</f>
        <v>0</v>
      </c>
      <c r="D147" s="25">
        <f>SUBTOTAL(103,Junio!$D$7)</f>
        <v>0</v>
      </c>
      <c r="E147" s="25">
        <f>SUBTOTAL(103,Junio!$E$7)</f>
        <v>0</v>
      </c>
      <c r="F147" s="25"/>
      <c r="G147" s="25"/>
      <c r="H147" s="25">
        <f>SUBTOTAL(103,Junio!$H$7)</f>
        <v>0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>
        <f>SUBTOTAL(103,Junio!$AE$7)</f>
        <v>0</v>
      </c>
      <c r="AF147" s="25">
        <f>SUBTOTAL(103,Junio!$AF$7)</f>
        <v>0</v>
      </c>
      <c r="AG147" s="25">
        <f>SUBTOTAL(103,Junio!$AG$7)</f>
        <v>0</v>
      </c>
      <c r="AH147" s="25">
        <f>SUM(C147:AG147)</f>
        <v>0</v>
      </c>
      <c r="AI147" s="25"/>
      <c r="AJ147" s="25"/>
    </row>
    <row r="148" ht="30.0" customHeight="1">
      <c r="AH148" s="5"/>
      <c r="AI148" s="5"/>
      <c r="AJ148" s="5"/>
    </row>
    <row r="149" ht="30.0" customHeight="1">
      <c r="B149" s="30" t="s">
        <v>12</v>
      </c>
      <c r="C149" s="27" t="s">
        <v>160</v>
      </c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39">
        <v>2026.0</v>
      </c>
      <c r="AI149" s="15"/>
      <c r="AJ149" s="15"/>
    </row>
    <row r="150" ht="30.0" customHeight="1">
      <c r="B150" s="30"/>
      <c r="C150" s="16" t="str">
        <f>TEXT(WEEKDAY(DATE(Junio!CalendarioAño,1,1),1),"ddd")</f>
        <v>jue</v>
      </c>
      <c r="D150" s="16" t="str">
        <f>TEXT(WEEKDAY(DATE(Junio!CalendarioAño,1,2),1),"ddd")</f>
        <v>vie</v>
      </c>
      <c r="E150" s="16" t="str">
        <f>TEXT(WEEKDAY(DATE(Junio!CalendarioAño,1,3),1),"ddd")</f>
        <v>sáb</v>
      </c>
      <c r="F150" s="16" t="str">
        <f>TEXT(WEEKDAY(DATE(Junio!CalendarioAño,1,4),1),"ddd")</f>
        <v>dom</v>
      </c>
      <c r="G150" s="16" t="str">
        <f>TEXT(WEEKDAY(DATE(Junio!CalendarioAño,1,5),1),"ddd")</f>
        <v>lun</v>
      </c>
      <c r="H150" s="16" t="str">
        <f>TEXT(WEEKDAY(DATE(Junio!CalendarioAño,1,6),1),"ddd")</f>
        <v>mar</v>
      </c>
      <c r="I150" s="16" t="str">
        <f>TEXT(WEEKDAY(DATE(Junio!CalendarioAño,1,7),1),"ddd")</f>
        <v>mié</v>
      </c>
      <c r="J150" s="16" t="str">
        <f>TEXT(WEEKDAY(DATE(Junio!CalendarioAño,1,8),1),"ddd")</f>
        <v>jue</v>
      </c>
      <c r="K150" s="16" t="str">
        <f>TEXT(WEEKDAY(DATE(Junio!CalendarioAño,1,9),1),"ddd")</f>
        <v>vie</v>
      </c>
      <c r="L150" s="16" t="str">
        <f>TEXT(WEEKDAY(DATE(Junio!CalendarioAño,1,10),1),"ddd")</f>
        <v>sáb</v>
      </c>
      <c r="M150" s="16" t="str">
        <f>TEXT(WEEKDAY(DATE(Junio!CalendarioAño,1,11),1),"ddd")</f>
        <v>dom</v>
      </c>
      <c r="N150" s="16" t="str">
        <f>TEXT(WEEKDAY(DATE(Junio!CalendarioAño,1,12),1),"ddd")</f>
        <v>lun</v>
      </c>
      <c r="O150" s="16" t="str">
        <f>TEXT(WEEKDAY(DATE(Junio!CalendarioAño,1,13),1),"ddd")</f>
        <v>mar</v>
      </c>
      <c r="P150" s="16" t="str">
        <f>TEXT(WEEKDAY(DATE(Junio!CalendarioAño,1,14),1),"ddd")</f>
        <v>mié</v>
      </c>
      <c r="Q150" s="16" t="str">
        <f>TEXT(WEEKDAY(DATE(Junio!CalendarioAño,1,15),1),"ddd")</f>
        <v>jue</v>
      </c>
      <c r="R150" s="16" t="str">
        <f>TEXT(WEEKDAY(DATE(Junio!CalendarioAño,1,16),1),"ddd")</f>
        <v>vie</v>
      </c>
      <c r="S150" s="16" t="str">
        <f>TEXT(WEEKDAY(DATE(Junio!CalendarioAño,1,17),1),"ddd")</f>
        <v>sáb</v>
      </c>
      <c r="T150" s="16" t="str">
        <f>TEXT(WEEKDAY(DATE(Junio!CalendarioAño,1,18),1),"ddd")</f>
        <v>dom</v>
      </c>
      <c r="U150" s="16" t="str">
        <f>TEXT(WEEKDAY(DATE(Junio!CalendarioAño,1,19),1),"ddd")</f>
        <v>lun</v>
      </c>
      <c r="V150" s="16" t="str">
        <f>TEXT(WEEKDAY(DATE(Junio!CalendarioAño,1,20),1),"ddd")</f>
        <v>mar</v>
      </c>
      <c r="W150" s="16" t="str">
        <f>TEXT(WEEKDAY(DATE(Junio!CalendarioAño,1,21),1),"ddd")</f>
        <v>mié</v>
      </c>
      <c r="X150" s="16" t="str">
        <f>TEXT(WEEKDAY(DATE(Junio!CalendarioAño,1,22),1),"ddd")</f>
        <v>jue</v>
      </c>
      <c r="Y150" s="16" t="str">
        <f>TEXT(WEEKDAY(DATE(Junio!CalendarioAño,1,23),1),"ddd")</f>
        <v>vie</v>
      </c>
      <c r="Z150" s="16" t="str">
        <f>TEXT(WEEKDAY(DATE(Junio!CalendarioAño,1,24),1),"ddd")</f>
        <v>sáb</v>
      </c>
      <c r="AA150" s="16" t="str">
        <f>TEXT(WEEKDAY(DATE(Junio!CalendarioAño,1,25),1),"ddd")</f>
        <v>dom</v>
      </c>
      <c r="AB150" s="16" t="str">
        <f>TEXT(WEEKDAY(DATE(Junio!CalendarioAño,1,26),1),"ddd")</f>
        <v>lun</v>
      </c>
      <c r="AC150" s="16" t="str">
        <f>TEXT(WEEKDAY(DATE(Junio!CalendarioAño,1,27),1),"ddd")</f>
        <v>mar</v>
      </c>
      <c r="AD150" s="16" t="str">
        <f>TEXT(WEEKDAY(DATE(Junio!CalendarioAño,1,28),1),"ddd")</f>
        <v>mié</v>
      </c>
      <c r="AE150" s="16" t="str">
        <f>TEXT(WEEKDAY(DATE(Junio!CalendarioAño,1,29),1),"ddd")</f>
        <v>jue</v>
      </c>
      <c r="AF150" s="16" t="str">
        <f>TEXT(WEEKDAY(DATE(Junio!CalendarioAño,1,30),1),"ddd")</f>
        <v>vie</v>
      </c>
      <c r="AG150" s="16" t="str">
        <f>TEXT(WEEKDAY(DATE(Junio!CalendarioAño,1,31),1),"ddd")</f>
        <v>sáb</v>
      </c>
      <c r="AH150" s="30"/>
      <c r="AI150" s="14"/>
      <c r="AJ150" s="14"/>
    </row>
    <row r="151" ht="30.0" customHeight="1">
      <c r="A151" s="17"/>
      <c r="B151" s="31" t="s">
        <v>14</v>
      </c>
      <c r="C151" s="19" t="s">
        <v>15</v>
      </c>
      <c r="D151" s="19" t="s">
        <v>16</v>
      </c>
      <c r="E151" s="19" t="s">
        <v>17</v>
      </c>
      <c r="F151" s="19" t="s">
        <v>18</v>
      </c>
      <c r="G151" s="19" t="s">
        <v>19</v>
      </c>
      <c r="H151" s="19" t="s">
        <v>20</v>
      </c>
      <c r="I151" s="19" t="s">
        <v>21</v>
      </c>
      <c r="J151" s="19" t="s">
        <v>22</v>
      </c>
      <c r="K151" s="19" t="s">
        <v>23</v>
      </c>
      <c r="L151" s="19" t="s">
        <v>24</v>
      </c>
      <c r="M151" s="19" t="s">
        <v>25</v>
      </c>
      <c r="N151" s="19" t="s">
        <v>26</v>
      </c>
      <c r="O151" s="19" t="s">
        <v>27</v>
      </c>
      <c r="P151" s="19" t="s">
        <v>28</v>
      </c>
      <c r="Q151" s="19" t="s">
        <v>29</v>
      </c>
      <c r="R151" s="19" t="s">
        <v>30</v>
      </c>
      <c r="S151" s="19" t="s">
        <v>31</v>
      </c>
      <c r="T151" s="19" t="s">
        <v>32</v>
      </c>
      <c r="U151" s="19" t="s">
        <v>33</v>
      </c>
      <c r="V151" s="19" t="s">
        <v>34</v>
      </c>
      <c r="W151" s="19" t="s">
        <v>35</v>
      </c>
      <c r="X151" s="19" t="s">
        <v>36</v>
      </c>
      <c r="Y151" s="19" t="s">
        <v>37</v>
      </c>
      <c r="Z151" s="19" t="s">
        <v>38</v>
      </c>
      <c r="AA151" s="19" t="s">
        <v>39</v>
      </c>
      <c r="AB151" s="19" t="s">
        <v>40</v>
      </c>
      <c r="AC151" s="19" t="s">
        <v>41</v>
      </c>
      <c r="AD151" s="19" t="s">
        <v>42</v>
      </c>
      <c r="AE151" s="19" t="s">
        <v>43</v>
      </c>
      <c r="AF151" s="19" t="s">
        <v>44</v>
      </c>
      <c r="AG151" s="19" t="s">
        <v>45</v>
      </c>
      <c r="AH151" s="19" t="s">
        <v>46</v>
      </c>
      <c r="AI151" s="19"/>
      <c r="AJ151" s="19"/>
    </row>
    <row r="152" ht="30.0" customHeight="1">
      <c r="B152" s="32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23"/>
      <c r="AI152" s="23"/>
      <c r="AJ152" s="23"/>
    </row>
    <row r="153" ht="30.0" customHeight="1">
      <c r="B153" s="40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23"/>
      <c r="AI153" s="23"/>
      <c r="AJ153" s="23"/>
    </row>
    <row r="154" ht="30.0" customHeight="1">
      <c r="B154" s="40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23"/>
      <c r="AI154" s="23"/>
      <c r="AJ154" s="23"/>
    </row>
    <row r="155" ht="30.0" customHeight="1">
      <c r="B155" s="32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23"/>
      <c r="AI155" s="23"/>
      <c r="AJ155" s="23"/>
    </row>
    <row r="156" ht="30.0" customHeight="1">
      <c r="B156" s="32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23"/>
      <c r="AI156" s="23"/>
      <c r="AJ156" s="23"/>
    </row>
    <row r="157" ht="30.0" customHeight="1">
      <c r="B157" s="32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23"/>
      <c r="AI157" s="23"/>
      <c r="AJ157" s="23"/>
    </row>
    <row r="158" ht="30.0" customHeight="1">
      <c r="B158" s="32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23"/>
      <c r="AI158" s="23"/>
      <c r="AJ158" s="23"/>
    </row>
    <row r="159" ht="30.0" customHeight="1">
      <c r="B159" s="32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23"/>
      <c r="AI159" s="23"/>
      <c r="AJ159" s="23"/>
    </row>
    <row r="160" ht="30.0" customHeight="1">
      <c r="B160" s="32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23"/>
      <c r="AI160" s="23"/>
      <c r="AJ160" s="23"/>
    </row>
    <row r="161" ht="30.0" customHeight="1">
      <c r="B161" s="32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23"/>
      <c r="AI161" s="23"/>
      <c r="AJ161" s="23"/>
    </row>
    <row r="162" ht="30.0" customHeight="1">
      <c r="B162" s="20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33"/>
      <c r="N162" s="21"/>
      <c r="O162" s="21"/>
      <c r="P162" s="21"/>
      <c r="Q162" s="21"/>
      <c r="R162" s="21"/>
      <c r="S162" s="21"/>
      <c r="T162" s="33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3"/>
      <c r="AI162" s="23"/>
      <c r="AJ162" s="23"/>
    </row>
    <row r="163" ht="30.0" customHeight="1">
      <c r="B163" s="20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33"/>
      <c r="N163" s="21"/>
      <c r="O163" s="21"/>
      <c r="P163" s="21"/>
      <c r="Q163" s="21"/>
      <c r="R163" s="21"/>
      <c r="S163" s="21"/>
      <c r="T163" s="33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3"/>
      <c r="AI163" s="23"/>
      <c r="AJ163" s="23"/>
    </row>
    <row r="164" ht="30.0" customHeight="1">
      <c r="B164" s="48" t="str">
        <f>Junio!MonthName&amp;" Total"</f>
        <v>Enero Total</v>
      </c>
      <c r="C164" s="25">
        <f>SUBTOTAL(103,Junio!$C$7)</f>
        <v>0</v>
      </c>
      <c r="D164" s="25">
        <f>SUBTOTAL(103,Junio!$D$7)</f>
        <v>0</v>
      </c>
      <c r="E164" s="25">
        <f>SUBTOTAL(103,Junio!$E$7)</f>
        <v>0</v>
      </c>
      <c r="F164" s="25"/>
      <c r="G164" s="25"/>
      <c r="H164" s="25">
        <f>SUBTOTAL(103,Junio!$H$7)</f>
        <v>0</v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>
        <f>SUBTOTAL(103,Junio!$Y$7)</f>
        <v>0</v>
      </c>
      <c r="Z164" s="25">
        <f>SUBTOTAL(103,Junio!$Z$7)</f>
        <v>0</v>
      </c>
      <c r="AA164" s="25">
        <f>SUBTOTAL(103,Junio!$AA$7)</f>
        <v>0</v>
      </c>
      <c r="AB164" s="25">
        <f>SUBTOTAL(103,Junio!$AB$7)</f>
        <v>0</v>
      </c>
      <c r="AC164" s="25">
        <f>SUBTOTAL(103,Junio!$AC$7)</f>
        <v>0</v>
      </c>
      <c r="AD164" s="25">
        <f>SUBTOTAL(103,Junio!$AD$7)</f>
        <v>0</v>
      </c>
      <c r="AE164" s="25">
        <f>SUBTOTAL(103,Junio!$AE$7)</f>
        <v>0</v>
      </c>
      <c r="AF164" s="25">
        <f>SUBTOTAL(103,Junio!$AF$7)</f>
        <v>0</v>
      </c>
      <c r="AG164" s="25">
        <f>SUBTOTAL(103,Junio!$AG$7)</f>
        <v>0</v>
      </c>
      <c r="AH164" s="25">
        <f>SUM(C164:AG164)</f>
        <v>0</v>
      </c>
      <c r="AI164" s="25"/>
      <c r="AJ164" s="25"/>
    </row>
    <row r="165" ht="30.0" customHeight="1">
      <c r="AH165" s="5"/>
      <c r="AI165" s="5"/>
      <c r="AJ165" s="5"/>
    </row>
    <row r="166" ht="30.0" customHeight="1">
      <c r="A166" s="50"/>
      <c r="B166" s="30" t="s">
        <v>12</v>
      </c>
      <c r="C166" s="27" t="s">
        <v>171</v>
      </c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39">
        <v>2026.0</v>
      </c>
      <c r="AI166" s="15"/>
      <c r="AJ166" s="15"/>
    </row>
    <row r="167" ht="30.0" customHeight="1">
      <c r="A167" s="50"/>
      <c r="B167" s="56"/>
      <c r="C167" s="16" t="str">
        <f>TEXT(WEEKDAY(DATE(Junio!CalendarioAño,1,1),1),"ddd")</f>
        <v>jue</v>
      </c>
      <c r="D167" s="16" t="str">
        <f>TEXT(WEEKDAY(DATE(Junio!CalendarioAño,1,2),1),"ddd")</f>
        <v>vie</v>
      </c>
      <c r="E167" s="16" t="str">
        <f>TEXT(WEEKDAY(DATE(Junio!CalendarioAño,1,3),1),"ddd")</f>
        <v>sáb</v>
      </c>
      <c r="F167" s="16" t="str">
        <f>TEXT(WEEKDAY(DATE(Junio!CalendarioAño,1,4),1),"ddd")</f>
        <v>dom</v>
      </c>
      <c r="G167" s="16" t="str">
        <f>TEXT(WEEKDAY(DATE(Junio!CalendarioAño,1,5),1),"ddd")</f>
        <v>lun</v>
      </c>
      <c r="H167" s="16" t="str">
        <f>TEXT(WEEKDAY(DATE(Junio!CalendarioAño,1,6),1),"ddd")</f>
        <v>mar</v>
      </c>
      <c r="I167" s="16" t="str">
        <f>TEXT(WEEKDAY(DATE(Junio!CalendarioAño,1,7),1),"ddd")</f>
        <v>mié</v>
      </c>
      <c r="J167" s="16" t="str">
        <f>TEXT(WEEKDAY(DATE(Junio!CalendarioAño,1,8),1),"ddd")</f>
        <v>jue</v>
      </c>
      <c r="K167" s="16" t="str">
        <f>TEXT(WEEKDAY(DATE(Junio!CalendarioAño,1,9),1),"ddd")</f>
        <v>vie</v>
      </c>
      <c r="L167" s="16" t="str">
        <f>TEXT(WEEKDAY(DATE(Junio!CalendarioAño,1,10),1),"ddd")</f>
        <v>sáb</v>
      </c>
      <c r="M167" s="16" t="str">
        <f>TEXT(WEEKDAY(DATE(Junio!CalendarioAño,1,11),1),"ddd")</f>
        <v>dom</v>
      </c>
      <c r="N167" s="16" t="str">
        <f>TEXT(WEEKDAY(DATE(Junio!CalendarioAño,1,12),1),"ddd")</f>
        <v>lun</v>
      </c>
      <c r="O167" s="16" t="str">
        <f>TEXT(WEEKDAY(DATE(Junio!CalendarioAño,1,13),1),"ddd")</f>
        <v>mar</v>
      </c>
      <c r="P167" s="16" t="str">
        <f>TEXT(WEEKDAY(DATE(Junio!CalendarioAño,1,14),1),"ddd")</f>
        <v>mié</v>
      </c>
      <c r="Q167" s="16" t="str">
        <f>TEXT(WEEKDAY(DATE(Junio!CalendarioAño,1,15),1),"ddd")</f>
        <v>jue</v>
      </c>
      <c r="R167" s="16" t="str">
        <f>TEXT(WEEKDAY(DATE(Junio!CalendarioAño,1,16),1),"ddd")</f>
        <v>vie</v>
      </c>
      <c r="S167" s="16" t="str">
        <f>TEXT(WEEKDAY(DATE(Junio!CalendarioAño,1,17),1),"ddd")</f>
        <v>sáb</v>
      </c>
      <c r="T167" s="16" t="str">
        <f>TEXT(WEEKDAY(DATE(Junio!CalendarioAño,1,18),1),"ddd")</f>
        <v>dom</v>
      </c>
      <c r="U167" s="16" t="str">
        <f>TEXT(WEEKDAY(DATE(Junio!CalendarioAño,1,19),1),"ddd")</f>
        <v>lun</v>
      </c>
      <c r="V167" s="16" t="str">
        <f>TEXT(WEEKDAY(DATE(Junio!CalendarioAño,1,20),1),"ddd")</f>
        <v>mar</v>
      </c>
      <c r="W167" s="16" t="str">
        <f>TEXT(WEEKDAY(DATE(Junio!CalendarioAño,1,21),1),"ddd")</f>
        <v>mié</v>
      </c>
      <c r="X167" s="16" t="str">
        <f>TEXT(WEEKDAY(DATE(Junio!CalendarioAño,1,22),1),"ddd")</f>
        <v>jue</v>
      </c>
      <c r="Y167" s="16" t="str">
        <f>TEXT(WEEKDAY(DATE(Junio!CalendarioAño,1,23),1),"ddd")</f>
        <v>vie</v>
      </c>
      <c r="Z167" s="16" t="str">
        <f>TEXT(WEEKDAY(DATE(Junio!CalendarioAño,1,24),1),"ddd")</f>
        <v>sáb</v>
      </c>
      <c r="AA167" s="16" t="str">
        <f>TEXT(WEEKDAY(DATE(Junio!CalendarioAño,1,25),1),"ddd")</f>
        <v>dom</v>
      </c>
      <c r="AB167" s="16" t="str">
        <f>TEXT(WEEKDAY(DATE(Junio!CalendarioAño,1,26),1),"ddd")</f>
        <v>lun</v>
      </c>
      <c r="AC167" s="16" t="str">
        <f>TEXT(WEEKDAY(DATE(Junio!CalendarioAño,1,27),1),"ddd")</f>
        <v>mar</v>
      </c>
      <c r="AD167" s="16" t="str">
        <f>TEXT(WEEKDAY(DATE(Junio!CalendarioAño,1,28),1),"ddd")</f>
        <v>mié</v>
      </c>
      <c r="AE167" s="16" t="str">
        <f>TEXT(WEEKDAY(DATE(Junio!CalendarioAño,1,29),1),"ddd")</f>
        <v>jue</v>
      </c>
      <c r="AF167" s="16" t="str">
        <f>TEXT(WEEKDAY(DATE(Junio!CalendarioAño,1,30),1),"ddd")</f>
        <v>vie</v>
      </c>
      <c r="AG167" s="16" t="str">
        <f>TEXT(WEEKDAY(DATE(Junio!CalendarioAño,1,31),1),"ddd")</f>
        <v>sáb</v>
      </c>
      <c r="AH167" s="57"/>
      <c r="AI167" s="119"/>
      <c r="AJ167" s="119"/>
    </row>
    <row r="168" ht="30.0" customHeight="1">
      <c r="A168" s="18"/>
      <c r="B168" s="31" t="s">
        <v>14</v>
      </c>
      <c r="C168" s="19" t="s">
        <v>15</v>
      </c>
      <c r="D168" s="19" t="s">
        <v>16</v>
      </c>
      <c r="E168" s="19" t="s">
        <v>17</v>
      </c>
      <c r="F168" s="19" t="s">
        <v>18</v>
      </c>
      <c r="G168" s="19" t="s">
        <v>19</v>
      </c>
      <c r="H168" s="19" t="s">
        <v>20</v>
      </c>
      <c r="I168" s="19" t="s">
        <v>21</v>
      </c>
      <c r="J168" s="19" t="s">
        <v>22</v>
      </c>
      <c r="K168" s="19" t="s">
        <v>23</v>
      </c>
      <c r="L168" s="19" t="s">
        <v>24</v>
      </c>
      <c r="M168" s="19" t="s">
        <v>25</v>
      </c>
      <c r="N168" s="19" t="s">
        <v>26</v>
      </c>
      <c r="O168" s="19" t="s">
        <v>27</v>
      </c>
      <c r="P168" s="19" t="s">
        <v>28</v>
      </c>
      <c r="Q168" s="19" t="s">
        <v>29</v>
      </c>
      <c r="R168" s="19" t="s">
        <v>30</v>
      </c>
      <c r="S168" s="19" t="s">
        <v>31</v>
      </c>
      <c r="T168" s="19" t="s">
        <v>32</v>
      </c>
      <c r="U168" s="19" t="s">
        <v>33</v>
      </c>
      <c r="V168" s="19" t="s">
        <v>34</v>
      </c>
      <c r="W168" s="19" t="s">
        <v>35</v>
      </c>
      <c r="X168" s="19" t="s">
        <v>36</v>
      </c>
      <c r="Y168" s="19" t="s">
        <v>37</v>
      </c>
      <c r="Z168" s="19" t="s">
        <v>38</v>
      </c>
      <c r="AA168" s="19" t="s">
        <v>39</v>
      </c>
      <c r="AB168" s="19" t="s">
        <v>40</v>
      </c>
      <c r="AC168" s="19" t="s">
        <v>41</v>
      </c>
      <c r="AD168" s="19" t="s">
        <v>42</v>
      </c>
      <c r="AE168" s="19" t="s">
        <v>43</v>
      </c>
      <c r="AF168" s="19" t="s">
        <v>44</v>
      </c>
      <c r="AG168" s="19" t="s">
        <v>45</v>
      </c>
      <c r="AH168" s="19" t="s">
        <v>46</v>
      </c>
      <c r="AI168" s="19"/>
      <c r="AJ168" s="19"/>
    </row>
    <row r="169" ht="30.0" customHeight="1">
      <c r="A169" s="50"/>
      <c r="B169" s="58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59"/>
      <c r="AI169" s="59"/>
      <c r="AJ169" s="59"/>
    </row>
    <row r="170" ht="30.0" customHeight="1">
      <c r="A170" s="50"/>
      <c r="B170" s="60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59"/>
      <c r="AI170" s="59"/>
      <c r="AJ170" s="59"/>
    </row>
    <row r="171" ht="30.0" customHeight="1">
      <c r="A171" s="50"/>
      <c r="B171" s="58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59"/>
      <c r="AI171" s="59"/>
      <c r="AJ171" s="59"/>
    </row>
    <row r="172" ht="30.0" customHeight="1">
      <c r="A172" s="50"/>
      <c r="B172" s="60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59"/>
      <c r="AI172" s="59"/>
      <c r="AJ172" s="59"/>
    </row>
    <row r="173" ht="30.0" customHeight="1">
      <c r="A173" s="50"/>
      <c r="B173" s="60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59"/>
      <c r="AI173" s="59"/>
      <c r="AJ173" s="59"/>
    </row>
    <row r="174" ht="30.0" customHeight="1">
      <c r="A174" s="50"/>
      <c r="B174" s="58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59"/>
      <c r="AI174" s="59"/>
      <c r="AJ174" s="59"/>
    </row>
    <row r="175" ht="30.0" customHeight="1">
      <c r="A175" s="50"/>
      <c r="B175" s="58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59"/>
      <c r="AI175" s="59"/>
      <c r="AJ175" s="59"/>
    </row>
    <row r="176" ht="30.0" customHeight="1">
      <c r="A176" s="50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59"/>
      <c r="AI176" s="59"/>
      <c r="AJ176" s="59"/>
    </row>
    <row r="177" ht="30.0" customHeight="1">
      <c r="A177" s="50"/>
      <c r="B177" s="62" t="str">
        <f>Junio!MonthName&amp;" Total"</f>
        <v>Enero Total</v>
      </c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5"/>
      <c r="AI177" s="65"/>
      <c r="AJ177" s="65"/>
    </row>
    <row r="178" ht="30.0" customHeight="1">
      <c r="B178" s="123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124"/>
      <c r="AI178" s="124"/>
      <c r="AJ178" s="124"/>
    </row>
    <row r="179" ht="30.0" customHeight="1">
      <c r="A179" s="50"/>
      <c r="B179" s="30" t="s">
        <v>12</v>
      </c>
      <c r="C179" s="27" t="s">
        <v>179</v>
      </c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39">
        <v>2026.0</v>
      </c>
      <c r="AI179" s="15"/>
      <c r="AJ179" s="15"/>
    </row>
    <row r="180" ht="30.0" customHeight="1">
      <c r="A180" s="50"/>
      <c r="B180" s="56"/>
      <c r="C180" s="16" t="str">
        <f>TEXT(WEEKDAY(DATE(Junio!CalendarioAño,1,1),1),"ddd")</f>
        <v>jue</v>
      </c>
      <c r="D180" s="16" t="str">
        <f>TEXT(WEEKDAY(DATE(Junio!CalendarioAño,1,2),1),"ddd")</f>
        <v>vie</v>
      </c>
      <c r="E180" s="16" t="str">
        <f>TEXT(WEEKDAY(DATE(Junio!CalendarioAño,1,3),1),"ddd")</f>
        <v>sáb</v>
      </c>
      <c r="F180" s="16" t="str">
        <f>TEXT(WEEKDAY(DATE(Junio!CalendarioAño,1,4),1),"ddd")</f>
        <v>dom</v>
      </c>
      <c r="G180" s="16" t="str">
        <f>TEXT(WEEKDAY(DATE(Junio!CalendarioAño,1,5),1),"ddd")</f>
        <v>lun</v>
      </c>
      <c r="H180" s="16" t="str">
        <f>TEXT(WEEKDAY(DATE(Junio!CalendarioAño,1,6),1),"ddd")</f>
        <v>mar</v>
      </c>
      <c r="I180" s="16" t="str">
        <f>TEXT(WEEKDAY(DATE(Junio!CalendarioAño,1,7),1),"ddd")</f>
        <v>mié</v>
      </c>
      <c r="J180" s="16" t="str">
        <f>TEXT(WEEKDAY(DATE(Junio!CalendarioAño,1,8),1),"ddd")</f>
        <v>jue</v>
      </c>
      <c r="K180" s="16" t="str">
        <f>TEXT(WEEKDAY(DATE(Junio!CalendarioAño,1,9),1),"ddd")</f>
        <v>vie</v>
      </c>
      <c r="L180" s="16" t="str">
        <f>TEXT(WEEKDAY(DATE(Junio!CalendarioAño,1,10),1),"ddd")</f>
        <v>sáb</v>
      </c>
      <c r="M180" s="16" t="str">
        <f>TEXT(WEEKDAY(DATE(Junio!CalendarioAño,1,11),1),"ddd")</f>
        <v>dom</v>
      </c>
      <c r="N180" s="16" t="str">
        <f>TEXT(WEEKDAY(DATE(Junio!CalendarioAño,1,12),1),"ddd")</f>
        <v>lun</v>
      </c>
      <c r="O180" s="16" t="str">
        <f>TEXT(WEEKDAY(DATE(Junio!CalendarioAño,1,13),1),"ddd")</f>
        <v>mar</v>
      </c>
      <c r="P180" s="16" t="str">
        <f>TEXT(WEEKDAY(DATE(Junio!CalendarioAño,1,14),1),"ddd")</f>
        <v>mié</v>
      </c>
      <c r="Q180" s="16" t="str">
        <f>TEXT(WEEKDAY(DATE(Junio!CalendarioAño,1,15),1),"ddd")</f>
        <v>jue</v>
      </c>
      <c r="R180" s="16" t="str">
        <f>TEXT(WEEKDAY(DATE(Junio!CalendarioAño,1,16),1),"ddd")</f>
        <v>vie</v>
      </c>
      <c r="S180" s="16" t="str">
        <f>TEXT(WEEKDAY(DATE(Junio!CalendarioAño,1,17),1),"ddd")</f>
        <v>sáb</v>
      </c>
      <c r="T180" s="16" t="str">
        <f>TEXT(WEEKDAY(DATE(Junio!CalendarioAño,1,18),1),"ddd")</f>
        <v>dom</v>
      </c>
      <c r="U180" s="16" t="str">
        <f>TEXT(WEEKDAY(DATE(Junio!CalendarioAño,1,19),1),"ddd")</f>
        <v>lun</v>
      </c>
      <c r="V180" s="16" t="str">
        <f>TEXT(WEEKDAY(DATE(Junio!CalendarioAño,1,20),1),"ddd")</f>
        <v>mar</v>
      </c>
      <c r="W180" s="16" t="str">
        <f>TEXT(WEEKDAY(DATE(Junio!CalendarioAño,1,21),1),"ddd")</f>
        <v>mié</v>
      </c>
      <c r="X180" s="16" t="str">
        <f>TEXT(WEEKDAY(DATE(Junio!CalendarioAño,1,22),1),"ddd")</f>
        <v>jue</v>
      </c>
      <c r="Y180" s="16" t="str">
        <f>TEXT(WEEKDAY(DATE(Junio!CalendarioAño,1,23),1),"ddd")</f>
        <v>vie</v>
      </c>
      <c r="Z180" s="16" t="str">
        <f>TEXT(WEEKDAY(DATE(Junio!CalendarioAño,1,24),1),"ddd")</f>
        <v>sáb</v>
      </c>
      <c r="AA180" s="16" t="str">
        <f>TEXT(WEEKDAY(DATE(Junio!CalendarioAño,1,25),1),"ddd")</f>
        <v>dom</v>
      </c>
      <c r="AB180" s="16" t="str">
        <f>TEXT(WEEKDAY(DATE(Junio!CalendarioAño,1,26),1),"ddd")</f>
        <v>lun</v>
      </c>
      <c r="AC180" s="16" t="str">
        <f>TEXT(WEEKDAY(DATE(Junio!CalendarioAño,1,27),1),"ddd")</f>
        <v>mar</v>
      </c>
      <c r="AD180" s="16" t="str">
        <f>TEXT(WEEKDAY(DATE(Junio!CalendarioAño,1,28),1),"ddd")</f>
        <v>mié</v>
      </c>
      <c r="AE180" s="16" t="str">
        <f>TEXT(WEEKDAY(DATE(Junio!CalendarioAño,1,29),1),"ddd")</f>
        <v>jue</v>
      </c>
      <c r="AF180" s="16" t="str">
        <f>TEXT(WEEKDAY(DATE(Junio!CalendarioAño,1,30),1),"ddd")</f>
        <v>vie</v>
      </c>
      <c r="AG180" s="16" t="str">
        <f>TEXT(WEEKDAY(DATE(Junio!CalendarioAño,1,31),1),"ddd")</f>
        <v>sáb</v>
      </c>
      <c r="AH180" s="57"/>
      <c r="AI180" s="119"/>
      <c r="AJ180" s="119"/>
    </row>
    <row r="181" ht="30.0" customHeight="1">
      <c r="A181" s="18"/>
      <c r="B181" s="31" t="s">
        <v>14</v>
      </c>
      <c r="C181" s="19" t="s">
        <v>15</v>
      </c>
      <c r="D181" s="19" t="s">
        <v>16</v>
      </c>
      <c r="E181" s="19" t="s">
        <v>17</v>
      </c>
      <c r="F181" s="19" t="s">
        <v>18</v>
      </c>
      <c r="G181" s="19" t="s">
        <v>19</v>
      </c>
      <c r="H181" s="19" t="s">
        <v>20</v>
      </c>
      <c r="I181" s="19" t="s">
        <v>21</v>
      </c>
      <c r="J181" s="19" t="s">
        <v>22</v>
      </c>
      <c r="K181" s="19" t="s">
        <v>23</v>
      </c>
      <c r="L181" s="19" t="s">
        <v>24</v>
      </c>
      <c r="M181" s="19" t="s">
        <v>25</v>
      </c>
      <c r="N181" s="19" t="s">
        <v>26</v>
      </c>
      <c r="O181" s="19" t="s">
        <v>27</v>
      </c>
      <c r="P181" s="19" t="s">
        <v>28</v>
      </c>
      <c r="Q181" s="19" t="s">
        <v>29</v>
      </c>
      <c r="R181" s="19" t="s">
        <v>30</v>
      </c>
      <c r="S181" s="19" t="s">
        <v>31</v>
      </c>
      <c r="T181" s="19" t="s">
        <v>32</v>
      </c>
      <c r="U181" s="19" t="s">
        <v>33</v>
      </c>
      <c r="V181" s="19" t="s">
        <v>34</v>
      </c>
      <c r="W181" s="19" t="s">
        <v>35</v>
      </c>
      <c r="X181" s="19" t="s">
        <v>36</v>
      </c>
      <c r="Y181" s="19" t="s">
        <v>37</v>
      </c>
      <c r="Z181" s="19" t="s">
        <v>38</v>
      </c>
      <c r="AA181" s="19" t="s">
        <v>39</v>
      </c>
      <c r="AB181" s="19" t="s">
        <v>40</v>
      </c>
      <c r="AC181" s="19" t="s">
        <v>41</v>
      </c>
      <c r="AD181" s="19" t="s">
        <v>42</v>
      </c>
      <c r="AE181" s="19" t="s">
        <v>43</v>
      </c>
      <c r="AF181" s="19" t="s">
        <v>44</v>
      </c>
      <c r="AG181" s="19" t="s">
        <v>45</v>
      </c>
      <c r="AH181" s="19" t="s">
        <v>46</v>
      </c>
      <c r="AI181" s="19"/>
      <c r="AJ181" s="19"/>
    </row>
    <row r="182" ht="30.0" customHeight="1">
      <c r="A182" s="50"/>
      <c r="B182" s="58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59"/>
      <c r="AI182" s="59"/>
      <c r="AJ182" s="59"/>
    </row>
    <row r="183" ht="30.0" customHeight="1">
      <c r="A183" s="50"/>
      <c r="B183" s="60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59"/>
      <c r="AI183" s="59"/>
      <c r="AJ183" s="59"/>
    </row>
    <row r="184" ht="30.0" customHeight="1">
      <c r="A184" s="50"/>
      <c r="B184" s="58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59"/>
      <c r="AI184" s="59"/>
      <c r="AJ184" s="59"/>
    </row>
    <row r="185" ht="30.0" customHeight="1">
      <c r="A185" s="50"/>
      <c r="B185" s="36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59"/>
      <c r="AI185" s="59"/>
      <c r="AJ185" s="59"/>
    </row>
    <row r="186" ht="30.0" customHeight="1">
      <c r="A186" s="50"/>
      <c r="B186" s="6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59"/>
      <c r="AI186" s="59"/>
      <c r="AJ186" s="59"/>
    </row>
    <row r="187" ht="30.0" customHeight="1">
      <c r="A187" s="50"/>
      <c r="B187" s="62"/>
      <c r="C187" s="63">
        <f>SUBTOTAL(103,Junio!$C$7)</f>
        <v>0</v>
      </c>
      <c r="D187" s="63">
        <f>SUBTOTAL(103,Junio!$D$7)</f>
        <v>0</v>
      </c>
      <c r="E187" s="63">
        <f>SUBTOTAL(103,Junio!$E$7)</f>
        <v>0</v>
      </c>
      <c r="F187" s="63"/>
      <c r="G187" s="63"/>
      <c r="H187" s="63">
        <f>SUBTOTAL(103,Junio!$H$7)</f>
        <v>0</v>
      </c>
      <c r="I187" s="63">
        <f>SUBTOTAL(103,Junio!$I$7)</f>
        <v>0</v>
      </c>
      <c r="J187" s="63">
        <f>SUBTOTAL(103,Junio!$J$7)</f>
        <v>0</v>
      </c>
      <c r="K187" s="63">
        <f>SUBTOTAL(103,Junio!$K$7)</f>
        <v>0</v>
      </c>
      <c r="L187" s="63">
        <f>SUBTOTAL(103,Junio!$L$7)</f>
        <v>0</v>
      </c>
      <c r="M187" s="63"/>
      <c r="N187" s="63">
        <f>SUBTOTAL(103,Junio!$N$7)</f>
        <v>0</v>
      </c>
      <c r="O187" s="63">
        <f>SUBTOTAL(103,Junio!$O$7)</f>
        <v>0</v>
      </c>
      <c r="P187" s="63">
        <f>SUBTOTAL(103,Junio!$P$7)</f>
        <v>0</v>
      </c>
      <c r="Q187" s="63">
        <f>SUBTOTAL(103,Junio!$Q$7)</f>
        <v>0</v>
      </c>
      <c r="R187" s="63">
        <f>SUBTOTAL(103,Junio!$R$7)</f>
        <v>0</v>
      </c>
      <c r="S187" s="63">
        <f>SUBTOTAL(103,Junio!$S$7)</f>
        <v>0</v>
      </c>
      <c r="T187" s="63">
        <f>SUBTOTAL(103,Junio!$T$7)</f>
        <v>0</v>
      </c>
      <c r="U187" s="63">
        <f>SUBTOTAL(103,Junio!$U$7)</f>
        <v>0</v>
      </c>
      <c r="V187" s="63"/>
      <c r="W187" s="63">
        <f>SUBTOTAL(103,Junio!$W$7)</f>
        <v>0</v>
      </c>
      <c r="X187" s="63">
        <f>SUBTOTAL(103,Junio!$X$7)</f>
        <v>0</v>
      </c>
      <c r="Y187" s="63">
        <f>SUBTOTAL(103,Junio!$Y$7)</f>
        <v>0</v>
      </c>
      <c r="Z187" s="63">
        <f>SUBTOTAL(103,Junio!$Z$7)</f>
        <v>0</v>
      </c>
      <c r="AA187" s="63">
        <f>SUBTOTAL(103,Junio!$AA$7)</f>
        <v>0</v>
      </c>
      <c r="AB187" s="63">
        <f>SUBTOTAL(103,Junio!$AB$7)</f>
        <v>0</v>
      </c>
      <c r="AC187" s="63">
        <f>SUBTOTAL(103,Junio!$AC$7)</f>
        <v>0</v>
      </c>
      <c r="AD187" s="63">
        <f>SUBTOTAL(103,Junio!$AD$7)</f>
        <v>0</v>
      </c>
      <c r="AE187" s="63">
        <f>SUBTOTAL(103,Junio!$AE$7)</f>
        <v>0</v>
      </c>
      <c r="AF187" s="63">
        <f>SUBTOTAL(103,Junio!$AF$7)</f>
        <v>0</v>
      </c>
      <c r="AG187" s="63">
        <f>SUBTOTAL(103,Junio!$AG$7)</f>
        <v>0</v>
      </c>
      <c r="AH187" s="65"/>
      <c r="AI187" s="65"/>
      <c r="AJ187" s="65"/>
    </row>
    <row r="188" ht="30.0" customHeight="1">
      <c r="AH188" s="5"/>
      <c r="AI188" s="5"/>
      <c r="AJ188" s="5"/>
    </row>
    <row r="189" ht="30.0" customHeight="1">
      <c r="A189" s="50"/>
      <c r="B189" s="30" t="s">
        <v>12</v>
      </c>
      <c r="C189" s="27" t="s">
        <v>183</v>
      </c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39">
        <v>2026.0</v>
      </c>
      <c r="AI189" s="15"/>
      <c r="AJ189" s="15"/>
    </row>
    <row r="190" ht="30.0" customHeight="1">
      <c r="A190" s="50"/>
      <c r="B190" s="56"/>
      <c r="C190" s="16" t="str">
        <f>TEXT(WEEKDAY(DATE(Junio!CalendarioAño,1,1),1),"ddd")</f>
        <v>jue</v>
      </c>
      <c r="D190" s="16" t="str">
        <f>TEXT(WEEKDAY(DATE(Junio!CalendarioAño,1,2),1),"ddd")</f>
        <v>vie</v>
      </c>
      <c r="E190" s="16" t="str">
        <f>TEXT(WEEKDAY(DATE(Junio!CalendarioAño,1,3),1),"ddd")</f>
        <v>sáb</v>
      </c>
      <c r="F190" s="16" t="str">
        <f>TEXT(WEEKDAY(DATE(Junio!CalendarioAño,1,4),1),"ddd")</f>
        <v>dom</v>
      </c>
      <c r="G190" s="16" t="str">
        <f>TEXT(WEEKDAY(DATE(Junio!CalendarioAño,1,5),1),"ddd")</f>
        <v>lun</v>
      </c>
      <c r="H190" s="16" t="str">
        <f>TEXT(WEEKDAY(DATE(Junio!CalendarioAño,1,6),1),"ddd")</f>
        <v>mar</v>
      </c>
      <c r="I190" s="16" t="str">
        <f>TEXT(WEEKDAY(DATE(Junio!CalendarioAño,1,7),1),"ddd")</f>
        <v>mié</v>
      </c>
      <c r="J190" s="16" t="str">
        <f>TEXT(WEEKDAY(DATE(Junio!CalendarioAño,1,8),1),"ddd")</f>
        <v>jue</v>
      </c>
      <c r="K190" s="16" t="str">
        <f>TEXT(WEEKDAY(DATE(Junio!CalendarioAño,1,9),1),"ddd")</f>
        <v>vie</v>
      </c>
      <c r="L190" s="16" t="str">
        <f>TEXT(WEEKDAY(DATE(Junio!CalendarioAño,1,10),1),"ddd")</f>
        <v>sáb</v>
      </c>
      <c r="M190" s="16" t="str">
        <f>TEXT(WEEKDAY(DATE(Junio!CalendarioAño,1,11),1),"ddd")</f>
        <v>dom</v>
      </c>
      <c r="N190" s="16" t="str">
        <f>TEXT(WEEKDAY(DATE(Junio!CalendarioAño,1,12),1),"ddd")</f>
        <v>lun</v>
      </c>
      <c r="O190" s="16" t="str">
        <f>TEXT(WEEKDAY(DATE(Junio!CalendarioAño,1,13),1),"ddd")</f>
        <v>mar</v>
      </c>
      <c r="P190" s="16" t="str">
        <f>TEXT(WEEKDAY(DATE(Junio!CalendarioAño,1,14),1),"ddd")</f>
        <v>mié</v>
      </c>
      <c r="Q190" s="16" t="str">
        <f>TEXT(WEEKDAY(DATE(Junio!CalendarioAño,1,15),1),"ddd")</f>
        <v>jue</v>
      </c>
      <c r="R190" s="16" t="str">
        <f>TEXT(WEEKDAY(DATE(Junio!CalendarioAño,1,16),1),"ddd")</f>
        <v>vie</v>
      </c>
      <c r="S190" s="16" t="str">
        <f>TEXT(WEEKDAY(DATE(Junio!CalendarioAño,1,17),1),"ddd")</f>
        <v>sáb</v>
      </c>
      <c r="T190" s="16" t="str">
        <f>TEXT(WEEKDAY(DATE(Junio!CalendarioAño,1,18),1),"ddd")</f>
        <v>dom</v>
      </c>
      <c r="U190" s="16" t="str">
        <f>TEXT(WEEKDAY(DATE(Junio!CalendarioAño,1,19),1),"ddd")</f>
        <v>lun</v>
      </c>
      <c r="V190" s="16" t="str">
        <f>TEXT(WEEKDAY(DATE(Junio!CalendarioAño,1,20),1),"ddd")</f>
        <v>mar</v>
      </c>
      <c r="W190" s="16" t="str">
        <f>TEXT(WEEKDAY(DATE(Junio!CalendarioAño,1,21),1),"ddd")</f>
        <v>mié</v>
      </c>
      <c r="X190" s="16" t="str">
        <f>TEXT(WEEKDAY(DATE(Junio!CalendarioAño,1,22),1),"ddd")</f>
        <v>jue</v>
      </c>
      <c r="Y190" s="16" t="str">
        <f>TEXT(WEEKDAY(DATE(Junio!CalendarioAño,1,23),1),"ddd")</f>
        <v>vie</v>
      </c>
      <c r="Z190" s="16" t="str">
        <f>TEXT(WEEKDAY(DATE(Junio!CalendarioAño,1,24),1),"ddd")</f>
        <v>sáb</v>
      </c>
      <c r="AA190" s="16" t="str">
        <f>TEXT(WEEKDAY(DATE(Junio!CalendarioAño,1,25),1),"ddd")</f>
        <v>dom</v>
      </c>
      <c r="AB190" s="16" t="str">
        <f>TEXT(WEEKDAY(DATE(Junio!CalendarioAño,1,26),1),"ddd")</f>
        <v>lun</v>
      </c>
      <c r="AC190" s="16" t="str">
        <f>TEXT(WEEKDAY(DATE(Junio!CalendarioAño,1,27),1),"ddd")</f>
        <v>mar</v>
      </c>
      <c r="AD190" s="16" t="str">
        <f>TEXT(WEEKDAY(DATE(Junio!CalendarioAño,1,28),1),"ddd")</f>
        <v>mié</v>
      </c>
      <c r="AE190" s="16" t="str">
        <f>TEXT(WEEKDAY(DATE(Junio!CalendarioAño,1,29),1),"ddd")</f>
        <v>jue</v>
      </c>
      <c r="AF190" s="16" t="str">
        <f>TEXT(WEEKDAY(DATE(Junio!CalendarioAño,1,30),1),"ddd")</f>
        <v>vie</v>
      </c>
      <c r="AG190" s="16" t="str">
        <f>TEXT(WEEKDAY(DATE(Junio!CalendarioAño,1,31),1),"ddd")</f>
        <v>sáb</v>
      </c>
      <c r="AH190" s="57"/>
      <c r="AI190" s="119"/>
      <c r="AJ190" s="119"/>
    </row>
    <row r="191" ht="30.0" customHeight="1">
      <c r="A191" s="18"/>
      <c r="B191" s="66" t="s">
        <v>14</v>
      </c>
      <c r="C191" s="19" t="s">
        <v>15</v>
      </c>
      <c r="D191" s="19" t="s">
        <v>16</v>
      </c>
      <c r="E191" s="19" t="s">
        <v>17</v>
      </c>
      <c r="F191" s="19" t="s">
        <v>18</v>
      </c>
      <c r="G191" s="19" t="s">
        <v>19</v>
      </c>
      <c r="H191" s="19" t="s">
        <v>20</v>
      </c>
      <c r="I191" s="19" t="s">
        <v>21</v>
      </c>
      <c r="J191" s="19" t="s">
        <v>22</v>
      </c>
      <c r="K191" s="19" t="s">
        <v>23</v>
      </c>
      <c r="L191" s="19" t="s">
        <v>24</v>
      </c>
      <c r="M191" s="19" t="s">
        <v>25</v>
      </c>
      <c r="N191" s="19" t="s">
        <v>26</v>
      </c>
      <c r="O191" s="19" t="s">
        <v>27</v>
      </c>
      <c r="P191" s="19" t="s">
        <v>28</v>
      </c>
      <c r="Q191" s="19" t="s">
        <v>29</v>
      </c>
      <c r="R191" s="19" t="s">
        <v>30</v>
      </c>
      <c r="S191" s="19" t="s">
        <v>31</v>
      </c>
      <c r="T191" s="19" t="s">
        <v>32</v>
      </c>
      <c r="U191" s="19" t="s">
        <v>33</v>
      </c>
      <c r="V191" s="19" t="s">
        <v>34</v>
      </c>
      <c r="W191" s="19" t="s">
        <v>35</v>
      </c>
      <c r="X191" s="19" t="s">
        <v>36</v>
      </c>
      <c r="Y191" s="19" t="s">
        <v>37</v>
      </c>
      <c r="Z191" s="19" t="s">
        <v>38</v>
      </c>
      <c r="AA191" s="19" t="s">
        <v>39</v>
      </c>
      <c r="AB191" s="19" t="s">
        <v>40</v>
      </c>
      <c r="AC191" s="19" t="s">
        <v>41</v>
      </c>
      <c r="AD191" s="19" t="s">
        <v>42</v>
      </c>
      <c r="AE191" s="19" t="s">
        <v>43</v>
      </c>
      <c r="AF191" s="19" t="s">
        <v>44</v>
      </c>
      <c r="AG191" s="19" t="s">
        <v>45</v>
      </c>
      <c r="AH191" s="19" t="s">
        <v>46</v>
      </c>
      <c r="AI191" s="19"/>
      <c r="AJ191" s="19"/>
    </row>
    <row r="192" ht="30.0" customHeight="1">
      <c r="A192" s="50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59"/>
      <c r="AI192" s="59"/>
      <c r="AJ192" s="59"/>
    </row>
    <row r="193" ht="30.0" customHeight="1">
      <c r="A193" s="50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7"/>
      <c r="AI193" s="67"/>
      <c r="AJ193" s="67"/>
    </row>
    <row r="194" ht="30.0" customHeight="1">
      <c r="A194" s="50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59"/>
      <c r="AI194" s="59"/>
      <c r="AJ194" s="59"/>
    </row>
    <row r="195" ht="30.0" customHeight="1">
      <c r="A195" s="50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7"/>
      <c r="AI195" s="67"/>
      <c r="AJ195" s="67"/>
    </row>
    <row r="196" ht="30.0" customHeight="1">
      <c r="A196" s="50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59"/>
      <c r="AI196" s="59"/>
      <c r="AJ196" s="59"/>
    </row>
    <row r="197" ht="30.0" customHeight="1">
      <c r="A197" s="50"/>
      <c r="B197" s="62" t="str">
        <f>Junio!MonthName&amp;" Total"</f>
        <v>Enero Total</v>
      </c>
      <c r="C197" s="63">
        <f>SUBTOTAL(103,Junio!$C$7)</f>
        <v>0</v>
      </c>
      <c r="D197" s="63">
        <f>SUBTOTAL(103,Junio!$D$7)</f>
        <v>0</v>
      </c>
      <c r="E197" s="63">
        <f>SUBTOTAL(103,Junio!$E$7)</f>
        <v>0</v>
      </c>
      <c r="F197" s="63"/>
      <c r="G197" s="63"/>
      <c r="H197" s="63">
        <f>SUBTOTAL(103,Junio!$H$7)</f>
        <v>0</v>
      </c>
      <c r="I197" s="63">
        <f>SUBTOTAL(103,Junio!$I$7)</f>
        <v>0</v>
      </c>
      <c r="J197" s="63">
        <f>SUBTOTAL(103,Junio!$J$7)</f>
        <v>0</v>
      </c>
      <c r="K197" s="63">
        <f>SUBTOTAL(103,Junio!$K$7)</f>
        <v>0</v>
      </c>
      <c r="L197" s="63">
        <f>SUBTOTAL(103,Junio!$L$7)</f>
        <v>0</v>
      </c>
      <c r="M197" s="63"/>
      <c r="N197" s="63">
        <f>SUBTOTAL(103,Junio!$N$7)</f>
        <v>0</v>
      </c>
      <c r="O197" s="63">
        <f>SUBTOTAL(103,Junio!$O$7)</f>
        <v>0</v>
      </c>
      <c r="P197" s="63">
        <f>SUBTOTAL(103,Junio!$P$7)</f>
        <v>0</v>
      </c>
      <c r="Q197" s="63">
        <f>SUBTOTAL(103,Junio!$Q$7)</f>
        <v>0</v>
      </c>
      <c r="R197" s="63">
        <f>SUBTOTAL(103,Junio!$R$7)</f>
        <v>0</v>
      </c>
      <c r="S197" s="63">
        <f>SUBTOTAL(103,Junio!$S$7)</f>
        <v>0</v>
      </c>
      <c r="T197" s="63">
        <f>SUBTOTAL(103,Junio!$T$7)</f>
        <v>0</v>
      </c>
      <c r="U197" s="63">
        <f>SUBTOTAL(103,Junio!$U$7)</f>
        <v>0</v>
      </c>
      <c r="V197" s="63"/>
      <c r="W197" s="63">
        <f>SUBTOTAL(103,Junio!$W$7)</f>
        <v>0</v>
      </c>
      <c r="X197" s="63">
        <f>SUBTOTAL(103,Junio!$X$7)</f>
        <v>0</v>
      </c>
      <c r="Y197" s="63">
        <f>SUBTOTAL(103,Junio!$Y$7)</f>
        <v>0</v>
      </c>
      <c r="Z197" s="63">
        <f>SUBTOTAL(103,Junio!$Z$7)</f>
        <v>0</v>
      </c>
      <c r="AA197" s="63">
        <f>SUBTOTAL(103,Junio!$AA$7)</f>
        <v>0</v>
      </c>
      <c r="AB197" s="63">
        <f>SUBTOTAL(103,Junio!$AB$7)</f>
        <v>0</v>
      </c>
      <c r="AC197" s="63">
        <f>SUBTOTAL(103,Junio!$AC$7)</f>
        <v>0</v>
      </c>
      <c r="AD197" s="63">
        <f>SUBTOTAL(103,Junio!$AD$7)</f>
        <v>0</v>
      </c>
      <c r="AE197" s="63">
        <f>SUBTOTAL(103,Junio!$AE$7)</f>
        <v>0</v>
      </c>
      <c r="AF197" s="63">
        <f>SUBTOTAL(103,Junio!$AF$7)</f>
        <v>0</v>
      </c>
      <c r="AG197" s="63">
        <f>SUBTOTAL(103,Junio!$AG$7)</f>
        <v>0</v>
      </c>
      <c r="AH197" s="65">
        <f>SUM(C197:AG197)</f>
        <v>0</v>
      </c>
      <c r="AI197" s="65"/>
      <c r="AJ197" s="65"/>
    </row>
    <row r="198" ht="30.0" customHeight="1">
      <c r="AH198" s="5"/>
      <c r="AI198" s="5"/>
      <c r="AJ198" s="5"/>
    </row>
    <row r="199" ht="30.0" customHeight="1">
      <c r="AH199" s="5"/>
      <c r="AI199" s="5"/>
      <c r="AJ199" s="5"/>
    </row>
    <row r="200" ht="30.0" customHeight="1">
      <c r="AH200" s="5"/>
      <c r="AI200" s="5"/>
      <c r="AJ200" s="5"/>
    </row>
    <row r="201" ht="30.0" customHeight="1">
      <c r="AH201" s="5"/>
      <c r="AI201" s="5"/>
      <c r="AJ201" s="5"/>
    </row>
    <row r="202" ht="30.0" customHeight="1">
      <c r="AH202" s="5"/>
      <c r="AI202" s="5"/>
      <c r="AJ202" s="5"/>
    </row>
    <row r="203" ht="30.0" customHeight="1">
      <c r="AH203" s="5"/>
      <c r="AI203" s="5"/>
      <c r="AJ203" s="5"/>
    </row>
    <row r="204" ht="30.0" customHeight="1">
      <c r="AH204" s="5"/>
      <c r="AI204" s="5"/>
      <c r="AJ204" s="5"/>
    </row>
    <row r="205" ht="30.0" customHeight="1">
      <c r="AH205" s="5"/>
      <c r="AI205" s="5"/>
      <c r="AJ205" s="5"/>
    </row>
    <row r="206" ht="30.0" customHeight="1">
      <c r="AH206" s="5"/>
      <c r="AI206" s="5"/>
      <c r="AJ206" s="5"/>
    </row>
    <row r="207" ht="30.0" customHeight="1">
      <c r="AH207" s="5"/>
      <c r="AI207" s="5"/>
      <c r="AJ207" s="5"/>
    </row>
    <row r="208" ht="30.0" customHeight="1">
      <c r="AH208" s="5"/>
      <c r="AI208" s="5"/>
      <c r="AJ208" s="5"/>
    </row>
    <row r="209" ht="30.0" customHeight="1">
      <c r="AH209" s="5"/>
      <c r="AI209" s="5"/>
      <c r="AJ209" s="5"/>
    </row>
    <row r="210" ht="30.0" customHeight="1">
      <c r="AH210" s="5"/>
      <c r="AI210" s="5"/>
      <c r="AJ210" s="5"/>
    </row>
    <row r="211" ht="30.0" customHeight="1">
      <c r="AH211" s="5"/>
      <c r="AI211" s="5"/>
      <c r="AJ211" s="5"/>
    </row>
    <row r="212" ht="30.0" customHeight="1">
      <c r="AH212" s="5"/>
      <c r="AI212" s="5"/>
      <c r="AJ212" s="5"/>
    </row>
    <row r="213" ht="30.0" customHeight="1">
      <c r="AH213" s="5"/>
      <c r="AI213" s="5"/>
      <c r="AJ213" s="5"/>
    </row>
    <row r="214" ht="30.0" customHeight="1">
      <c r="AH214" s="5"/>
      <c r="AI214" s="5"/>
      <c r="AJ214" s="5"/>
    </row>
    <row r="215" ht="30.0" customHeight="1">
      <c r="AH215" s="5"/>
      <c r="AI215" s="5"/>
      <c r="AJ215" s="5"/>
    </row>
    <row r="216" ht="30.0" customHeight="1">
      <c r="AH216" s="5"/>
      <c r="AI216" s="5"/>
      <c r="AJ216" s="5"/>
    </row>
    <row r="217" ht="30.0" customHeight="1">
      <c r="AH217" s="5"/>
      <c r="AI217" s="5"/>
      <c r="AJ217" s="5"/>
    </row>
    <row r="218" ht="30.0" customHeight="1">
      <c r="AH218" s="5"/>
      <c r="AI218" s="5"/>
      <c r="AJ218" s="5"/>
    </row>
    <row r="219" ht="30.0" customHeight="1">
      <c r="AH219" s="5"/>
      <c r="AI219" s="5"/>
      <c r="AJ219" s="5"/>
    </row>
    <row r="220" ht="30.0" customHeight="1">
      <c r="AH220" s="5"/>
      <c r="AI220" s="5"/>
      <c r="AJ220" s="5"/>
    </row>
    <row r="221" ht="30.0" customHeight="1">
      <c r="AH221" s="5"/>
      <c r="AI221" s="5"/>
      <c r="AJ221" s="5"/>
    </row>
    <row r="222" ht="30.0" customHeight="1">
      <c r="AH222" s="5"/>
      <c r="AI222" s="5"/>
      <c r="AJ222" s="5"/>
    </row>
    <row r="223" ht="30.0" customHeight="1">
      <c r="AH223" s="5"/>
      <c r="AI223" s="5"/>
      <c r="AJ223" s="5"/>
    </row>
    <row r="224" ht="30.0" customHeight="1">
      <c r="AH224" s="5"/>
      <c r="AI224" s="5"/>
      <c r="AJ224" s="5"/>
    </row>
    <row r="225" ht="30.0" customHeight="1">
      <c r="AH225" s="5"/>
      <c r="AI225" s="5"/>
      <c r="AJ225" s="5"/>
    </row>
    <row r="226" ht="30.0" customHeight="1">
      <c r="AH226" s="5"/>
      <c r="AI226" s="5"/>
      <c r="AJ226" s="5"/>
    </row>
    <row r="227" ht="30.0" customHeight="1">
      <c r="AH227" s="5"/>
      <c r="AI227" s="5"/>
      <c r="AJ227" s="5"/>
    </row>
    <row r="228" ht="30.0" customHeight="1">
      <c r="AH228" s="5"/>
      <c r="AI228" s="5"/>
      <c r="AJ228" s="5"/>
    </row>
    <row r="229" ht="30.0" customHeight="1">
      <c r="AH229" s="5"/>
      <c r="AI229" s="5"/>
      <c r="AJ229" s="5"/>
    </row>
    <row r="230" ht="30.0" customHeight="1">
      <c r="AH230" s="5"/>
      <c r="AI230" s="5"/>
      <c r="AJ230" s="5"/>
    </row>
    <row r="231" ht="30.0" customHeight="1">
      <c r="AH231" s="5"/>
      <c r="AI231" s="5"/>
      <c r="AJ231" s="5"/>
    </row>
    <row r="232" ht="30.0" customHeight="1">
      <c r="AH232" s="5"/>
      <c r="AI232" s="5"/>
      <c r="AJ232" s="5"/>
    </row>
    <row r="233" ht="30.0" customHeight="1">
      <c r="AH233" s="5"/>
      <c r="AI233" s="5"/>
      <c r="AJ233" s="5"/>
    </row>
    <row r="234" ht="30.0" customHeight="1">
      <c r="AH234" s="5"/>
      <c r="AI234" s="5"/>
      <c r="AJ234" s="5"/>
    </row>
    <row r="235" ht="30.0" customHeight="1">
      <c r="AH235" s="5"/>
      <c r="AI235" s="5"/>
      <c r="AJ235" s="5"/>
    </row>
    <row r="236" ht="30.0" customHeight="1">
      <c r="AH236" s="5"/>
      <c r="AI236" s="5"/>
      <c r="AJ236" s="5"/>
    </row>
    <row r="237" ht="30.0" customHeight="1">
      <c r="AH237" s="5"/>
      <c r="AI237" s="5"/>
      <c r="AJ237" s="5"/>
    </row>
    <row r="238" ht="30.0" customHeight="1">
      <c r="AH238" s="5"/>
      <c r="AI238" s="5"/>
      <c r="AJ238" s="5"/>
    </row>
    <row r="239" ht="30.0" customHeight="1">
      <c r="AH239" s="5"/>
      <c r="AI239" s="5"/>
      <c r="AJ239" s="5"/>
    </row>
    <row r="240" ht="30.0" customHeight="1">
      <c r="AH240" s="5"/>
      <c r="AI240" s="5"/>
      <c r="AJ240" s="5"/>
    </row>
    <row r="241" ht="30.0" customHeight="1">
      <c r="AH241" s="5"/>
      <c r="AI241" s="5"/>
      <c r="AJ241" s="5"/>
    </row>
    <row r="242" ht="30.0" customHeight="1">
      <c r="AH242" s="5"/>
      <c r="AI242" s="5"/>
      <c r="AJ242" s="5"/>
    </row>
    <row r="243" ht="30.0" customHeight="1">
      <c r="AH243" s="5"/>
      <c r="AI243" s="5"/>
      <c r="AJ243" s="5"/>
    </row>
    <row r="244" ht="30.0" customHeight="1">
      <c r="AH244" s="5"/>
      <c r="AI244" s="5"/>
      <c r="AJ244" s="5"/>
    </row>
    <row r="245" ht="30.0" customHeight="1">
      <c r="AH245" s="5"/>
      <c r="AI245" s="5"/>
      <c r="AJ245" s="5"/>
    </row>
    <row r="246" ht="30.0" customHeight="1">
      <c r="AH246" s="5"/>
      <c r="AI246" s="5"/>
      <c r="AJ246" s="5"/>
    </row>
    <row r="247" ht="30.0" customHeight="1">
      <c r="AH247" s="5"/>
      <c r="AI247" s="5"/>
      <c r="AJ247" s="5"/>
    </row>
    <row r="248" ht="30.0" customHeight="1">
      <c r="AH248" s="5"/>
      <c r="AI248" s="5"/>
      <c r="AJ248" s="5"/>
    </row>
    <row r="249" ht="30.0" customHeight="1">
      <c r="AH249" s="5"/>
      <c r="AI249" s="5"/>
      <c r="AJ249" s="5"/>
    </row>
    <row r="250" ht="30.0" customHeight="1">
      <c r="AH250" s="5"/>
      <c r="AI250" s="5"/>
      <c r="AJ250" s="5"/>
    </row>
    <row r="251" ht="30.0" customHeight="1">
      <c r="AH251" s="5"/>
      <c r="AI251" s="5"/>
      <c r="AJ251" s="5"/>
    </row>
    <row r="252" ht="30.0" customHeight="1">
      <c r="AH252" s="5"/>
      <c r="AI252" s="5"/>
      <c r="AJ252" s="5"/>
    </row>
    <row r="253" ht="30.0" customHeight="1">
      <c r="AH253" s="5"/>
      <c r="AI253" s="5"/>
      <c r="AJ253" s="5"/>
    </row>
    <row r="254" ht="30.0" customHeight="1">
      <c r="AH254" s="5"/>
      <c r="AI254" s="5"/>
      <c r="AJ254" s="5"/>
    </row>
    <row r="255" ht="30.0" customHeight="1">
      <c r="AH255" s="5"/>
      <c r="AI255" s="5"/>
      <c r="AJ255" s="5"/>
    </row>
    <row r="256" ht="30.0" customHeight="1">
      <c r="AH256" s="5"/>
      <c r="AI256" s="5"/>
      <c r="AJ256" s="5"/>
    </row>
    <row r="257" ht="30.0" customHeight="1">
      <c r="AH257" s="5"/>
      <c r="AI257" s="5"/>
      <c r="AJ257" s="5"/>
    </row>
    <row r="258" ht="30.0" customHeight="1">
      <c r="AH258" s="5"/>
      <c r="AI258" s="5"/>
      <c r="AJ258" s="5"/>
    </row>
    <row r="259" ht="30.0" customHeight="1">
      <c r="AH259" s="5"/>
      <c r="AI259" s="5"/>
      <c r="AJ259" s="5"/>
    </row>
    <row r="260" ht="30.0" customHeight="1">
      <c r="AH260" s="5"/>
      <c r="AI260" s="5"/>
      <c r="AJ260" s="5"/>
    </row>
    <row r="261" ht="30.0" customHeight="1">
      <c r="AH261" s="5"/>
      <c r="AI261" s="5"/>
      <c r="AJ261" s="5"/>
    </row>
    <row r="262" ht="30.0" customHeight="1">
      <c r="AH262" s="5"/>
      <c r="AI262" s="5"/>
      <c r="AJ262" s="5"/>
    </row>
    <row r="263" ht="30.0" customHeight="1">
      <c r="AH263" s="5"/>
      <c r="AI263" s="5"/>
      <c r="AJ263" s="5"/>
    </row>
    <row r="264" ht="30.0" customHeight="1">
      <c r="AH264" s="5"/>
      <c r="AI264" s="5"/>
      <c r="AJ264" s="5"/>
    </row>
    <row r="265" ht="30.0" customHeight="1">
      <c r="AH265" s="5"/>
      <c r="AI265" s="5"/>
      <c r="AJ265" s="5"/>
    </row>
    <row r="266" ht="30.0" customHeight="1">
      <c r="AH266" s="5"/>
      <c r="AI266" s="5"/>
      <c r="AJ266" s="5"/>
    </row>
    <row r="267" ht="30.0" customHeight="1">
      <c r="AH267" s="5"/>
      <c r="AI267" s="5"/>
      <c r="AJ267" s="5"/>
    </row>
    <row r="268" ht="30.0" customHeight="1">
      <c r="AH268" s="5"/>
      <c r="AI268" s="5"/>
      <c r="AJ268" s="5"/>
    </row>
    <row r="269" ht="30.0" customHeight="1">
      <c r="AH269" s="5"/>
      <c r="AI269" s="5"/>
      <c r="AJ269" s="5"/>
    </row>
    <row r="270" ht="30.0" customHeight="1">
      <c r="AH270" s="5"/>
      <c r="AI270" s="5"/>
      <c r="AJ270" s="5"/>
    </row>
    <row r="271" ht="30.0" customHeight="1">
      <c r="AH271" s="5"/>
      <c r="AI271" s="5"/>
      <c r="AJ271" s="5"/>
    </row>
    <row r="272" ht="30.0" customHeight="1">
      <c r="AH272" s="5"/>
      <c r="AI272" s="5"/>
      <c r="AJ272" s="5"/>
    </row>
    <row r="273" ht="30.0" customHeight="1">
      <c r="AH273" s="5"/>
      <c r="AI273" s="5"/>
      <c r="AJ273" s="5"/>
    </row>
    <row r="274" ht="30.0" customHeight="1">
      <c r="AH274" s="5"/>
      <c r="AI274" s="5"/>
      <c r="AJ274" s="5"/>
    </row>
    <row r="275" ht="30.0" customHeight="1">
      <c r="AH275" s="5"/>
      <c r="AI275" s="5"/>
      <c r="AJ275" s="5"/>
    </row>
    <row r="276" ht="30.0" customHeight="1">
      <c r="AH276" s="5"/>
      <c r="AI276" s="5"/>
      <c r="AJ276" s="5"/>
    </row>
    <row r="277" ht="30.0" customHeight="1">
      <c r="AH277" s="5"/>
      <c r="AI277" s="5"/>
      <c r="AJ277" s="5"/>
    </row>
    <row r="278" ht="30.0" customHeight="1">
      <c r="AH278" s="5"/>
      <c r="AI278" s="5"/>
      <c r="AJ278" s="5"/>
    </row>
    <row r="279" ht="30.0" customHeight="1">
      <c r="AH279" s="5"/>
      <c r="AI279" s="5"/>
      <c r="AJ279" s="5"/>
    </row>
    <row r="280" ht="30.0" customHeight="1">
      <c r="AH280" s="5"/>
      <c r="AI280" s="5"/>
      <c r="AJ280" s="5"/>
    </row>
    <row r="281" ht="30.0" customHeight="1">
      <c r="AH281" s="5"/>
      <c r="AI281" s="5"/>
      <c r="AJ281" s="5"/>
    </row>
    <row r="282" ht="30.0" customHeight="1">
      <c r="AH282" s="5"/>
      <c r="AI282" s="5"/>
      <c r="AJ282" s="5"/>
    </row>
    <row r="283" ht="30.0" customHeight="1">
      <c r="AH283" s="5"/>
      <c r="AI283" s="5"/>
      <c r="AJ283" s="5"/>
    </row>
    <row r="284" ht="30.0" customHeight="1">
      <c r="AH284" s="5"/>
      <c r="AI284" s="5"/>
      <c r="AJ284" s="5"/>
    </row>
    <row r="285" ht="30.0" customHeight="1">
      <c r="AH285" s="5"/>
      <c r="AI285" s="5"/>
      <c r="AJ285" s="5"/>
    </row>
    <row r="286" ht="30.0" customHeight="1">
      <c r="AH286" s="5"/>
      <c r="AI286" s="5"/>
      <c r="AJ286" s="5"/>
    </row>
    <row r="287" ht="30.0" customHeight="1">
      <c r="AH287" s="5"/>
      <c r="AI287" s="5"/>
      <c r="AJ287" s="5"/>
    </row>
    <row r="288" ht="30.0" customHeight="1">
      <c r="AH288" s="5"/>
      <c r="AI288" s="5"/>
      <c r="AJ288" s="5"/>
    </row>
    <row r="289" ht="30.0" customHeight="1">
      <c r="AH289" s="5"/>
      <c r="AI289" s="5"/>
      <c r="AJ289" s="5"/>
    </row>
    <row r="290" ht="30.0" customHeight="1">
      <c r="AH290" s="5"/>
      <c r="AI290" s="5"/>
      <c r="AJ290" s="5"/>
    </row>
    <row r="291" ht="30.0" customHeight="1">
      <c r="AH291" s="5"/>
      <c r="AI291" s="5"/>
      <c r="AJ291" s="5"/>
    </row>
    <row r="292" ht="30.0" customHeight="1">
      <c r="AH292" s="5"/>
      <c r="AI292" s="5"/>
      <c r="AJ292" s="5"/>
    </row>
    <row r="293" ht="30.0" customHeight="1">
      <c r="AH293" s="5"/>
      <c r="AI293" s="5"/>
      <c r="AJ293" s="5"/>
    </row>
    <row r="294" ht="30.0" customHeight="1">
      <c r="AH294" s="5"/>
      <c r="AI294" s="5"/>
      <c r="AJ294" s="5"/>
    </row>
    <row r="295" ht="30.0" customHeight="1">
      <c r="AH295" s="5"/>
      <c r="AI295" s="5"/>
      <c r="AJ295" s="5"/>
    </row>
    <row r="296" ht="30.0" customHeight="1">
      <c r="AH296" s="5"/>
      <c r="AI296" s="5"/>
      <c r="AJ296" s="5"/>
    </row>
    <row r="297" ht="30.0" customHeight="1">
      <c r="AH297" s="5"/>
      <c r="AI297" s="5"/>
      <c r="AJ297" s="5"/>
    </row>
    <row r="298" ht="30.0" customHeight="1">
      <c r="AH298" s="5"/>
      <c r="AI298" s="5"/>
      <c r="AJ298" s="5"/>
    </row>
    <row r="299" ht="30.0" customHeight="1">
      <c r="AH299" s="5"/>
      <c r="AI299" s="5"/>
      <c r="AJ299" s="5"/>
    </row>
    <row r="300" ht="30.0" customHeight="1">
      <c r="AH300" s="5"/>
      <c r="AI300" s="5"/>
      <c r="AJ300" s="5"/>
    </row>
    <row r="301" ht="30.0" customHeight="1">
      <c r="AH301" s="5"/>
      <c r="AI301" s="5"/>
      <c r="AJ301" s="5"/>
    </row>
    <row r="302" ht="30.0" customHeight="1">
      <c r="AH302" s="5"/>
      <c r="AI302" s="5"/>
      <c r="AJ302" s="5"/>
    </row>
    <row r="303" ht="30.0" customHeight="1">
      <c r="AH303" s="5"/>
      <c r="AI303" s="5"/>
      <c r="AJ303" s="5"/>
    </row>
    <row r="304" ht="30.0" customHeight="1">
      <c r="AH304" s="5"/>
      <c r="AI304" s="5"/>
      <c r="AJ304" s="5"/>
    </row>
    <row r="305" ht="30.0" customHeight="1">
      <c r="AH305" s="5"/>
      <c r="AI305" s="5"/>
      <c r="AJ305" s="5"/>
    </row>
    <row r="306" ht="30.0" customHeight="1">
      <c r="AH306" s="5"/>
      <c r="AI306" s="5"/>
      <c r="AJ306" s="5"/>
    </row>
    <row r="307" ht="30.0" customHeight="1">
      <c r="AH307" s="5"/>
      <c r="AI307" s="5"/>
      <c r="AJ307" s="5"/>
    </row>
    <row r="308" ht="30.0" customHeight="1">
      <c r="AH308" s="5"/>
      <c r="AI308" s="5"/>
      <c r="AJ308" s="5"/>
    </row>
    <row r="309" ht="30.0" customHeight="1">
      <c r="AH309" s="5"/>
      <c r="AI309" s="5"/>
      <c r="AJ309" s="5"/>
    </row>
    <row r="310" ht="30.0" customHeight="1">
      <c r="AH310" s="5"/>
      <c r="AI310" s="5"/>
      <c r="AJ310" s="5"/>
    </row>
    <row r="311" ht="30.0" customHeight="1">
      <c r="AH311" s="5"/>
      <c r="AI311" s="5"/>
      <c r="AJ311" s="5"/>
    </row>
    <row r="312" ht="30.0" customHeight="1">
      <c r="AH312" s="5"/>
      <c r="AI312" s="5"/>
      <c r="AJ312" s="5"/>
    </row>
    <row r="313" ht="30.0" customHeight="1">
      <c r="AH313" s="5"/>
      <c r="AI313" s="5"/>
      <c r="AJ313" s="5"/>
    </row>
    <row r="314" ht="30.0" customHeight="1">
      <c r="AH314" s="5"/>
      <c r="AI314" s="5"/>
      <c r="AJ314" s="5"/>
    </row>
    <row r="315" ht="30.0" customHeight="1">
      <c r="AH315" s="5"/>
      <c r="AI315" s="5"/>
      <c r="AJ315" s="5"/>
    </row>
    <row r="316" ht="30.0" customHeight="1">
      <c r="AH316" s="5"/>
      <c r="AI316" s="5"/>
      <c r="AJ316" s="5"/>
    </row>
    <row r="317" ht="30.0" customHeight="1">
      <c r="AH317" s="5"/>
      <c r="AI317" s="5"/>
      <c r="AJ317" s="5"/>
    </row>
    <row r="318" ht="30.0" customHeight="1">
      <c r="AH318" s="5"/>
      <c r="AI318" s="5"/>
      <c r="AJ318" s="5"/>
    </row>
    <row r="319" ht="30.0" customHeight="1">
      <c r="AH319" s="5"/>
      <c r="AI319" s="5"/>
      <c r="AJ319" s="5"/>
    </row>
    <row r="320" ht="30.0" customHeight="1">
      <c r="AH320" s="5"/>
      <c r="AI320" s="5"/>
      <c r="AJ320" s="5"/>
    </row>
    <row r="321" ht="30.0" customHeight="1">
      <c r="AH321" s="5"/>
      <c r="AI321" s="5"/>
      <c r="AJ321" s="5"/>
    </row>
    <row r="322" ht="30.0" customHeight="1">
      <c r="AH322" s="5"/>
      <c r="AI322" s="5"/>
      <c r="AJ322" s="5"/>
    </row>
    <row r="323" ht="30.0" customHeight="1">
      <c r="AH323" s="5"/>
      <c r="AI323" s="5"/>
      <c r="AJ323" s="5"/>
    </row>
    <row r="324" ht="30.0" customHeight="1">
      <c r="AH324" s="5"/>
      <c r="AI324" s="5"/>
      <c r="AJ324" s="5"/>
    </row>
    <row r="325" ht="30.0" customHeight="1">
      <c r="AH325" s="5"/>
      <c r="AI325" s="5"/>
      <c r="AJ325" s="5"/>
    </row>
    <row r="326" ht="30.0" customHeight="1">
      <c r="AH326" s="5"/>
      <c r="AI326" s="5"/>
      <c r="AJ326" s="5"/>
    </row>
    <row r="327" ht="30.0" customHeight="1">
      <c r="AH327" s="5"/>
      <c r="AI327" s="5"/>
      <c r="AJ327" s="5"/>
    </row>
    <row r="328" ht="30.0" customHeight="1">
      <c r="AH328" s="5"/>
      <c r="AI328" s="5"/>
      <c r="AJ328" s="5"/>
    </row>
    <row r="329" ht="30.0" customHeight="1">
      <c r="AH329" s="5"/>
      <c r="AI329" s="5"/>
      <c r="AJ329" s="5"/>
    </row>
    <row r="330" ht="30.0" customHeight="1">
      <c r="AH330" s="5"/>
      <c r="AI330" s="5"/>
      <c r="AJ330" s="5"/>
    </row>
    <row r="331" ht="30.0" customHeight="1">
      <c r="AH331" s="5"/>
      <c r="AI331" s="5"/>
      <c r="AJ331" s="5"/>
    </row>
    <row r="332" ht="30.0" customHeight="1">
      <c r="AH332" s="5"/>
      <c r="AI332" s="5"/>
      <c r="AJ332" s="5"/>
    </row>
    <row r="333" ht="30.0" customHeight="1">
      <c r="AH333" s="5"/>
      <c r="AI333" s="5"/>
      <c r="AJ333" s="5"/>
    </row>
    <row r="334" ht="30.0" customHeight="1">
      <c r="AH334" s="5"/>
      <c r="AI334" s="5"/>
      <c r="AJ334" s="5"/>
    </row>
    <row r="335" ht="30.0" customHeight="1">
      <c r="AH335" s="5"/>
      <c r="AI335" s="5"/>
      <c r="AJ335" s="5"/>
    </row>
    <row r="336" ht="30.0" customHeight="1">
      <c r="AH336" s="5"/>
      <c r="AI336" s="5"/>
      <c r="AJ336" s="5"/>
    </row>
    <row r="337" ht="30.0" customHeight="1">
      <c r="AH337" s="5"/>
      <c r="AI337" s="5"/>
      <c r="AJ337" s="5"/>
    </row>
    <row r="338" ht="30.0" customHeight="1">
      <c r="AH338" s="5"/>
      <c r="AI338" s="5"/>
      <c r="AJ338" s="5"/>
    </row>
    <row r="339" ht="30.0" customHeight="1">
      <c r="AH339" s="5"/>
      <c r="AI339" s="5"/>
      <c r="AJ339" s="5"/>
    </row>
    <row r="340" ht="30.0" customHeight="1">
      <c r="AH340" s="5"/>
      <c r="AI340" s="5"/>
      <c r="AJ340" s="5"/>
    </row>
    <row r="341" ht="30.0" customHeight="1">
      <c r="AH341" s="5"/>
      <c r="AI341" s="5"/>
      <c r="AJ341" s="5"/>
    </row>
    <row r="342" ht="30.0" customHeight="1">
      <c r="AH342" s="5"/>
      <c r="AI342" s="5"/>
      <c r="AJ342" s="5"/>
    </row>
    <row r="343" ht="30.0" customHeight="1">
      <c r="AH343" s="5"/>
      <c r="AI343" s="5"/>
      <c r="AJ343" s="5"/>
    </row>
    <row r="344" ht="30.0" customHeight="1">
      <c r="AH344" s="5"/>
      <c r="AI344" s="5"/>
      <c r="AJ344" s="5"/>
    </row>
    <row r="345" ht="30.0" customHeight="1">
      <c r="AH345" s="5"/>
      <c r="AI345" s="5"/>
      <c r="AJ345" s="5"/>
    </row>
    <row r="346" ht="30.0" customHeight="1">
      <c r="AH346" s="5"/>
      <c r="AI346" s="5"/>
      <c r="AJ346" s="5"/>
    </row>
    <row r="347" ht="30.0" customHeight="1">
      <c r="AH347" s="5"/>
      <c r="AI347" s="5"/>
      <c r="AJ347" s="5"/>
    </row>
    <row r="348" ht="30.0" customHeight="1">
      <c r="AH348" s="5"/>
      <c r="AI348" s="5"/>
      <c r="AJ348" s="5"/>
    </row>
    <row r="349" ht="30.0" customHeight="1">
      <c r="AH349" s="5"/>
      <c r="AI349" s="5"/>
      <c r="AJ349" s="5"/>
    </row>
    <row r="350" ht="30.0" customHeight="1">
      <c r="AH350" s="5"/>
      <c r="AI350" s="5"/>
      <c r="AJ350" s="5"/>
    </row>
    <row r="351" ht="30.0" customHeight="1">
      <c r="AH351" s="5"/>
      <c r="AI351" s="5"/>
      <c r="AJ351" s="5"/>
    </row>
    <row r="352" ht="30.0" customHeight="1">
      <c r="AH352" s="5"/>
      <c r="AI352" s="5"/>
      <c r="AJ352" s="5"/>
    </row>
    <row r="353" ht="30.0" customHeight="1">
      <c r="AH353" s="5"/>
      <c r="AI353" s="5"/>
      <c r="AJ353" s="5"/>
    </row>
    <row r="354" ht="30.0" customHeight="1">
      <c r="AH354" s="5"/>
      <c r="AI354" s="5"/>
      <c r="AJ354" s="5"/>
    </row>
    <row r="355" ht="30.0" customHeight="1">
      <c r="AH355" s="5"/>
      <c r="AI355" s="5"/>
      <c r="AJ355" s="5"/>
    </row>
    <row r="356" ht="30.0" customHeight="1">
      <c r="AH356" s="5"/>
      <c r="AI356" s="5"/>
      <c r="AJ356" s="5"/>
    </row>
    <row r="357" ht="30.0" customHeight="1">
      <c r="AH357" s="5"/>
      <c r="AI357" s="5"/>
      <c r="AJ357" s="5"/>
    </row>
    <row r="358" ht="30.0" customHeight="1">
      <c r="AH358" s="5"/>
      <c r="AI358" s="5"/>
      <c r="AJ358" s="5"/>
    </row>
    <row r="359" ht="30.0" customHeight="1">
      <c r="AH359" s="5"/>
      <c r="AI359" s="5"/>
      <c r="AJ359" s="5"/>
    </row>
    <row r="360" ht="30.0" customHeight="1">
      <c r="AH360" s="5"/>
      <c r="AI360" s="5"/>
      <c r="AJ360" s="5"/>
    </row>
    <row r="361" ht="30.0" customHeight="1">
      <c r="AH361" s="5"/>
      <c r="AI361" s="5"/>
      <c r="AJ361" s="5"/>
    </row>
    <row r="362" ht="30.0" customHeight="1">
      <c r="AH362" s="5"/>
      <c r="AI362" s="5"/>
      <c r="AJ362" s="5"/>
    </row>
    <row r="363" ht="30.0" customHeight="1">
      <c r="AH363" s="5"/>
      <c r="AI363" s="5"/>
      <c r="AJ363" s="5"/>
    </row>
    <row r="364" ht="30.0" customHeight="1">
      <c r="AH364" s="5"/>
      <c r="AI364" s="5"/>
      <c r="AJ364" s="5"/>
    </row>
    <row r="365" ht="30.0" customHeight="1">
      <c r="AH365" s="5"/>
      <c r="AI365" s="5"/>
      <c r="AJ365" s="5"/>
    </row>
    <row r="366" ht="30.0" customHeight="1">
      <c r="AH366" s="5"/>
      <c r="AI366" s="5"/>
      <c r="AJ366" s="5"/>
    </row>
    <row r="367" ht="30.0" customHeight="1">
      <c r="AH367" s="5"/>
      <c r="AI367" s="5"/>
      <c r="AJ367" s="5"/>
    </row>
    <row r="368" ht="30.0" customHeight="1">
      <c r="AH368" s="5"/>
      <c r="AI368" s="5"/>
      <c r="AJ368" s="5"/>
    </row>
    <row r="369" ht="30.0" customHeight="1">
      <c r="AH369" s="5"/>
      <c r="AI369" s="5"/>
      <c r="AJ369" s="5"/>
    </row>
    <row r="370" ht="30.0" customHeight="1">
      <c r="AH370" s="5"/>
      <c r="AI370" s="5"/>
      <c r="AJ370" s="5"/>
    </row>
    <row r="371" ht="30.0" customHeight="1">
      <c r="AH371" s="5"/>
      <c r="AI371" s="5"/>
      <c r="AJ371" s="5"/>
    </row>
    <row r="372" ht="30.0" customHeight="1">
      <c r="AH372" s="5"/>
      <c r="AI372" s="5"/>
      <c r="AJ372" s="5"/>
    </row>
    <row r="373" ht="30.0" customHeight="1">
      <c r="AH373" s="5"/>
      <c r="AI373" s="5"/>
      <c r="AJ373" s="5"/>
    </row>
    <row r="374" ht="30.0" customHeight="1">
      <c r="AH374" s="5"/>
      <c r="AI374" s="5"/>
      <c r="AJ374" s="5"/>
    </row>
    <row r="375" ht="30.0" customHeight="1">
      <c r="AH375" s="5"/>
      <c r="AI375" s="5"/>
      <c r="AJ375" s="5"/>
    </row>
    <row r="376" ht="30.0" customHeight="1">
      <c r="AH376" s="5"/>
      <c r="AI376" s="5"/>
      <c r="AJ376" s="5"/>
    </row>
    <row r="377" ht="30.0" customHeight="1">
      <c r="AH377" s="5"/>
      <c r="AI377" s="5"/>
      <c r="AJ377" s="5"/>
    </row>
    <row r="378" ht="30.0" customHeight="1">
      <c r="AH378" s="5"/>
      <c r="AI378" s="5"/>
      <c r="AJ378" s="5"/>
    </row>
    <row r="379" ht="30.0" customHeight="1">
      <c r="AH379" s="5"/>
      <c r="AI379" s="5"/>
      <c r="AJ379" s="5"/>
    </row>
    <row r="380" ht="30.0" customHeight="1">
      <c r="AH380" s="5"/>
      <c r="AI380" s="5"/>
      <c r="AJ380" s="5"/>
    </row>
    <row r="381" ht="30.0" customHeight="1">
      <c r="AH381" s="5"/>
      <c r="AI381" s="5"/>
      <c r="AJ381" s="5"/>
    </row>
    <row r="382" ht="30.0" customHeight="1">
      <c r="AH382" s="5"/>
      <c r="AI382" s="5"/>
      <c r="AJ382" s="5"/>
    </row>
    <row r="383" ht="30.0" customHeight="1">
      <c r="AH383" s="5"/>
      <c r="AI383" s="5"/>
      <c r="AJ383" s="5"/>
    </row>
    <row r="384" ht="30.0" customHeight="1">
      <c r="AH384" s="5"/>
      <c r="AI384" s="5"/>
      <c r="AJ384" s="5"/>
    </row>
    <row r="385" ht="30.0" customHeight="1">
      <c r="AH385" s="5"/>
      <c r="AI385" s="5"/>
      <c r="AJ385" s="5"/>
    </row>
    <row r="386" ht="30.0" customHeight="1">
      <c r="AH386" s="5"/>
      <c r="AI386" s="5"/>
      <c r="AJ386" s="5"/>
    </row>
    <row r="387" ht="30.0" customHeight="1">
      <c r="AH387" s="5"/>
      <c r="AI387" s="5"/>
      <c r="AJ387" s="5"/>
    </row>
    <row r="388" ht="30.0" customHeight="1">
      <c r="AH388" s="5"/>
      <c r="AI388" s="5"/>
      <c r="AJ388" s="5"/>
    </row>
    <row r="389" ht="30.0" customHeight="1">
      <c r="AH389" s="5"/>
      <c r="AI389" s="5"/>
      <c r="AJ389" s="5"/>
    </row>
    <row r="390" ht="30.0" customHeight="1">
      <c r="AH390" s="5"/>
      <c r="AI390" s="5"/>
      <c r="AJ390" s="5"/>
    </row>
    <row r="391" ht="30.0" customHeight="1">
      <c r="AH391" s="5"/>
      <c r="AI391" s="5"/>
      <c r="AJ391" s="5"/>
    </row>
    <row r="392" ht="30.0" customHeight="1">
      <c r="AH392" s="5"/>
      <c r="AI392" s="5"/>
      <c r="AJ392" s="5"/>
    </row>
    <row r="393" ht="30.0" customHeight="1">
      <c r="AH393" s="5"/>
      <c r="AI393" s="5"/>
      <c r="AJ393" s="5"/>
    </row>
    <row r="394" ht="30.0" customHeight="1">
      <c r="AH394" s="5"/>
      <c r="AI394" s="5"/>
      <c r="AJ394" s="5"/>
    </row>
    <row r="395" ht="30.0" customHeight="1">
      <c r="AH395" s="5"/>
      <c r="AI395" s="5"/>
      <c r="AJ395" s="5"/>
    </row>
    <row r="396" ht="30.0" customHeight="1">
      <c r="AH396" s="5"/>
      <c r="AI396" s="5"/>
      <c r="AJ396" s="5"/>
    </row>
    <row r="397" ht="30.0" customHeight="1">
      <c r="AH397" s="5"/>
      <c r="AI397" s="5"/>
      <c r="AJ397" s="5"/>
    </row>
    <row r="398" ht="30.0" customHeight="1">
      <c r="AH398" s="5"/>
      <c r="AI398" s="5"/>
      <c r="AJ398" s="5"/>
    </row>
    <row r="399" ht="30.0" customHeight="1">
      <c r="AH399" s="5"/>
      <c r="AI399" s="5"/>
      <c r="AJ399" s="5"/>
    </row>
    <row r="400" ht="30.0" customHeight="1">
      <c r="AH400" s="5"/>
      <c r="AI400" s="5"/>
      <c r="AJ400" s="5"/>
    </row>
    <row r="401" ht="30.0" customHeight="1">
      <c r="AH401" s="5"/>
      <c r="AI401" s="5"/>
      <c r="AJ401" s="5"/>
    </row>
    <row r="402" ht="30.0" customHeight="1">
      <c r="AH402" s="5"/>
      <c r="AI402" s="5"/>
      <c r="AJ402" s="5"/>
    </row>
    <row r="403" ht="30.0" customHeight="1">
      <c r="AH403" s="5"/>
      <c r="AI403" s="5"/>
      <c r="AJ403" s="5"/>
    </row>
    <row r="404" ht="30.0" customHeight="1">
      <c r="AH404" s="5"/>
      <c r="AI404" s="5"/>
      <c r="AJ404" s="5"/>
    </row>
    <row r="405" ht="30.0" customHeight="1">
      <c r="AH405" s="5"/>
      <c r="AI405" s="5"/>
      <c r="AJ405" s="5"/>
    </row>
    <row r="406" ht="30.0" customHeight="1">
      <c r="AH406" s="5"/>
      <c r="AI406" s="5"/>
      <c r="AJ406" s="5"/>
    </row>
    <row r="407" ht="30.0" customHeight="1">
      <c r="AH407" s="5"/>
      <c r="AI407" s="5"/>
      <c r="AJ407" s="5"/>
    </row>
    <row r="408" ht="30.0" customHeight="1">
      <c r="AH408" s="5"/>
      <c r="AI408" s="5"/>
      <c r="AJ408" s="5"/>
    </row>
    <row r="409" ht="30.0" customHeight="1">
      <c r="AH409" s="5"/>
      <c r="AI409" s="5"/>
      <c r="AJ409" s="5"/>
    </row>
    <row r="410" ht="30.0" customHeight="1">
      <c r="AH410" s="5"/>
      <c r="AI410" s="5"/>
      <c r="AJ410" s="5"/>
    </row>
    <row r="411" ht="30.0" customHeight="1">
      <c r="AH411" s="5"/>
      <c r="AI411" s="5"/>
      <c r="AJ411" s="5"/>
    </row>
    <row r="412" ht="30.0" customHeight="1">
      <c r="AH412" s="5"/>
      <c r="AI412" s="5"/>
      <c r="AJ412" s="5"/>
    </row>
    <row r="413" ht="30.0" customHeight="1">
      <c r="AH413" s="5"/>
      <c r="AI413" s="5"/>
      <c r="AJ413" s="5"/>
    </row>
    <row r="414" ht="30.0" customHeight="1">
      <c r="AH414" s="5"/>
      <c r="AI414" s="5"/>
      <c r="AJ414" s="5"/>
    </row>
    <row r="415" ht="30.0" customHeight="1">
      <c r="AH415" s="5"/>
      <c r="AI415" s="5"/>
      <c r="AJ415" s="5"/>
    </row>
    <row r="416" ht="30.0" customHeight="1">
      <c r="AH416" s="5"/>
      <c r="AI416" s="5"/>
      <c r="AJ416" s="5"/>
    </row>
    <row r="417" ht="30.0" customHeight="1">
      <c r="AH417" s="5"/>
      <c r="AI417" s="5"/>
      <c r="AJ417" s="5"/>
    </row>
    <row r="418" ht="30.0" customHeight="1">
      <c r="AH418" s="5"/>
      <c r="AI418" s="5"/>
      <c r="AJ418" s="5"/>
    </row>
    <row r="419" ht="30.0" customHeight="1">
      <c r="AH419" s="5"/>
      <c r="AI419" s="5"/>
      <c r="AJ419" s="5"/>
    </row>
    <row r="420" ht="30.0" customHeight="1">
      <c r="AH420" s="5"/>
      <c r="AI420" s="5"/>
      <c r="AJ420" s="5"/>
    </row>
    <row r="421" ht="30.0" customHeight="1">
      <c r="AH421" s="5"/>
      <c r="AI421" s="5"/>
      <c r="AJ421" s="5"/>
    </row>
    <row r="422" ht="30.0" customHeight="1">
      <c r="AH422" s="5"/>
      <c r="AI422" s="5"/>
      <c r="AJ422" s="5"/>
    </row>
    <row r="423" ht="30.0" customHeight="1">
      <c r="AH423" s="5"/>
      <c r="AI423" s="5"/>
      <c r="AJ423" s="5"/>
    </row>
    <row r="424" ht="30.0" customHeight="1">
      <c r="AH424" s="5"/>
      <c r="AI424" s="5"/>
      <c r="AJ424" s="5"/>
    </row>
    <row r="425" ht="30.0" customHeight="1">
      <c r="AH425" s="5"/>
      <c r="AI425" s="5"/>
      <c r="AJ425" s="5"/>
    </row>
    <row r="426" ht="30.0" customHeight="1">
      <c r="AH426" s="5"/>
      <c r="AI426" s="5"/>
      <c r="AJ426" s="5"/>
    </row>
    <row r="427" ht="30.0" customHeight="1">
      <c r="AH427" s="5"/>
      <c r="AI427" s="5"/>
      <c r="AJ427" s="5"/>
    </row>
    <row r="428" ht="30.0" customHeight="1">
      <c r="AH428" s="5"/>
      <c r="AI428" s="5"/>
      <c r="AJ428" s="5"/>
    </row>
    <row r="429" ht="30.0" customHeight="1">
      <c r="AH429" s="5"/>
      <c r="AI429" s="5"/>
      <c r="AJ429" s="5"/>
    </row>
    <row r="430" ht="30.0" customHeight="1">
      <c r="AH430" s="5"/>
      <c r="AI430" s="5"/>
      <c r="AJ430" s="5"/>
    </row>
    <row r="431" ht="30.0" customHeight="1">
      <c r="AH431" s="5"/>
      <c r="AI431" s="5"/>
      <c r="AJ431" s="5"/>
    </row>
    <row r="432" ht="30.0" customHeight="1">
      <c r="AH432" s="5"/>
      <c r="AI432" s="5"/>
      <c r="AJ432" s="5"/>
    </row>
    <row r="433" ht="30.0" customHeight="1">
      <c r="AH433" s="5"/>
      <c r="AI433" s="5"/>
      <c r="AJ433" s="5"/>
    </row>
    <row r="434" ht="30.0" customHeight="1">
      <c r="AH434" s="5"/>
      <c r="AI434" s="5"/>
      <c r="AJ434" s="5"/>
    </row>
    <row r="435" ht="30.0" customHeight="1">
      <c r="AH435" s="5"/>
      <c r="AI435" s="5"/>
      <c r="AJ435" s="5"/>
    </row>
    <row r="436" ht="30.0" customHeight="1">
      <c r="AH436" s="5"/>
      <c r="AI436" s="5"/>
      <c r="AJ436" s="5"/>
    </row>
    <row r="437" ht="30.0" customHeight="1">
      <c r="AH437" s="5"/>
      <c r="AI437" s="5"/>
      <c r="AJ437" s="5"/>
    </row>
    <row r="438" ht="30.0" customHeight="1">
      <c r="AH438" s="5"/>
      <c r="AI438" s="5"/>
      <c r="AJ438" s="5"/>
    </row>
    <row r="439" ht="30.0" customHeight="1">
      <c r="AH439" s="5"/>
      <c r="AI439" s="5"/>
      <c r="AJ439" s="5"/>
    </row>
    <row r="440" ht="30.0" customHeight="1">
      <c r="AH440" s="5"/>
      <c r="AI440" s="5"/>
      <c r="AJ440" s="5"/>
    </row>
    <row r="441" ht="30.0" customHeight="1">
      <c r="AH441" s="5"/>
      <c r="AI441" s="5"/>
      <c r="AJ441" s="5"/>
    </row>
    <row r="442" ht="30.0" customHeight="1">
      <c r="AH442" s="5"/>
      <c r="AI442" s="5"/>
      <c r="AJ442" s="5"/>
    </row>
    <row r="443" ht="30.0" customHeight="1">
      <c r="AH443" s="5"/>
      <c r="AI443" s="5"/>
      <c r="AJ443" s="5"/>
    </row>
    <row r="444" ht="30.0" customHeight="1">
      <c r="AH444" s="5"/>
      <c r="AI444" s="5"/>
      <c r="AJ444" s="5"/>
    </row>
    <row r="445" ht="30.0" customHeight="1">
      <c r="AH445" s="5"/>
      <c r="AI445" s="5"/>
      <c r="AJ445" s="5"/>
    </row>
    <row r="446" ht="30.0" customHeight="1">
      <c r="AH446" s="5"/>
      <c r="AI446" s="5"/>
      <c r="AJ446" s="5"/>
    </row>
    <row r="447" ht="30.0" customHeight="1">
      <c r="AH447" s="5"/>
      <c r="AI447" s="5"/>
      <c r="AJ447" s="5"/>
    </row>
    <row r="448" ht="30.0" customHeight="1">
      <c r="AH448" s="5"/>
      <c r="AI448" s="5"/>
      <c r="AJ448" s="5"/>
    </row>
    <row r="449" ht="30.0" customHeight="1">
      <c r="AH449" s="5"/>
      <c r="AI449" s="5"/>
      <c r="AJ449" s="5"/>
    </row>
    <row r="450" ht="30.0" customHeight="1">
      <c r="AH450" s="5"/>
      <c r="AI450" s="5"/>
      <c r="AJ450" s="5"/>
    </row>
    <row r="451" ht="30.0" customHeight="1">
      <c r="AH451" s="5"/>
      <c r="AI451" s="5"/>
      <c r="AJ451" s="5"/>
    </row>
    <row r="452" ht="30.0" customHeight="1">
      <c r="AH452" s="5"/>
      <c r="AI452" s="5"/>
      <c r="AJ452" s="5"/>
    </row>
    <row r="453" ht="30.0" customHeight="1">
      <c r="AH453" s="5"/>
      <c r="AI453" s="5"/>
      <c r="AJ453" s="5"/>
    </row>
    <row r="454" ht="30.0" customHeight="1">
      <c r="AH454" s="5"/>
      <c r="AI454" s="5"/>
      <c r="AJ454" s="5"/>
    </row>
    <row r="455" ht="30.0" customHeight="1">
      <c r="AH455" s="5"/>
      <c r="AI455" s="5"/>
      <c r="AJ455" s="5"/>
    </row>
    <row r="456" ht="30.0" customHeight="1">
      <c r="AH456" s="5"/>
      <c r="AI456" s="5"/>
      <c r="AJ456" s="5"/>
    </row>
    <row r="457" ht="30.0" customHeight="1">
      <c r="AH457" s="5"/>
      <c r="AI457" s="5"/>
      <c r="AJ457" s="5"/>
    </row>
    <row r="458" ht="30.0" customHeight="1">
      <c r="AH458" s="5"/>
      <c r="AI458" s="5"/>
      <c r="AJ458" s="5"/>
    </row>
    <row r="459" ht="30.0" customHeight="1">
      <c r="AH459" s="5"/>
      <c r="AI459" s="5"/>
      <c r="AJ459" s="5"/>
    </row>
    <row r="460" ht="30.0" customHeight="1">
      <c r="AH460" s="5"/>
      <c r="AI460" s="5"/>
      <c r="AJ460" s="5"/>
    </row>
    <row r="461" ht="30.0" customHeight="1">
      <c r="AH461" s="5"/>
      <c r="AI461" s="5"/>
      <c r="AJ461" s="5"/>
    </row>
    <row r="462" ht="30.0" customHeight="1">
      <c r="AH462" s="5"/>
      <c r="AI462" s="5"/>
      <c r="AJ462" s="5"/>
    </row>
    <row r="463" ht="30.0" customHeight="1">
      <c r="AH463" s="5"/>
      <c r="AI463" s="5"/>
      <c r="AJ463" s="5"/>
    </row>
    <row r="464" ht="30.0" customHeight="1">
      <c r="AH464" s="5"/>
      <c r="AI464" s="5"/>
      <c r="AJ464" s="5"/>
    </row>
    <row r="465" ht="30.0" customHeight="1">
      <c r="AH465" s="5"/>
      <c r="AI465" s="5"/>
      <c r="AJ465" s="5"/>
    </row>
    <row r="466" ht="30.0" customHeight="1">
      <c r="AH466" s="5"/>
      <c r="AI466" s="5"/>
      <c r="AJ466" s="5"/>
    </row>
    <row r="467" ht="30.0" customHeight="1">
      <c r="AH467" s="5"/>
      <c r="AI467" s="5"/>
      <c r="AJ467" s="5"/>
    </row>
    <row r="468" ht="30.0" customHeight="1">
      <c r="AH468" s="5"/>
      <c r="AI468" s="5"/>
      <c r="AJ468" s="5"/>
    </row>
    <row r="469" ht="30.0" customHeight="1">
      <c r="AH469" s="5"/>
      <c r="AI469" s="5"/>
      <c r="AJ469" s="5"/>
    </row>
    <row r="470" ht="30.0" customHeight="1">
      <c r="AH470" s="5"/>
      <c r="AI470" s="5"/>
      <c r="AJ470" s="5"/>
    </row>
    <row r="471" ht="30.0" customHeight="1">
      <c r="AH471" s="5"/>
      <c r="AI471" s="5"/>
      <c r="AJ471" s="5"/>
    </row>
    <row r="472" ht="30.0" customHeight="1">
      <c r="AH472" s="5"/>
      <c r="AI472" s="5"/>
      <c r="AJ472" s="5"/>
    </row>
    <row r="473" ht="30.0" customHeight="1">
      <c r="AH473" s="5"/>
      <c r="AI473" s="5"/>
      <c r="AJ473" s="5"/>
    </row>
    <row r="474" ht="30.0" customHeight="1">
      <c r="AH474" s="5"/>
      <c r="AI474" s="5"/>
      <c r="AJ474" s="5"/>
    </row>
    <row r="475" ht="30.0" customHeight="1">
      <c r="AH475" s="5"/>
      <c r="AI475" s="5"/>
      <c r="AJ475" s="5"/>
    </row>
    <row r="476" ht="30.0" customHeight="1">
      <c r="AH476" s="5"/>
      <c r="AI476" s="5"/>
      <c r="AJ476" s="5"/>
    </row>
    <row r="477" ht="30.0" customHeight="1">
      <c r="AH477" s="5"/>
      <c r="AI477" s="5"/>
      <c r="AJ477" s="5"/>
    </row>
    <row r="478" ht="30.0" customHeight="1">
      <c r="AH478" s="5"/>
      <c r="AI478" s="5"/>
      <c r="AJ478" s="5"/>
    </row>
    <row r="479" ht="30.0" customHeight="1">
      <c r="AH479" s="5"/>
      <c r="AI479" s="5"/>
      <c r="AJ479" s="5"/>
    </row>
    <row r="480" ht="30.0" customHeight="1">
      <c r="AH480" s="5"/>
      <c r="AI480" s="5"/>
      <c r="AJ480" s="5"/>
    </row>
    <row r="481" ht="30.0" customHeight="1">
      <c r="AH481" s="5"/>
      <c r="AI481" s="5"/>
      <c r="AJ481" s="5"/>
    </row>
    <row r="482" ht="30.0" customHeight="1">
      <c r="AH482" s="5"/>
      <c r="AI482" s="5"/>
      <c r="AJ482" s="5"/>
    </row>
    <row r="483" ht="30.0" customHeight="1">
      <c r="AH483" s="5"/>
      <c r="AI483" s="5"/>
      <c r="AJ483" s="5"/>
    </row>
    <row r="484" ht="30.0" customHeight="1">
      <c r="AH484" s="5"/>
      <c r="AI484" s="5"/>
      <c r="AJ484" s="5"/>
    </row>
    <row r="485" ht="30.0" customHeight="1">
      <c r="AH485" s="5"/>
      <c r="AI485" s="5"/>
      <c r="AJ485" s="5"/>
    </row>
    <row r="486" ht="30.0" customHeight="1">
      <c r="AH486" s="5"/>
      <c r="AI486" s="5"/>
      <c r="AJ486" s="5"/>
    </row>
    <row r="487" ht="30.0" customHeight="1">
      <c r="AH487" s="5"/>
      <c r="AI487" s="5"/>
      <c r="AJ487" s="5"/>
    </row>
    <row r="488" ht="30.0" customHeight="1">
      <c r="AH488" s="5"/>
      <c r="AI488" s="5"/>
      <c r="AJ488" s="5"/>
    </row>
    <row r="489" ht="30.0" customHeight="1">
      <c r="AH489" s="5"/>
      <c r="AI489" s="5"/>
      <c r="AJ489" s="5"/>
    </row>
    <row r="490" ht="30.0" customHeight="1">
      <c r="AH490" s="5"/>
      <c r="AI490" s="5"/>
      <c r="AJ490" s="5"/>
    </row>
    <row r="491" ht="30.0" customHeight="1">
      <c r="AH491" s="5"/>
      <c r="AI491" s="5"/>
      <c r="AJ491" s="5"/>
    </row>
    <row r="492" ht="30.0" customHeight="1">
      <c r="AH492" s="5"/>
      <c r="AI492" s="5"/>
      <c r="AJ492" s="5"/>
    </row>
    <row r="493" ht="30.0" customHeight="1">
      <c r="AH493" s="5"/>
      <c r="AI493" s="5"/>
      <c r="AJ493" s="5"/>
    </row>
    <row r="494" ht="30.0" customHeight="1">
      <c r="AH494" s="5"/>
      <c r="AI494" s="5"/>
      <c r="AJ494" s="5"/>
    </row>
    <row r="495" ht="30.0" customHeight="1">
      <c r="AH495" s="5"/>
      <c r="AI495" s="5"/>
      <c r="AJ495" s="5"/>
    </row>
    <row r="496" ht="30.0" customHeight="1">
      <c r="AH496" s="5"/>
      <c r="AI496" s="5"/>
      <c r="AJ496" s="5"/>
    </row>
    <row r="497" ht="30.0" customHeight="1">
      <c r="AH497" s="5"/>
      <c r="AI497" s="5"/>
      <c r="AJ497" s="5"/>
    </row>
    <row r="498" ht="30.0" customHeight="1">
      <c r="AH498" s="5"/>
      <c r="AI498" s="5"/>
      <c r="AJ498" s="5"/>
    </row>
    <row r="499" ht="30.0" customHeight="1">
      <c r="AH499" s="5"/>
      <c r="AI499" s="5"/>
      <c r="AJ499" s="5"/>
    </row>
    <row r="500" ht="30.0" customHeight="1">
      <c r="AH500" s="5"/>
      <c r="AI500" s="5"/>
      <c r="AJ500" s="5"/>
    </row>
    <row r="501" ht="30.0" customHeight="1">
      <c r="AH501" s="5"/>
      <c r="AI501" s="5"/>
      <c r="AJ501" s="5"/>
    </row>
    <row r="502" ht="30.0" customHeight="1">
      <c r="AH502" s="5"/>
      <c r="AI502" s="5"/>
      <c r="AJ502" s="5"/>
    </row>
    <row r="503" ht="30.0" customHeight="1">
      <c r="AH503" s="5"/>
      <c r="AI503" s="5"/>
      <c r="AJ503" s="5"/>
    </row>
    <row r="504" ht="30.0" customHeight="1">
      <c r="AH504" s="5"/>
      <c r="AI504" s="5"/>
      <c r="AJ504" s="5"/>
    </row>
    <row r="505" ht="30.0" customHeight="1">
      <c r="AH505" s="5"/>
      <c r="AI505" s="5"/>
      <c r="AJ505" s="5"/>
    </row>
    <row r="506" ht="30.0" customHeight="1">
      <c r="AH506" s="5"/>
      <c r="AI506" s="5"/>
      <c r="AJ506" s="5"/>
    </row>
    <row r="507" ht="30.0" customHeight="1">
      <c r="AH507" s="5"/>
      <c r="AI507" s="5"/>
      <c r="AJ507" s="5"/>
    </row>
    <row r="508" ht="30.0" customHeight="1">
      <c r="AH508" s="5"/>
      <c r="AI508" s="5"/>
      <c r="AJ508" s="5"/>
    </row>
    <row r="509" ht="30.0" customHeight="1">
      <c r="AH509" s="5"/>
      <c r="AI509" s="5"/>
      <c r="AJ509" s="5"/>
    </row>
    <row r="510" ht="30.0" customHeight="1">
      <c r="AH510" s="5"/>
      <c r="AI510" s="5"/>
      <c r="AJ510" s="5"/>
    </row>
    <row r="511" ht="30.0" customHeight="1">
      <c r="AH511" s="5"/>
      <c r="AI511" s="5"/>
      <c r="AJ511" s="5"/>
    </row>
    <row r="512" ht="30.0" customHeight="1">
      <c r="AH512" s="5"/>
      <c r="AI512" s="5"/>
      <c r="AJ512" s="5"/>
    </row>
    <row r="513" ht="30.0" customHeight="1">
      <c r="AH513" s="5"/>
      <c r="AI513" s="5"/>
      <c r="AJ513" s="5"/>
    </row>
    <row r="514" ht="30.0" customHeight="1">
      <c r="AH514" s="5"/>
      <c r="AI514" s="5"/>
      <c r="AJ514" s="5"/>
    </row>
    <row r="515" ht="30.0" customHeight="1">
      <c r="AH515" s="5"/>
      <c r="AI515" s="5"/>
      <c r="AJ515" s="5"/>
    </row>
    <row r="516" ht="30.0" customHeight="1">
      <c r="AH516" s="5"/>
      <c r="AI516" s="5"/>
      <c r="AJ516" s="5"/>
    </row>
    <row r="517" ht="30.0" customHeight="1">
      <c r="AH517" s="5"/>
      <c r="AI517" s="5"/>
      <c r="AJ517" s="5"/>
    </row>
    <row r="518" ht="30.0" customHeight="1">
      <c r="AH518" s="5"/>
      <c r="AI518" s="5"/>
      <c r="AJ518" s="5"/>
    </row>
    <row r="519" ht="30.0" customHeight="1">
      <c r="AH519" s="5"/>
      <c r="AI519" s="5"/>
      <c r="AJ519" s="5"/>
    </row>
    <row r="520" ht="30.0" customHeight="1">
      <c r="AH520" s="5"/>
      <c r="AI520" s="5"/>
      <c r="AJ520" s="5"/>
    </row>
    <row r="521" ht="30.0" customHeight="1">
      <c r="AH521" s="5"/>
      <c r="AI521" s="5"/>
      <c r="AJ521" s="5"/>
    </row>
    <row r="522" ht="30.0" customHeight="1">
      <c r="AH522" s="5"/>
      <c r="AI522" s="5"/>
      <c r="AJ522" s="5"/>
    </row>
    <row r="523" ht="30.0" customHeight="1">
      <c r="AH523" s="5"/>
      <c r="AI523" s="5"/>
      <c r="AJ523" s="5"/>
    </row>
    <row r="524" ht="30.0" customHeight="1">
      <c r="AH524" s="5"/>
      <c r="AI524" s="5"/>
      <c r="AJ524" s="5"/>
    </row>
    <row r="525" ht="30.0" customHeight="1">
      <c r="AH525" s="5"/>
      <c r="AI525" s="5"/>
      <c r="AJ525" s="5"/>
    </row>
    <row r="526" ht="30.0" customHeight="1">
      <c r="AH526" s="5"/>
      <c r="AI526" s="5"/>
      <c r="AJ526" s="5"/>
    </row>
    <row r="527" ht="30.0" customHeight="1">
      <c r="AH527" s="5"/>
      <c r="AI527" s="5"/>
      <c r="AJ527" s="5"/>
    </row>
    <row r="528" ht="30.0" customHeight="1">
      <c r="AH528" s="5"/>
      <c r="AI528" s="5"/>
      <c r="AJ528" s="5"/>
    </row>
    <row r="529" ht="30.0" customHeight="1">
      <c r="AH529" s="5"/>
      <c r="AI529" s="5"/>
      <c r="AJ529" s="5"/>
    </row>
    <row r="530" ht="30.0" customHeight="1">
      <c r="AH530" s="5"/>
      <c r="AI530" s="5"/>
      <c r="AJ530" s="5"/>
    </row>
    <row r="531" ht="30.0" customHeight="1">
      <c r="AH531" s="5"/>
      <c r="AI531" s="5"/>
      <c r="AJ531" s="5"/>
    </row>
    <row r="532" ht="30.0" customHeight="1">
      <c r="AH532" s="5"/>
      <c r="AI532" s="5"/>
      <c r="AJ532" s="5"/>
    </row>
    <row r="533" ht="30.0" customHeight="1">
      <c r="AH533" s="5"/>
      <c r="AI533" s="5"/>
      <c r="AJ533" s="5"/>
    </row>
    <row r="534" ht="30.0" customHeight="1">
      <c r="AH534" s="5"/>
      <c r="AI534" s="5"/>
      <c r="AJ534" s="5"/>
    </row>
    <row r="535" ht="30.0" customHeight="1">
      <c r="AH535" s="5"/>
      <c r="AI535" s="5"/>
      <c r="AJ535" s="5"/>
    </row>
    <row r="536" ht="30.0" customHeight="1">
      <c r="AH536" s="5"/>
      <c r="AI536" s="5"/>
      <c r="AJ536" s="5"/>
    </row>
    <row r="537" ht="30.0" customHeight="1">
      <c r="AH537" s="5"/>
      <c r="AI537" s="5"/>
      <c r="AJ537" s="5"/>
    </row>
    <row r="538" ht="30.0" customHeight="1">
      <c r="AH538" s="5"/>
      <c r="AI538" s="5"/>
      <c r="AJ538" s="5"/>
    </row>
    <row r="539" ht="30.0" customHeight="1">
      <c r="AH539" s="5"/>
      <c r="AI539" s="5"/>
      <c r="AJ539" s="5"/>
    </row>
    <row r="540" ht="30.0" customHeight="1">
      <c r="AH540" s="5"/>
      <c r="AI540" s="5"/>
      <c r="AJ540" s="5"/>
    </row>
    <row r="541" ht="30.0" customHeight="1">
      <c r="AH541" s="5"/>
      <c r="AI541" s="5"/>
      <c r="AJ541" s="5"/>
    </row>
    <row r="542" ht="30.0" customHeight="1">
      <c r="AH542" s="5"/>
      <c r="AI542" s="5"/>
      <c r="AJ542" s="5"/>
    </row>
    <row r="543" ht="30.0" customHeight="1">
      <c r="AH543" s="5"/>
      <c r="AI543" s="5"/>
      <c r="AJ543" s="5"/>
    </row>
    <row r="544" ht="30.0" customHeight="1">
      <c r="AH544" s="5"/>
      <c r="AI544" s="5"/>
      <c r="AJ544" s="5"/>
    </row>
    <row r="545" ht="30.0" customHeight="1">
      <c r="AH545" s="5"/>
      <c r="AI545" s="5"/>
      <c r="AJ545" s="5"/>
    </row>
    <row r="546" ht="30.0" customHeight="1">
      <c r="AH546" s="5"/>
      <c r="AI546" s="5"/>
      <c r="AJ546" s="5"/>
    </row>
    <row r="547" ht="30.0" customHeight="1">
      <c r="AH547" s="5"/>
      <c r="AI547" s="5"/>
      <c r="AJ547" s="5"/>
    </row>
    <row r="548" ht="30.0" customHeight="1">
      <c r="AH548" s="5"/>
      <c r="AI548" s="5"/>
      <c r="AJ548" s="5"/>
    </row>
    <row r="549" ht="30.0" customHeight="1">
      <c r="AH549" s="5"/>
      <c r="AI549" s="5"/>
      <c r="AJ549" s="5"/>
    </row>
    <row r="550" ht="30.0" customHeight="1">
      <c r="AH550" s="5"/>
      <c r="AI550" s="5"/>
      <c r="AJ550" s="5"/>
    </row>
    <row r="551" ht="30.0" customHeight="1">
      <c r="AH551" s="5"/>
      <c r="AI551" s="5"/>
      <c r="AJ551" s="5"/>
    </row>
    <row r="552" ht="30.0" customHeight="1">
      <c r="AH552" s="5"/>
      <c r="AI552" s="5"/>
      <c r="AJ552" s="5"/>
    </row>
    <row r="553" ht="30.0" customHeight="1">
      <c r="AH553" s="5"/>
      <c r="AI553" s="5"/>
      <c r="AJ553" s="5"/>
    </row>
    <row r="554" ht="30.0" customHeight="1">
      <c r="AH554" s="5"/>
      <c r="AI554" s="5"/>
      <c r="AJ554" s="5"/>
    </row>
    <row r="555" ht="30.0" customHeight="1">
      <c r="AH555" s="5"/>
      <c r="AI555" s="5"/>
      <c r="AJ555" s="5"/>
    </row>
    <row r="556" ht="30.0" customHeight="1">
      <c r="AH556" s="5"/>
      <c r="AI556" s="5"/>
      <c r="AJ556" s="5"/>
    </row>
    <row r="557" ht="30.0" customHeight="1">
      <c r="AH557" s="5"/>
      <c r="AI557" s="5"/>
      <c r="AJ557" s="5"/>
    </row>
    <row r="558" ht="30.0" customHeight="1">
      <c r="AH558" s="5"/>
      <c r="AI558" s="5"/>
      <c r="AJ558" s="5"/>
    </row>
    <row r="559" ht="30.0" customHeight="1">
      <c r="AH559" s="5"/>
      <c r="AI559" s="5"/>
      <c r="AJ559" s="5"/>
    </row>
    <row r="560" ht="30.0" customHeight="1">
      <c r="AH560" s="5"/>
      <c r="AI560" s="5"/>
      <c r="AJ560" s="5"/>
    </row>
    <row r="561" ht="30.0" customHeight="1">
      <c r="AH561" s="5"/>
      <c r="AI561" s="5"/>
      <c r="AJ561" s="5"/>
    </row>
    <row r="562" ht="30.0" customHeight="1">
      <c r="AH562" s="5"/>
      <c r="AI562" s="5"/>
      <c r="AJ562" s="5"/>
    </row>
    <row r="563" ht="30.0" customHeight="1">
      <c r="AH563" s="5"/>
      <c r="AI563" s="5"/>
      <c r="AJ563" s="5"/>
    </row>
    <row r="564" ht="30.0" customHeight="1">
      <c r="AH564" s="5"/>
      <c r="AI564" s="5"/>
      <c r="AJ564" s="5"/>
    </row>
    <row r="565" ht="30.0" customHeight="1">
      <c r="AH565" s="5"/>
      <c r="AI565" s="5"/>
      <c r="AJ565" s="5"/>
    </row>
    <row r="566" ht="30.0" customHeight="1">
      <c r="AH566" s="5"/>
      <c r="AI566" s="5"/>
      <c r="AJ566" s="5"/>
    </row>
    <row r="567" ht="30.0" customHeight="1">
      <c r="AH567" s="5"/>
      <c r="AI567" s="5"/>
      <c r="AJ567" s="5"/>
    </row>
    <row r="568" ht="30.0" customHeight="1">
      <c r="AH568" s="5"/>
      <c r="AI568" s="5"/>
      <c r="AJ568" s="5"/>
    </row>
    <row r="569" ht="30.0" customHeight="1">
      <c r="AH569" s="5"/>
      <c r="AI569" s="5"/>
      <c r="AJ569" s="5"/>
    </row>
    <row r="570" ht="30.0" customHeight="1">
      <c r="AH570" s="5"/>
      <c r="AI570" s="5"/>
      <c r="AJ570" s="5"/>
    </row>
    <row r="571" ht="30.0" customHeight="1">
      <c r="AH571" s="5"/>
      <c r="AI571" s="5"/>
      <c r="AJ571" s="5"/>
    </row>
    <row r="572" ht="30.0" customHeight="1">
      <c r="AH572" s="5"/>
      <c r="AI572" s="5"/>
      <c r="AJ572" s="5"/>
    </row>
    <row r="573" ht="30.0" customHeight="1">
      <c r="AH573" s="5"/>
      <c r="AI573" s="5"/>
      <c r="AJ573" s="5"/>
    </row>
    <row r="574" ht="30.0" customHeight="1">
      <c r="AH574" s="5"/>
      <c r="AI574" s="5"/>
      <c r="AJ574" s="5"/>
    </row>
    <row r="575" ht="30.0" customHeight="1">
      <c r="AH575" s="5"/>
      <c r="AI575" s="5"/>
      <c r="AJ575" s="5"/>
    </row>
    <row r="576" ht="30.0" customHeight="1">
      <c r="AH576" s="5"/>
      <c r="AI576" s="5"/>
      <c r="AJ576" s="5"/>
    </row>
    <row r="577" ht="30.0" customHeight="1">
      <c r="AH577" s="5"/>
      <c r="AI577" s="5"/>
      <c r="AJ577" s="5"/>
    </row>
    <row r="578" ht="30.0" customHeight="1">
      <c r="AH578" s="5"/>
      <c r="AI578" s="5"/>
      <c r="AJ578" s="5"/>
    </row>
    <row r="579" ht="30.0" customHeight="1">
      <c r="AH579" s="5"/>
      <c r="AI579" s="5"/>
      <c r="AJ579" s="5"/>
    </row>
    <row r="580" ht="30.0" customHeight="1">
      <c r="AH580" s="5"/>
      <c r="AI580" s="5"/>
      <c r="AJ580" s="5"/>
    </row>
    <row r="581" ht="30.0" customHeight="1">
      <c r="AH581" s="5"/>
      <c r="AI581" s="5"/>
      <c r="AJ581" s="5"/>
    </row>
    <row r="582" ht="30.0" customHeight="1">
      <c r="AH582" s="5"/>
      <c r="AI582" s="5"/>
      <c r="AJ582" s="5"/>
    </row>
    <row r="583" ht="30.0" customHeight="1">
      <c r="AH583" s="5"/>
      <c r="AI583" s="5"/>
      <c r="AJ583" s="5"/>
    </row>
    <row r="584" ht="30.0" customHeight="1">
      <c r="AH584" s="5"/>
      <c r="AI584" s="5"/>
      <c r="AJ584" s="5"/>
    </row>
    <row r="585" ht="30.0" customHeight="1">
      <c r="AH585" s="5"/>
      <c r="AI585" s="5"/>
      <c r="AJ585" s="5"/>
    </row>
    <row r="586" ht="30.0" customHeight="1">
      <c r="AH586" s="5"/>
      <c r="AI586" s="5"/>
      <c r="AJ586" s="5"/>
    </row>
    <row r="587" ht="30.0" customHeight="1">
      <c r="AH587" s="5"/>
      <c r="AI587" s="5"/>
      <c r="AJ587" s="5"/>
    </row>
    <row r="588" ht="30.0" customHeight="1">
      <c r="AH588" s="5"/>
      <c r="AI588" s="5"/>
      <c r="AJ588" s="5"/>
    </row>
    <row r="589" ht="30.0" customHeight="1">
      <c r="AH589" s="5"/>
      <c r="AI589" s="5"/>
      <c r="AJ589" s="5"/>
    </row>
    <row r="590" ht="30.0" customHeight="1">
      <c r="AH590" s="5"/>
      <c r="AI590" s="5"/>
      <c r="AJ590" s="5"/>
    </row>
    <row r="591" ht="30.0" customHeight="1">
      <c r="AH591" s="5"/>
      <c r="AI591" s="5"/>
      <c r="AJ591" s="5"/>
    </row>
    <row r="592" ht="30.0" customHeight="1">
      <c r="AH592" s="5"/>
      <c r="AI592" s="5"/>
      <c r="AJ592" s="5"/>
    </row>
    <row r="593" ht="30.0" customHeight="1">
      <c r="AH593" s="5"/>
      <c r="AI593" s="5"/>
      <c r="AJ593" s="5"/>
    </row>
    <row r="594" ht="30.0" customHeight="1">
      <c r="AH594" s="5"/>
      <c r="AI594" s="5"/>
      <c r="AJ594" s="5"/>
    </row>
    <row r="595" ht="30.0" customHeight="1">
      <c r="AH595" s="5"/>
      <c r="AI595" s="5"/>
      <c r="AJ595" s="5"/>
    </row>
    <row r="596" ht="30.0" customHeight="1">
      <c r="AH596" s="5"/>
      <c r="AI596" s="5"/>
      <c r="AJ596" s="5"/>
    </row>
    <row r="597" ht="30.0" customHeight="1">
      <c r="AH597" s="5"/>
      <c r="AI597" s="5"/>
      <c r="AJ597" s="5"/>
    </row>
    <row r="598" ht="30.0" customHeight="1">
      <c r="AH598" s="5"/>
      <c r="AI598" s="5"/>
      <c r="AJ598" s="5"/>
    </row>
    <row r="599" ht="30.0" customHeight="1">
      <c r="AH599" s="5"/>
      <c r="AI599" s="5"/>
      <c r="AJ599" s="5"/>
    </row>
    <row r="600" ht="30.0" customHeight="1">
      <c r="AH600" s="5"/>
      <c r="AI600" s="5"/>
      <c r="AJ600" s="5"/>
    </row>
    <row r="601" ht="30.0" customHeight="1">
      <c r="AH601" s="5"/>
      <c r="AI601" s="5"/>
      <c r="AJ601" s="5"/>
    </row>
    <row r="602" ht="30.0" customHeight="1">
      <c r="AH602" s="5"/>
      <c r="AI602" s="5"/>
      <c r="AJ602" s="5"/>
    </row>
    <row r="603" ht="30.0" customHeight="1">
      <c r="AH603" s="5"/>
      <c r="AI603" s="5"/>
      <c r="AJ603" s="5"/>
    </row>
    <row r="604" ht="30.0" customHeight="1">
      <c r="AH604" s="5"/>
      <c r="AI604" s="5"/>
      <c r="AJ604" s="5"/>
    </row>
    <row r="605" ht="30.0" customHeight="1">
      <c r="AH605" s="5"/>
      <c r="AI605" s="5"/>
      <c r="AJ605" s="5"/>
    </row>
    <row r="606" ht="30.0" customHeight="1">
      <c r="AH606" s="5"/>
      <c r="AI606" s="5"/>
      <c r="AJ606" s="5"/>
    </row>
    <row r="607" ht="30.0" customHeight="1">
      <c r="AH607" s="5"/>
      <c r="AI607" s="5"/>
      <c r="AJ607" s="5"/>
    </row>
    <row r="608" ht="30.0" customHeight="1">
      <c r="AH608" s="5"/>
      <c r="AI608" s="5"/>
      <c r="AJ608" s="5"/>
    </row>
    <row r="609" ht="30.0" customHeight="1">
      <c r="AH609" s="5"/>
      <c r="AI609" s="5"/>
      <c r="AJ609" s="5"/>
    </row>
    <row r="610" ht="30.0" customHeight="1">
      <c r="AH610" s="5"/>
      <c r="AI610" s="5"/>
      <c r="AJ610" s="5"/>
    </row>
    <row r="611" ht="30.0" customHeight="1">
      <c r="AH611" s="5"/>
      <c r="AI611" s="5"/>
      <c r="AJ611" s="5"/>
    </row>
    <row r="612" ht="30.0" customHeight="1">
      <c r="AH612" s="5"/>
      <c r="AI612" s="5"/>
      <c r="AJ612" s="5"/>
    </row>
    <row r="613" ht="30.0" customHeight="1">
      <c r="AH613" s="5"/>
      <c r="AI613" s="5"/>
      <c r="AJ613" s="5"/>
    </row>
    <row r="614" ht="30.0" customHeight="1">
      <c r="AH614" s="5"/>
      <c r="AI614" s="5"/>
      <c r="AJ614" s="5"/>
    </row>
    <row r="615" ht="30.0" customHeight="1">
      <c r="AH615" s="5"/>
      <c r="AI615" s="5"/>
      <c r="AJ615" s="5"/>
    </row>
    <row r="616" ht="30.0" customHeight="1">
      <c r="AH616" s="5"/>
      <c r="AI616" s="5"/>
      <c r="AJ616" s="5"/>
    </row>
    <row r="617" ht="30.0" customHeight="1">
      <c r="AH617" s="5"/>
      <c r="AI617" s="5"/>
      <c r="AJ617" s="5"/>
    </row>
    <row r="618" ht="30.0" customHeight="1">
      <c r="AH618" s="5"/>
      <c r="AI618" s="5"/>
      <c r="AJ618" s="5"/>
    </row>
    <row r="619" ht="30.0" customHeight="1">
      <c r="AH619" s="5"/>
      <c r="AI619" s="5"/>
      <c r="AJ619" s="5"/>
    </row>
    <row r="620" ht="30.0" customHeight="1">
      <c r="AH620" s="5"/>
      <c r="AI620" s="5"/>
      <c r="AJ620" s="5"/>
    </row>
    <row r="621" ht="30.0" customHeight="1">
      <c r="AH621" s="5"/>
      <c r="AI621" s="5"/>
      <c r="AJ621" s="5"/>
    </row>
    <row r="622" ht="30.0" customHeight="1">
      <c r="AH622" s="5"/>
      <c r="AI622" s="5"/>
      <c r="AJ622" s="5"/>
    </row>
    <row r="623" ht="30.0" customHeight="1">
      <c r="AH623" s="5"/>
      <c r="AI623" s="5"/>
      <c r="AJ623" s="5"/>
    </row>
    <row r="624" ht="30.0" customHeight="1">
      <c r="AH624" s="5"/>
      <c r="AI624" s="5"/>
      <c r="AJ624" s="5"/>
    </row>
    <row r="625" ht="30.0" customHeight="1">
      <c r="AH625" s="5"/>
      <c r="AI625" s="5"/>
      <c r="AJ625" s="5"/>
    </row>
    <row r="626" ht="30.0" customHeight="1">
      <c r="AH626" s="5"/>
      <c r="AI626" s="5"/>
      <c r="AJ626" s="5"/>
    </row>
    <row r="627" ht="30.0" customHeight="1">
      <c r="AH627" s="5"/>
      <c r="AI627" s="5"/>
      <c r="AJ627" s="5"/>
    </row>
    <row r="628" ht="30.0" customHeight="1">
      <c r="AH628" s="5"/>
      <c r="AI628" s="5"/>
      <c r="AJ628" s="5"/>
    </row>
    <row r="629" ht="30.0" customHeight="1">
      <c r="AH629" s="5"/>
      <c r="AI629" s="5"/>
      <c r="AJ629" s="5"/>
    </row>
    <row r="630" ht="30.0" customHeight="1">
      <c r="AH630" s="5"/>
      <c r="AI630" s="5"/>
      <c r="AJ630" s="5"/>
    </row>
    <row r="631" ht="30.0" customHeight="1">
      <c r="AH631" s="5"/>
      <c r="AI631" s="5"/>
      <c r="AJ631" s="5"/>
    </row>
    <row r="632" ht="30.0" customHeight="1">
      <c r="AH632" s="5"/>
      <c r="AI632" s="5"/>
      <c r="AJ632" s="5"/>
    </row>
    <row r="633" ht="30.0" customHeight="1">
      <c r="AH633" s="5"/>
      <c r="AI633" s="5"/>
      <c r="AJ633" s="5"/>
    </row>
    <row r="634" ht="30.0" customHeight="1">
      <c r="AH634" s="5"/>
      <c r="AI634" s="5"/>
      <c r="AJ634" s="5"/>
    </row>
    <row r="635" ht="30.0" customHeight="1">
      <c r="AH635" s="5"/>
      <c r="AI635" s="5"/>
      <c r="AJ635" s="5"/>
    </row>
    <row r="636" ht="30.0" customHeight="1">
      <c r="AH636" s="5"/>
      <c r="AI636" s="5"/>
      <c r="AJ636" s="5"/>
    </row>
    <row r="637" ht="30.0" customHeight="1">
      <c r="AH637" s="5"/>
      <c r="AI637" s="5"/>
      <c r="AJ637" s="5"/>
    </row>
    <row r="638" ht="30.0" customHeight="1">
      <c r="AH638" s="5"/>
      <c r="AI638" s="5"/>
      <c r="AJ638" s="5"/>
    </row>
    <row r="639" ht="30.0" customHeight="1">
      <c r="AH639" s="5"/>
      <c r="AI639" s="5"/>
      <c r="AJ639" s="5"/>
    </row>
    <row r="640" ht="30.0" customHeight="1">
      <c r="AH640" s="5"/>
      <c r="AI640" s="5"/>
      <c r="AJ640" s="5"/>
    </row>
    <row r="641" ht="30.0" customHeight="1">
      <c r="AH641" s="5"/>
      <c r="AI641" s="5"/>
      <c r="AJ641" s="5"/>
    </row>
    <row r="642" ht="30.0" customHeight="1">
      <c r="AH642" s="5"/>
      <c r="AI642" s="5"/>
      <c r="AJ642" s="5"/>
    </row>
    <row r="643" ht="30.0" customHeight="1">
      <c r="AH643" s="5"/>
      <c r="AI643" s="5"/>
      <c r="AJ643" s="5"/>
    </row>
    <row r="644" ht="30.0" customHeight="1">
      <c r="AH644" s="5"/>
      <c r="AI644" s="5"/>
      <c r="AJ644" s="5"/>
    </row>
    <row r="645" ht="30.0" customHeight="1">
      <c r="AH645" s="5"/>
      <c r="AI645" s="5"/>
      <c r="AJ645" s="5"/>
    </row>
    <row r="646" ht="30.0" customHeight="1">
      <c r="AH646" s="5"/>
      <c r="AI646" s="5"/>
      <c r="AJ646" s="5"/>
    </row>
    <row r="647" ht="30.0" customHeight="1">
      <c r="AH647" s="5"/>
      <c r="AI647" s="5"/>
      <c r="AJ647" s="5"/>
    </row>
    <row r="648" ht="30.0" customHeight="1">
      <c r="AH648" s="5"/>
      <c r="AI648" s="5"/>
      <c r="AJ648" s="5"/>
    </row>
    <row r="649" ht="30.0" customHeight="1">
      <c r="AH649" s="5"/>
      <c r="AI649" s="5"/>
      <c r="AJ649" s="5"/>
    </row>
    <row r="650" ht="30.0" customHeight="1">
      <c r="AH650" s="5"/>
      <c r="AI650" s="5"/>
      <c r="AJ650" s="5"/>
    </row>
    <row r="651" ht="30.0" customHeight="1">
      <c r="AH651" s="5"/>
      <c r="AI651" s="5"/>
      <c r="AJ651" s="5"/>
    </row>
    <row r="652" ht="30.0" customHeight="1">
      <c r="AH652" s="5"/>
      <c r="AI652" s="5"/>
      <c r="AJ652" s="5"/>
    </row>
    <row r="653" ht="30.0" customHeight="1">
      <c r="AH653" s="5"/>
      <c r="AI653" s="5"/>
      <c r="AJ653" s="5"/>
    </row>
    <row r="654" ht="30.0" customHeight="1">
      <c r="AH654" s="5"/>
      <c r="AI654" s="5"/>
      <c r="AJ654" s="5"/>
    </row>
    <row r="655" ht="30.0" customHeight="1">
      <c r="AH655" s="5"/>
      <c r="AI655" s="5"/>
      <c r="AJ655" s="5"/>
    </row>
    <row r="656" ht="30.0" customHeight="1">
      <c r="AH656" s="5"/>
      <c r="AI656" s="5"/>
      <c r="AJ656" s="5"/>
    </row>
    <row r="657" ht="30.0" customHeight="1">
      <c r="AH657" s="5"/>
      <c r="AI657" s="5"/>
      <c r="AJ657" s="5"/>
    </row>
    <row r="658" ht="30.0" customHeight="1">
      <c r="AH658" s="5"/>
      <c r="AI658" s="5"/>
      <c r="AJ658" s="5"/>
    </row>
    <row r="659" ht="30.0" customHeight="1">
      <c r="AH659" s="5"/>
      <c r="AI659" s="5"/>
      <c r="AJ659" s="5"/>
    </row>
    <row r="660" ht="30.0" customHeight="1">
      <c r="AH660" s="5"/>
      <c r="AI660" s="5"/>
      <c r="AJ660" s="5"/>
    </row>
    <row r="661" ht="30.0" customHeight="1">
      <c r="AH661" s="5"/>
      <c r="AI661" s="5"/>
      <c r="AJ661" s="5"/>
    </row>
    <row r="662" ht="30.0" customHeight="1">
      <c r="AH662" s="5"/>
      <c r="AI662" s="5"/>
      <c r="AJ662" s="5"/>
    </row>
    <row r="663" ht="30.0" customHeight="1">
      <c r="AH663" s="5"/>
      <c r="AI663" s="5"/>
      <c r="AJ663" s="5"/>
    </row>
    <row r="664" ht="30.0" customHeight="1">
      <c r="AH664" s="5"/>
      <c r="AI664" s="5"/>
      <c r="AJ664" s="5"/>
    </row>
    <row r="665" ht="30.0" customHeight="1">
      <c r="AH665" s="5"/>
      <c r="AI665" s="5"/>
      <c r="AJ665" s="5"/>
    </row>
    <row r="666" ht="30.0" customHeight="1">
      <c r="AH666" s="5"/>
      <c r="AI666" s="5"/>
      <c r="AJ666" s="5"/>
    </row>
    <row r="667" ht="30.0" customHeight="1">
      <c r="AH667" s="5"/>
      <c r="AI667" s="5"/>
      <c r="AJ667" s="5"/>
    </row>
    <row r="668" ht="30.0" customHeight="1">
      <c r="AH668" s="5"/>
      <c r="AI668" s="5"/>
      <c r="AJ668" s="5"/>
    </row>
    <row r="669" ht="30.0" customHeight="1">
      <c r="AH669" s="5"/>
      <c r="AI669" s="5"/>
      <c r="AJ669" s="5"/>
    </row>
    <row r="670" ht="30.0" customHeight="1">
      <c r="AH670" s="5"/>
      <c r="AI670" s="5"/>
      <c r="AJ670" s="5"/>
    </row>
    <row r="671" ht="30.0" customHeight="1">
      <c r="AH671" s="5"/>
      <c r="AI671" s="5"/>
      <c r="AJ671" s="5"/>
    </row>
    <row r="672" ht="30.0" customHeight="1">
      <c r="AH672" s="5"/>
      <c r="AI672" s="5"/>
      <c r="AJ672" s="5"/>
    </row>
    <row r="673" ht="30.0" customHeight="1">
      <c r="AH673" s="5"/>
      <c r="AI673" s="5"/>
      <c r="AJ673" s="5"/>
    </row>
    <row r="674" ht="30.0" customHeight="1">
      <c r="AH674" s="5"/>
      <c r="AI674" s="5"/>
      <c r="AJ674" s="5"/>
    </row>
    <row r="675" ht="30.0" customHeight="1">
      <c r="AH675" s="5"/>
      <c r="AI675" s="5"/>
      <c r="AJ675" s="5"/>
    </row>
    <row r="676" ht="30.0" customHeight="1">
      <c r="AH676" s="5"/>
      <c r="AI676" s="5"/>
      <c r="AJ676" s="5"/>
    </row>
    <row r="677" ht="30.0" customHeight="1">
      <c r="AH677" s="5"/>
      <c r="AI677" s="5"/>
      <c r="AJ677" s="5"/>
    </row>
    <row r="678" ht="30.0" customHeight="1">
      <c r="AH678" s="5"/>
      <c r="AI678" s="5"/>
      <c r="AJ678" s="5"/>
    </row>
    <row r="679" ht="30.0" customHeight="1">
      <c r="AH679" s="5"/>
      <c r="AI679" s="5"/>
      <c r="AJ679" s="5"/>
    </row>
    <row r="680" ht="30.0" customHeight="1">
      <c r="AH680" s="5"/>
      <c r="AI680" s="5"/>
      <c r="AJ680" s="5"/>
    </row>
    <row r="681" ht="30.0" customHeight="1">
      <c r="AH681" s="5"/>
      <c r="AI681" s="5"/>
      <c r="AJ681" s="5"/>
    </row>
    <row r="682" ht="30.0" customHeight="1">
      <c r="AH682" s="5"/>
      <c r="AI682" s="5"/>
      <c r="AJ682" s="5"/>
    </row>
    <row r="683" ht="30.0" customHeight="1">
      <c r="AH683" s="5"/>
      <c r="AI683" s="5"/>
      <c r="AJ683" s="5"/>
    </row>
    <row r="684" ht="30.0" customHeight="1">
      <c r="AH684" s="5"/>
      <c r="AI684" s="5"/>
      <c r="AJ684" s="5"/>
    </row>
    <row r="685" ht="30.0" customHeight="1">
      <c r="AH685" s="5"/>
      <c r="AI685" s="5"/>
      <c r="AJ685" s="5"/>
    </row>
    <row r="686" ht="30.0" customHeight="1">
      <c r="AH686" s="5"/>
      <c r="AI686" s="5"/>
      <c r="AJ686" s="5"/>
    </row>
    <row r="687" ht="30.0" customHeight="1">
      <c r="AH687" s="5"/>
      <c r="AI687" s="5"/>
      <c r="AJ687" s="5"/>
    </row>
    <row r="688" ht="30.0" customHeight="1">
      <c r="AH688" s="5"/>
      <c r="AI688" s="5"/>
      <c r="AJ688" s="5"/>
    </row>
    <row r="689" ht="30.0" customHeight="1">
      <c r="AH689" s="5"/>
      <c r="AI689" s="5"/>
      <c r="AJ689" s="5"/>
    </row>
    <row r="690" ht="30.0" customHeight="1">
      <c r="AH690" s="5"/>
      <c r="AI690" s="5"/>
      <c r="AJ690" s="5"/>
    </row>
    <row r="691" ht="30.0" customHeight="1">
      <c r="AH691" s="5"/>
      <c r="AI691" s="5"/>
      <c r="AJ691" s="5"/>
    </row>
    <row r="692" ht="30.0" customHeight="1">
      <c r="AH692" s="5"/>
      <c r="AI692" s="5"/>
      <c r="AJ692" s="5"/>
    </row>
    <row r="693" ht="30.0" customHeight="1">
      <c r="AH693" s="5"/>
      <c r="AI693" s="5"/>
      <c r="AJ693" s="5"/>
    </row>
    <row r="694" ht="30.0" customHeight="1">
      <c r="AH694" s="5"/>
      <c r="AI694" s="5"/>
      <c r="AJ694" s="5"/>
    </row>
    <row r="695" ht="30.0" customHeight="1">
      <c r="AH695" s="5"/>
      <c r="AI695" s="5"/>
      <c r="AJ695" s="5"/>
    </row>
    <row r="696" ht="30.0" customHeight="1">
      <c r="AH696" s="5"/>
      <c r="AI696" s="5"/>
      <c r="AJ696" s="5"/>
    </row>
    <row r="697" ht="30.0" customHeight="1">
      <c r="AH697" s="5"/>
      <c r="AI697" s="5"/>
      <c r="AJ697" s="5"/>
    </row>
    <row r="698" ht="30.0" customHeight="1">
      <c r="AH698" s="5"/>
      <c r="AI698" s="5"/>
      <c r="AJ698" s="5"/>
    </row>
    <row r="699" ht="30.0" customHeight="1">
      <c r="AH699" s="5"/>
      <c r="AI699" s="5"/>
      <c r="AJ699" s="5"/>
    </row>
    <row r="700" ht="30.0" customHeight="1">
      <c r="AH700" s="5"/>
      <c r="AI700" s="5"/>
      <c r="AJ700" s="5"/>
    </row>
    <row r="701" ht="30.0" customHeight="1">
      <c r="AH701" s="5"/>
      <c r="AI701" s="5"/>
      <c r="AJ701" s="5"/>
    </row>
    <row r="702" ht="30.0" customHeight="1">
      <c r="AH702" s="5"/>
      <c r="AI702" s="5"/>
      <c r="AJ702" s="5"/>
    </row>
    <row r="703" ht="30.0" customHeight="1">
      <c r="AH703" s="5"/>
      <c r="AI703" s="5"/>
      <c r="AJ703" s="5"/>
    </row>
    <row r="704" ht="30.0" customHeight="1">
      <c r="AH704" s="5"/>
      <c r="AI704" s="5"/>
      <c r="AJ704" s="5"/>
    </row>
    <row r="705" ht="30.0" customHeight="1">
      <c r="AH705" s="5"/>
      <c r="AI705" s="5"/>
      <c r="AJ705" s="5"/>
    </row>
    <row r="706" ht="30.0" customHeight="1">
      <c r="AH706" s="5"/>
      <c r="AI706" s="5"/>
      <c r="AJ706" s="5"/>
    </row>
    <row r="707" ht="30.0" customHeight="1">
      <c r="AH707" s="5"/>
      <c r="AI707" s="5"/>
      <c r="AJ707" s="5"/>
    </row>
    <row r="708" ht="30.0" customHeight="1">
      <c r="AH708" s="5"/>
      <c r="AI708" s="5"/>
      <c r="AJ708" s="5"/>
    </row>
    <row r="709" ht="30.0" customHeight="1">
      <c r="AH709" s="5"/>
      <c r="AI709" s="5"/>
      <c r="AJ709" s="5"/>
    </row>
    <row r="710" ht="30.0" customHeight="1">
      <c r="AH710" s="5"/>
      <c r="AI710" s="5"/>
      <c r="AJ710" s="5"/>
    </row>
    <row r="711" ht="30.0" customHeight="1">
      <c r="AH711" s="5"/>
      <c r="AI711" s="5"/>
      <c r="AJ711" s="5"/>
    </row>
    <row r="712" ht="30.0" customHeight="1">
      <c r="AH712" s="5"/>
      <c r="AI712" s="5"/>
      <c r="AJ712" s="5"/>
    </row>
    <row r="713" ht="30.0" customHeight="1">
      <c r="AH713" s="5"/>
      <c r="AI713" s="5"/>
      <c r="AJ713" s="5"/>
    </row>
    <row r="714" ht="30.0" customHeight="1">
      <c r="AH714" s="5"/>
      <c r="AI714" s="5"/>
      <c r="AJ714" s="5"/>
    </row>
    <row r="715" ht="30.0" customHeight="1">
      <c r="AH715" s="5"/>
      <c r="AI715" s="5"/>
      <c r="AJ715" s="5"/>
    </row>
    <row r="716" ht="30.0" customHeight="1">
      <c r="AH716" s="5"/>
      <c r="AI716" s="5"/>
      <c r="AJ716" s="5"/>
    </row>
    <row r="717" ht="30.0" customHeight="1">
      <c r="AH717" s="5"/>
      <c r="AI717" s="5"/>
      <c r="AJ717" s="5"/>
    </row>
    <row r="718" ht="30.0" customHeight="1">
      <c r="AH718" s="5"/>
      <c r="AI718" s="5"/>
      <c r="AJ718" s="5"/>
    </row>
    <row r="719" ht="30.0" customHeight="1">
      <c r="AH719" s="5"/>
      <c r="AI719" s="5"/>
      <c r="AJ719" s="5"/>
    </row>
    <row r="720" ht="30.0" customHeight="1">
      <c r="AH720" s="5"/>
      <c r="AI720" s="5"/>
      <c r="AJ720" s="5"/>
    </row>
    <row r="721" ht="30.0" customHeight="1">
      <c r="AH721" s="5"/>
      <c r="AI721" s="5"/>
      <c r="AJ721" s="5"/>
    </row>
    <row r="722" ht="30.0" customHeight="1">
      <c r="AH722" s="5"/>
      <c r="AI722" s="5"/>
      <c r="AJ722" s="5"/>
    </row>
    <row r="723" ht="30.0" customHeight="1">
      <c r="AH723" s="5"/>
      <c r="AI723" s="5"/>
      <c r="AJ723" s="5"/>
    </row>
    <row r="724" ht="30.0" customHeight="1">
      <c r="AH724" s="5"/>
      <c r="AI724" s="5"/>
      <c r="AJ724" s="5"/>
    </row>
    <row r="725" ht="30.0" customHeight="1">
      <c r="AH725" s="5"/>
      <c r="AI725" s="5"/>
      <c r="AJ725" s="5"/>
    </row>
    <row r="726" ht="30.0" customHeight="1">
      <c r="AH726" s="5"/>
      <c r="AI726" s="5"/>
      <c r="AJ726" s="5"/>
    </row>
    <row r="727" ht="30.0" customHeight="1">
      <c r="AH727" s="5"/>
      <c r="AI727" s="5"/>
      <c r="AJ727" s="5"/>
    </row>
    <row r="728" ht="30.0" customHeight="1">
      <c r="AH728" s="5"/>
      <c r="AI728" s="5"/>
      <c r="AJ728" s="5"/>
    </row>
    <row r="729" ht="30.0" customHeight="1">
      <c r="AH729" s="5"/>
      <c r="AI729" s="5"/>
      <c r="AJ729" s="5"/>
    </row>
    <row r="730" ht="30.0" customHeight="1">
      <c r="AH730" s="5"/>
      <c r="AI730" s="5"/>
      <c r="AJ730" s="5"/>
    </row>
    <row r="731" ht="30.0" customHeight="1">
      <c r="AH731" s="5"/>
      <c r="AI731" s="5"/>
      <c r="AJ731" s="5"/>
    </row>
    <row r="732" ht="30.0" customHeight="1">
      <c r="AH732" s="5"/>
      <c r="AI732" s="5"/>
      <c r="AJ732" s="5"/>
    </row>
    <row r="733" ht="30.0" customHeight="1">
      <c r="AH733" s="5"/>
      <c r="AI733" s="5"/>
      <c r="AJ733" s="5"/>
    </row>
    <row r="734" ht="30.0" customHeight="1">
      <c r="AH734" s="5"/>
      <c r="AI734" s="5"/>
      <c r="AJ734" s="5"/>
    </row>
    <row r="735" ht="30.0" customHeight="1">
      <c r="AH735" s="5"/>
      <c r="AI735" s="5"/>
      <c r="AJ735" s="5"/>
    </row>
    <row r="736" ht="30.0" customHeight="1">
      <c r="AH736" s="5"/>
      <c r="AI736" s="5"/>
      <c r="AJ736" s="5"/>
    </row>
    <row r="737" ht="30.0" customHeight="1">
      <c r="AH737" s="5"/>
      <c r="AI737" s="5"/>
      <c r="AJ737" s="5"/>
    </row>
    <row r="738" ht="30.0" customHeight="1">
      <c r="AH738" s="5"/>
      <c r="AI738" s="5"/>
      <c r="AJ738" s="5"/>
    </row>
    <row r="739" ht="30.0" customHeight="1">
      <c r="AH739" s="5"/>
      <c r="AI739" s="5"/>
      <c r="AJ739" s="5"/>
    </row>
    <row r="740" ht="30.0" customHeight="1">
      <c r="AH740" s="5"/>
      <c r="AI740" s="5"/>
      <c r="AJ740" s="5"/>
    </row>
    <row r="741" ht="30.0" customHeight="1">
      <c r="AH741" s="5"/>
      <c r="AI741" s="5"/>
      <c r="AJ741" s="5"/>
    </row>
    <row r="742" ht="30.0" customHeight="1">
      <c r="AH742" s="5"/>
      <c r="AI742" s="5"/>
      <c r="AJ742" s="5"/>
    </row>
    <row r="743" ht="30.0" customHeight="1">
      <c r="AH743" s="5"/>
      <c r="AI743" s="5"/>
      <c r="AJ743" s="5"/>
    </row>
    <row r="744" ht="30.0" customHeight="1">
      <c r="AH744" s="5"/>
      <c r="AI744" s="5"/>
      <c r="AJ744" s="5"/>
    </row>
    <row r="745" ht="30.0" customHeight="1">
      <c r="AH745" s="5"/>
      <c r="AI745" s="5"/>
      <c r="AJ745" s="5"/>
    </row>
    <row r="746" ht="30.0" customHeight="1">
      <c r="AH746" s="5"/>
      <c r="AI746" s="5"/>
      <c r="AJ746" s="5"/>
    </row>
    <row r="747" ht="30.0" customHeight="1">
      <c r="AH747" s="5"/>
      <c r="AI747" s="5"/>
      <c r="AJ747" s="5"/>
    </row>
    <row r="748" ht="30.0" customHeight="1">
      <c r="AH748" s="5"/>
      <c r="AI748" s="5"/>
      <c r="AJ748" s="5"/>
    </row>
    <row r="749" ht="30.0" customHeight="1">
      <c r="AH749" s="5"/>
      <c r="AI749" s="5"/>
      <c r="AJ749" s="5"/>
    </row>
    <row r="750" ht="30.0" customHeight="1">
      <c r="AH750" s="5"/>
      <c r="AI750" s="5"/>
      <c r="AJ750" s="5"/>
    </row>
    <row r="751" ht="30.0" customHeight="1">
      <c r="AH751" s="5"/>
      <c r="AI751" s="5"/>
      <c r="AJ751" s="5"/>
    </row>
    <row r="752" ht="30.0" customHeight="1">
      <c r="AH752" s="5"/>
      <c r="AI752" s="5"/>
      <c r="AJ752" s="5"/>
    </row>
    <row r="753" ht="30.0" customHeight="1">
      <c r="AH753" s="5"/>
      <c r="AI753" s="5"/>
      <c r="AJ753" s="5"/>
    </row>
    <row r="754" ht="30.0" customHeight="1">
      <c r="AH754" s="5"/>
      <c r="AI754" s="5"/>
      <c r="AJ754" s="5"/>
    </row>
    <row r="755" ht="30.0" customHeight="1">
      <c r="AH755" s="5"/>
      <c r="AI755" s="5"/>
      <c r="AJ755" s="5"/>
    </row>
    <row r="756" ht="30.0" customHeight="1">
      <c r="AH756" s="5"/>
      <c r="AI756" s="5"/>
      <c r="AJ756" s="5"/>
    </row>
    <row r="757" ht="30.0" customHeight="1">
      <c r="AH757" s="5"/>
      <c r="AI757" s="5"/>
      <c r="AJ757" s="5"/>
    </row>
    <row r="758" ht="30.0" customHeight="1">
      <c r="AH758" s="5"/>
      <c r="AI758" s="5"/>
      <c r="AJ758" s="5"/>
    </row>
    <row r="759" ht="30.0" customHeight="1">
      <c r="AH759" s="5"/>
      <c r="AI759" s="5"/>
      <c r="AJ759" s="5"/>
    </row>
    <row r="760" ht="30.0" customHeight="1">
      <c r="AH760" s="5"/>
      <c r="AI760" s="5"/>
      <c r="AJ760" s="5"/>
    </row>
    <row r="761" ht="30.0" customHeight="1">
      <c r="AH761" s="5"/>
      <c r="AI761" s="5"/>
      <c r="AJ761" s="5"/>
    </row>
    <row r="762" ht="30.0" customHeight="1">
      <c r="AH762" s="5"/>
      <c r="AI762" s="5"/>
      <c r="AJ762" s="5"/>
    </row>
    <row r="763" ht="30.0" customHeight="1">
      <c r="AH763" s="5"/>
      <c r="AI763" s="5"/>
      <c r="AJ763" s="5"/>
    </row>
    <row r="764" ht="30.0" customHeight="1">
      <c r="AH764" s="5"/>
      <c r="AI764" s="5"/>
      <c r="AJ764" s="5"/>
    </row>
    <row r="765" ht="30.0" customHeight="1">
      <c r="AH765" s="5"/>
      <c r="AI765" s="5"/>
      <c r="AJ765" s="5"/>
    </row>
    <row r="766" ht="30.0" customHeight="1">
      <c r="AH766" s="5"/>
      <c r="AI766" s="5"/>
      <c r="AJ766" s="5"/>
    </row>
    <row r="767" ht="30.0" customHeight="1">
      <c r="AH767" s="5"/>
      <c r="AI767" s="5"/>
      <c r="AJ767" s="5"/>
    </row>
    <row r="768" ht="30.0" customHeight="1">
      <c r="AH768" s="5"/>
      <c r="AI768" s="5"/>
      <c r="AJ768" s="5"/>
    </row>
    <row r="769" ht="30.0" customHeight="1">
      <c r="AH769" s="5"/>
      <c r="AI769" s="5"/>
      <c r="AJ769" s="5"/>
    </row>
    <row r="770" ht="30.0" customHeight="1">
      <c r="AH770" s="5"/>
      <c r="AI770" s="5"/>
      <c r="AJ770" s="5"/>
    </row>
    <row r="771" ht="30.0" customHeight="1">
      <c r="AH771" s="5"/>
      <c r="AI771" s="5"/>
      <c r="AJ771" s="5"/>
    </row>
    <row r="772" ht="30.0" customHeight="1">
      <c r="AH772" s="5"/>
      <c r="AI772" s="5"/>
      <c r="AJ772" s="5"/>
    </row>
    <row r="773" ht="30.0" customHeight="1">
      <c r="AH773" s="5"/>
      <c r="AI773" s="5"/>
      <c r="AJ773" s="5"/>
    </row>
    <row r="774" ht="30.0" customHeight="1">
      <c r="AH774" s="5"/>
      <c r="AI774" s="5"/>
      <c r="AJ774" s="5"/>
    </row>
    <row r="775" ht="30.0" customHeight="1">
      <c r="AH775" s="5"/>
      <c r="AI775" s="5"/>
      <c r="AJ775" s="5"/>
    </row>
    <row r="776" ht="30.0" customHeight="1">
      <c r="AH776" s="5"/>
      <c r="AI776" s="5"/>
      <c r="AJ776" s="5"/>
    </row>
    <row r="777" ht="30.0" customHeight="1">
      <c r="AH777" s="5"/>
      <c r="AI777" s="5"/>
      <c r="AJ777" s="5"/>
    </row>
    <row r="778" ht="30.0" customHeight="1">
      <c r="AH778" s="5"/>
      <c r="AI778" s="5"/>
      <c r="AJ778" s="5"/>
    </row>
    <row r="779" ht="30.0" customHeight="1">
      <c r="AH779" s="5"/>
      <c r="AI779" s="5"/>
      <c r="AJ779" s="5"/>
    </row>
    <row r="780" ht="30.0" customHeight="1">
      <c r="AH780" s="5"/>
      <c r="AI780" s="5"/>
      <c r="AJ780" s="5"/>
    </row>
    <row r="781" ht="30.0" customHeight="1">
      <c r="AH781" s="5"/>
      <c r="AI781" s="5"/>
      <c r="AJ781" s="5"/>
    </row>
    <row r="782" ht="30.0" customHeight="1">
      <c r="AH782" s="5"/>
      <c r="AI782" s="5"/>
      <c r="AJ782" s="5"/>
    </row>
    <row r="783" ht="30.0" customHeight="1">
      <c r="AH783" s="5"/>
      <c r="AI783" s="5"/>
      <c r="AJ783" s="5"/>
    </row>
    <row r="784" ht="30.0" customHeight="1">
      <c r="AH784" s="5"/>
      <c r="AI784" s="5"/>
      <c r="AJ784" s="5"/>
    </row>
    <row r="785" ht="30.0" customHeight="1">
      <c r="AH785" s="5"/>
      <c r="AI785" s="5"/>
      <c r="AJ785" s="5"/>
    </row>
    <row r="786" ht="30.0" customHeight="1">
      <c r="AH786" s="5"/>
      <c r="AI786" s="5"/>
      <c r="AJ786" s="5"/>
    </row>
    <row r="787" ht="30.0" customHeight="1">
      <c r="AH787" s="5"/>
      <c r="AI787" s="5"/>
      <c r="AJ787" s="5"/>
    </row>
    <row r="788" ht="30.0" customHeight="1">
      <c r="AH788" s="5"/>
      <c r="AI788" s="5"/>
      <c r="AJ788" s="5"/>
    </row>
    <row r="789" ht="30.0" customHeight="1">
      <c r="AH789" s="5"/>
      <c r="AI789" s="5"/>
      <c r="AJ789" s="5"/>
    </row>
    <row r="790" ht="30.0" customHeight="1">
      <c r="AH790" s="5"/>
      <c r="AI790" s="5"/>
      <c r="AJ790" s="5"/>
    </row>
    <row r="791" ht="30.0" customHeight="1">
      <c r="AH791" s="5"/>
      <c r="AI791" s="5"/>
      <c r="AJ791" s="5"/>
    </row>
    <row r="792" ht="30.0" customHeight="1">
      <c r="AH792" s="5"/>
      <c r="AI792" s="5"/>
      <c r="AJ792" s="5"/>
    </row>
    <row r="793" ht="30.0" customHeight="1">
      <c r="AH793" s="5"/>
      <c r="AI793" s="5"/>
      <c r="AJ793" s="5"/>
    </row>
    <row r="794" ht="30.0" customHeight="1">
      <c r="AH794" s="5"/>
      <c r="AI794" s="5"/>
      <c r="AJ794" s="5"/>
    </row>
    <row r="795" ht="30.0" customHeight="1">
      <c r="AH795" s="5"/>
      <c r="AI795" s="5"/>
      <c r="AJ795" s="5"/>
    </row>
    <row r="796" ht="30.0" customHeight="1">
      <c r="AH796" s="5"/>
      <c r="AI796" s="5"/>
      <c r="AJ796" s="5"/>
    </row>
    <row r="797" ht="30.0" customHeight="1">
      <c r="AH797" s="5"/>
      <c r="AI797" s="5"/>
      <c r="AJ797" s="5"/>
    </row>
    <row r="798" ht="30.0" customHeight="1">
      <c r="AH798" s="5"/>
      <c r="AI798" s="5"/>
      <c r="AJ798" s="5"/>
    </row>
    <row r="799" ht="30.0" customHeight="1">
      <c r="AH799" s="5"/>
      <c r="AI799" s="5"/>
      <c r="AJ799" s="5"/>
    </row>
    <row r="800" ht="30.0" customHeight="1">
      <c r="AH800" s="5"/>
      <c r="AI800" s="5"/>
      <c r="AJ800" s="5"/>
    </row>
    <row r="801" ht="30.0" customHeight="1">
      <c r="AH801" s="5"/>
      <c r="AI801" s="5"/>
      <c r="AJ801" s="5"/>
    </row>
    <row r="802" ht="30.0" customHeight="1">
      <c r="AH802" s="5"/>
      <c r="AI802" s="5"/>
      <c r="AJ802" s="5"/>
    </row>
    <row r="803" ht="30.0" customHeight="1">
      <c r="AH803" s="5"/>
      <c r="AI803" s="5"/>
      <c r="AJ803" s="5"/>
    </row>
    <row r="804" ht="30.0" customHeight="1">
      <c r="AH804" s="5"/>
      <c r="AI804" s="5"/>
      <c r="AJ804" s="5"/>
    </row>
    <row r="805" ht="30.0" customHeight="1">
      <c r="AH805" s="5"/>
      <c r="AI805" s="5"/>
      <c r="AJ805" s="5"/>
    </row>
    <row r="806" ht="30.0" customHeight="1">
      <c r="AH806" s="5"/>
      <c r="AI806" s="5"/>
      <c r="AJ806" s="5"/>
    </row>
    <row r="807" ht="30.0" customHeight="1">
      <c r="AH807" s="5"/>
      <c r="AI807" s="5"/>
      <c r="AJ807" s="5"/>
    </row>
    <row r="808" ht="30.0" customHeight="1">
      <c r="AH808" s="5"/>
      <c r="AI808" s="5"/>
      <c r="AJ808" s="5"/>
    </row>
    <row r="809" ht="30.0" customHeight="1">
      <c r="AH809" s="5"/>
      <c r="AI809" s="5"/>
      <c r="AJ809" s="5"/>
    </row>
    <row r="810" ht="30.0" customHeight="1">
      <c r="AH810" s="5"/>
      <c r="AI810" s="5"/>
      <c r="AJ810" s="5"/>
    </row>
    <row r="811" ht="30.0" customHeight="1">
      <c r="AH811" s="5"/>
      <c r="AI811" s="5"/>
      <c r="AJ811" s="5"/>
    </row>
    <row r="812" ht="30.0" customHeight="1">
      <c r="AH812" s="5"/>
      <c r="AI812" s="5"/>
      <c r="AJ812" s="5"/>
    </row>
    <row r="813" ht="30.0" customHeight="1">
      <c r="AH813" s="5"/>
      <c r="AI813" s="5"/>
      <c r="AJ813" s="5"/>
    </row>
    <row r="814" ht="30.0" customHeight="1">
      <c r="AH814" s="5"/>
      <c r="AI814" s="5"/>
      <c r="AJ814" s="5"/>
    </row>
    <row r="815" ht="30.0" customHeight="1">
      <c r="AH815" s="5"/>
      <c r="AI815" s="5"/>
      <c r="AJ815" s="5"/>
    </row>
    <row r="816" ht="30.0" customHeight="1">
      <c r="AH816" s="5"/>
      <c r="AI816" s="5"/>
      <c r="AJ816" s="5"/>
    </row>
    <row r="817" ht="30.0" customHeight="1">
      <c r="AH817" s="5"/>
      <c r="AI817" s="5"/>
      <c r="AJ817" s="5"/>
    </row>
    <row r="818" ht="30.0" customHeight="1">
      <c r="AH818" s="5"/>
      <c r="AI818" s="5"/>
      <c r="AJ818" s="5"/>
    </row>
    <row r="819" ht="30.0" customHeight="1">
      <c r="AH819" s="5"/>
      <c r="AI819" s="5"/>
      <c r="AJ819" s="5"/>
    </row>
    <row r="820" ht="30.0" customHeight="1">
      <c r="AH820" s="5"/>
      <c r="AI820" s="5"/>
      <c r="AJ820" s="5"/>
    </row>
    <row r="821" ht="30.0" customHeight="1">
      <c r="AH821" s="5"/>
      <c r="AI821" s="5"/>
      <c r="AJ821" s="5"/>
    </row>
    <row r="822" ht="30.0" customHeight="1">
      <c r="AH822" s="5"/>
      <c r="AI822" s="5"/>
      <c r="AJ822" s="5"/>
    </row>
    <row r="823" ht="30.0" customHeight="1">
      <c r="AH823" s="5"/>
      <c r="AI823" s="5"/>
      <c r="AJ823" s="5"/>
    </row>
    <row r="824" ht="30.0" customHeight="1">
      <c r="AH824" s="5"/>
      <c r="AI824" s="5"/>
      <c r="AJ824" s="5"/>
    </row>
    <row r="825" ht="30.0" customHeight="1">
      <c r="AH825" s="5"/>
      <c r="AI825" s="5"/>
      <c r="AJ825" s="5"/>
    </row>
    <row r="826" ht="30.0" customHeight="1">
      <c r="AH826" s="5"/>
      <c r="AI826" s="5"/>
      <c r="AJ826" s="5"/>
    </row>
    <row r="827" ht="30.0" customHeight="1">
      <c r="AH827" s="5"/>
      <c r="AI827" s="5"/>
      <c r="AJ827" s="5"/>
    </row>
    <row r="828" ht="30.0" customHeight="1">
      <c r="AH828" s="5"/>
      <c r="AI828" s="5"/>
      <c r="AJ828" s="5"/>
    </row>
    <row r="829" ht="30.0" customHeight="1">
      <c r="AH829" s="5"/>
      <c r="AI829" s="5"/>
      <c r="AJ829" s="5"/>
    </row>
    <row r="830" ht="30.0" customHeight="1">
      <c r="AH830" s="5"/>
      <c r="AI830" s="5"/>
      <c r="AJ830" s="5"/>
    </row>
    <row r="831" ht="30.0" customHeight="1">
      <c r="AH831" s="5"/>
      <c r="AI831" s="5"/>
      <c r="AJ831" s="5"/>
    </row>
    <row r="832" ht="30.0" customHeight="1">
      <c r="AH832" s="5"/>
      <c r="AI832" s="5"/>
      <c r="AJ832" s="5"/>
    </row>
    <row r="833" ht="30.0" customHeight="1">
      <c r="AH833" s="5"/>
      <c r="AI833" s="5"/>
      <c r="AJ833" s="5"/>
    </row>
    <row r="834" ht="30.0" customHeight="1">
      <c r="AH834" s="5"/>
      <c r="AI834" s="5"/>
      <c r="AJ834" s="5"/>
    </row>
    <row r="835" ht="30.0" customHeight="1">
      <c r="AH835" s="5"/>
      <c r="AI835" s="5"/>
      <c r="AJ835" s="5"/>
    </row>
    <row r="836" ht="30.0" customHeight="1">
      <c r="AH836" s="5"/>
      <c r="AI836" s="5"/>
      <c r="AJ836" s="5"/>
    </row>
    <row r="837" ht="30.0" customHeight="1">
      <c r="AH837" s="5"/>
      <c r="AI837" s="5"/>
      <c r="AJ837" s="5"/>
    </row>
    <row r="838" ht="30.0" customHeight="1">
      <c r="AH838" s="5"/>
      <c r="AI838" s="5"/>
      <c r="AJ838" s="5"/>
    </row>
    <row r="839" ht="30.0" customHeight="1">
      <c r="AH839" s="5"/>
      <c r="AI839" s="5"/>
      <c r="AJ839" s="5"/>
    </row>
    <row r="840" ht="30.0" customHeight="1">
      <c r="AH840" s="5"/>
      <c r="AI840" s="5"/>
      <c r="AJ840" s="5"/>
    </row>
    <row r="841" ht="30.0" customHeight="1">
      <c r="AH841" s="5"/>
      <c r="AI841" s="5"/>
      <c r="AJ841" s="5"/>
    </row>
    <row r="842" ht="30.0" customHeight="1">
      <c r="AH842" s="5"/>
      <c r="AI842" s="5"/>
      <c r="AJ842" s="5"/>
    </row>
    <row r="843" ht="30.0" customHeight="1">
      <c r="AH843" s="5"/>
      <c r="AI843" s="5"/>
      <c r="AJ843" s="5"/>
    </row>
    <row r="844" ht="30.0" customHeight="1">
      <c r="AH844" s="5"/>
      <c r="AI844" s="5"/>
      <c r="AJ844" s="5"/>
    </row>
    <row r="845" ht="30.0" customHeight="1">
      <c r="AH845" s="5"/>
      <c r="AI845" s="5"/>
      <c r="AJ845" s="5"/>
    </row>
    <row r="846" ht="30.0" customHeight="1">
      <c r="AH846" s="5"/>
      <c r="AI846" s="5"/>
      <c r="AJ846" s="5"/>
    </row>
    <row r="847" ht="30.0" customHeight="1">
      <c r="AH847" s="5"/>
      <c r="AI847" s="5"/>
      <c r="AJ847" s="5"/>
    </row>
    <row r="848" ht="30.0" customHeight="1">
      <c r="AH848" s="5"/>
      <c r="AI848" s="5"/>
      <c r="AJ848" s="5"/>
    </row>
    <row r="849" ht="30.0" customHeight="1">
      <c r="AH849" s="5"/>
      <c r="AI849" s="5"/>
      <c r="AJ849" s="5"/>
    </row>
    <row r="850" ht="30.0" customHeight="1">
      <c r="AH850" s="5"/>
      <c r="AI850" s="5"/>
      <c r="AJ850" s="5"/>
    </row>
    <row r="851" ht="30.0" customHeight="1">
      <c r="AH851" s="5"/>
      <c r="AI851" s="5"/>
      <c r="AJ851" s="5"/>
    </row>
    <row r="852" ht="30.0" customHeight="1">
      <c r="AH852" s="5"/>
      <c r="AI852" s="5"/>
      <c r="AJ852" s="5"/>
    </row>
    <row r="853" ht="30.0" customHeight="1">
      <c r="AH853" s="5"/>
      <c r="AI853" s="5"/>
      <c r="AJ853" s="5"/>
    </row>
    <row r="854" ht="30.0" customHeight="1">
      <c r="AH854" s="5"/>
      <c r="AI854" s="5"/>
      <c r="AJ854" s="5"/>
    </row>
    <row r="855" ht="30.0" customHeight="1">
      <c r="AH855" s="5"/>
      <c r="AI855" s="5"/>
      <c r="AJ855" s="5"/>
    </row>
    <row r="856" ht="30.0" customHeight="1">
      <c r="AH856" s="5"/>
      <c r="AI856" s="5"/>
      <c r="AJ856" s="5"/>
    </row>
    <row r="857" ht="30.0" customHeight="1">
      <c r="AH857" s="5"/>
      <c r="AI857" s="5"/>
      <c r="AJ857" s="5"/>
    </row>
    <row r="858" ht="30.0" customHeight="1">
      <c r="AH858" s="5"/>
      <c r="AI858" s="5"/>
      <c r="AJ858" s="5"/>
    </row>
    <row r="859" ht="30.0" customHeight="1">
      <c r="AH859" s="5"/>
      <c r="AI859" s="5"/>
      <c r="AJ859" s="5"/>
    </row>
    <row r="860" ht="30.0" customHeight="1">
      <c r="AH860" s="5"/>
      <c r="AI860" s="5"/>
      <c r="AJ860" s="5"/>
    </row>
    <row r="861" ht="30.0" customHeight="1">
      <c r="AH861" s="5"/>
      <c r="AI861" s="5"/>
      <c r="AJ861" s="5"/>
    </row>
    <row r="862" ht="30.0" customHeight="1">
      <c r="AH862" s="5"/>
      <c r="AI862" s="5"/>
      <c r="AJ862" s="5"/>
    </row>
    <row r="863" ht="30.0" customHeight="1">
      <c r="AH863" s="5"/>
      <c r="AI863" s="5"/>
      <c r="AJ863" s="5"/>
    </row>
    <row r="864" ht="30.0" customHeight="1">
      <c r="AH864" s="5"/>
      <c r="AI864" s="5"/>
      <c r="AJ864" s="5"/>
    </row>
    <row r="865" ht="30.0" customHeight="1">
      <c r="AH865" s="5"/>
      <c r="AI865" s="5"/>
      <c r="AJ865" s="5"/>
    </row>
    <row r="866" ht="30.0" customHeight="1">
      <c r="AH866" s="5"/>
      <c r="AI866" s="5"/>
      <c r="AJ866" s="5"/>
    </row>
    <row r="867" ht="30.0" customHeight="1">
      <c r="AH867" s="5"/>
      <c r="AI867" s="5"/>
      <c r="AJ867" s="5"/>
    </row>
    <row r="868" ht="30.0" customHeight="1">
      <c r="AH868" s="5"/>
      <c r="AI868" s="5"/>
      <c r="AJ868" s="5"/>
    </row>
    <row r="869" ht="30.0" customHeight="1">
      <c r="AH869" s="5"/>
      <c r="AI869" s="5"/>
      <c r="AJ869" s="5"/>
    </row>
    <row r="870" ht="30.0" customHeight="1">
      <c r="AH870" s="5"/>
      <c r="AI870" s="5"/>
      <c r="AJ870" s="5"/>
    </row>
    <row r="871" ht="30.0" customHeight="1">
      <c r="AH871" s="5"/>
      <c r="AI871" s="5"/>
      <c r="AJ871" s="5"/>
    </row>
    <row r="872" ht="30.0" customHeight="1">
      <c r="AH872" s="5"/>
      <c r="AI872" s="5"/>
      <c r="AJ872" s="5"/>
    </row>
    <row r="873" ht="30.0" customHeight="1">
      <c r="AH873" s="5"/>
      <c r="AI873" s="5"/>
      <c r="AJ873" s="5"/>
    </row>
    <row r="874" ht="30.0" customHeight="1">
      <c r="AH874" s="5"/>
      <c r="AI874" s="5"/>
      <c r="AJ874" s="5"/>
    </row>
    <row r="875" ht="30.0" customHeight="1">
      <c r="AH875" s="5"/>
      <c r="AI875" s="5"/>
      <c r="AJ875" s="5"/>
    </row>
    <row r="876" ht="30.0" customHeight="1">
      <c r="AH876" s="5"/>
      <c r="AI876" s="5"/>
      <c r="AJ876" s="5"/>
    </row>
    <row r="877" ht="30.0" customHeight="1">
      <c r="AH877" s="5"/>
      <c r="AI877" s="5"/>
      <c r="AJ877" s="5"/>
    </row>
    <row r="878" ht="30.0" customHeight="1">
      <c r="AH878" s="5"/>
      <c r="AI878" s="5"/>
      <c r="AJ878" s="5"/>
    </row>
    <row r="879" ht="30.0" customHeight="1">
      <c r="AH879" s="5"/>
      <c r="AI879" s="5"/>
      <c r="AJ879" s="5"/>
    </row>
    <row r="880" ht="30.0" customHeight="1">
      <c r="AH880" s="5"/>
      <c r="AI880" s="5"/>
      <c r="AJ880" s="5"/>
    </row>
    <row r="881" ht="30.0" customHeight="1">
      <c r="AH881" s="5"/>
      <c r="AI881" s="5"/>
      <c r="AJ881" s="5"/>
    </row>
    <row r="882" ht="30.0" customHeight="1">
      <c r="AH882" s="5"/>
      <c r="AI882" s="5"/>
      <c r="AJ882" s="5"/>
    </row>
    <row r="883" ht="30.0" customHeight="1">
      <c r="AH883" s="5"/>
      <c r="AI883" s="5"/>
      <c r="AJ883" s="5"/>
    </row>
    <row r="884" ht="30.0" customHeight="1">
      <c r="AH884" s="5"/>
      <c r="AI884" s="5"/>
      <c r="AJ884" s="5"/>
    </row>
    <row r="885" ht="30.0" customHeight="1">
      <c r="AH885" s="5"/>
      <c r="AI885" s="5"/>
      <c r="AJ885" s="5"/>
    </row>
    <row r="886" ht="30.0" customHeight="1">
      <c r="AH886" s="5"/>
      <c r="AI886" s="5"/>
      <c r="AJ886" s="5"/>
    </row>
    <row r="887" ht="30.0" customHeight="1">
      <c r="AH887" s="5"/>
      <c r="AI887" s="5"/>
      <c r="AJ887" s="5"/>
    </row>
    <row r="888" ht="30.0" customHeight="1">
      <c r="AH888" s="5"/>
      <c r="AI888" s="5"/>
      <c r="AJ888" s="5"/>
    </row>
    <row r="889" ht="30.0" customHeight="1">
      <c r="AH889" s="5"/>
      <c r="AI889" s="5"/>
      <c r="AJ889" s="5"/>
    </row>
    <row r="890" ht="30.0" customHeight="1">
      <c r="AH890" s="5"/>
      <c r="AI890" s="5"/>
      <c r="AJ890" s="5"/>
    </row>
    <row r="891" ht="30.0" customHeight="1">
      <c r="AH891" s="5"/>
      <c r="AI891" s="5"/>
      <c r="AJ891" s="5"/>
    </row>
    <row r="892" ht="30.0" customHeight="1">
      <c r="AH892" s="5"/>
      <c r="AI892" s="5"/>
      <c r="AJ892" s="5"/>
    </row>
    <row r="893" ht="30.0" customHeight="1">
      <c r="AH893" s="5"/>
      <c r="AI893" s="5"/>
      <c r="AJ893" s="5"/>
    </row>
    <row r="894" ht="30.0" customHeight="1">
      <c r="AH894" s="5"/>
      <c r="AI894" s="5"/>
      <c r="AJ894" s="5"/>
    </row>
    <row r="895" ht="30.0" customHeight="1">
      <c r="AH895" s="5"/>
      <c r="AI895" s="5"/>
      <c r="AJ895" s="5"/>
    </row>
    <row r="896" ht="30.0" customHeight="1">
      <c r="AH896" s="5"/>
      <c r="AI896" s="5"/>
      <c r="AJ896" s="5"/>
    </row>
    <row r="897" ht="30.0" customHeight="1">
      <c r="AH897" s="5"/>
      <c r="AI897" s="5"/>
      <c r="AJ897" s="5"/>
    </row>
    <row r="898" ht="30.0" customHeight="1">
      <c r="AH898" s="5"/>
      <c r="AI898" s="5"/>
      <c r="AJ898" s="5"/>
    </row>
    <row r="899" ht="30.0" customHeight="1">
      <c r="AH899" s="5"/>
      <c r="AI899" s="5"/>
      <c r="AJ899" s="5"/>
    </row>
    <row r="900" ht="30.0" customHeight="1">
      <c r="AH900" s="5"/>
      <c r="AI900" s="5"/>
      <c r="AJ900" s="5"/>
    </row>
    <row r="901" ht="30.0" customHeight="1">
      <c r="AH901" s="5"/>
      <c r="AI901" s="5"/>
      <c r="AJ901" s="5"/>
    </row>
    <row r="902" ht="30.0" customHeight="1">
      <c r="AH902" s="5"/>
      <c r="AI902" s="5"/>
      <c r="AJ902" s="5"/>
    </row>
    <row r="903" ht="30.0" customHeight="1">
      <c r="AH903" s="5"/>
      <c r="AI903" s="5"/>
      <c r="AJ903" s="5"/>
    </row>
    <row r="904" ht="30.0" customHeight="1">
      <c r="AH904" s="5"/>
      <c r="AI904" s="5"/>
      <c r="AJ904" s="5"/>
    </row>
    <row r="905" ht="30.0" customHeight="1">
      <c r="AH905" s="5"/>
      <c r="AI905" s="5"/>
      <c r="AJ905" s="5"/>
    </row>
    <row r="906" ht="30.0" customHeight="1">
      <c r="AH906" s="5"/>
      <c r="AI906" s="5"/>
      <c r="AJ906" s="5"/>
    </row>
    <row r="907" ht="30.0" customHeight="1">
      <c r="AH907" s="5"/>
      <c r="AI907" s="5"/>
      <c r="AJ907" s="5"/>
    </row>
    <row r="908" ht="30.0" customHeight="1">
      <c r="AH908" s="5"/>
      <c r="AI908" s="5"/>
      <c r="AJ908" s="5"/>
    </row>
    <row r="909" ht="30.0" customHeight="1">
      <c r="AH909" s="5"/>
      <c r="AI909" s="5"/>
      <c r="AJ909" s="5"/>
    </row>
    <row r="910" ht="30.0" customHeight="1">
      <c r="AH910" s="5"/>
      <c r="AI910" s="5"/>
      <c r="AJ910" s="5"/>
    </row>
    <row r="911" ht="30.0" customHeight="1">
      <c r="AH911" s="5"/>
      <c r="AI911" s="5"/>
      <c r="AJ911" s="5"/>
    </row>
    <row r="912" ht="30.0" customHeight="1">
      <c r="AH912" s="5"/>
      <c r="AI912" s="5"/>
      <c r="AJ912" s="5"/>
    </row>
    <row r="913" ht="30.0" customHeight="1">
      <c r="AH913" s="5"/>
      <c r="AI913" s="5"/>
      <c r="AJ913" s="5"/>
    </row>
    <row r="914" ht="30.0" customHeight="1">
      <c r="AH914" s="5"/>
      <c r="AI914" s="5"/>
      <c r="AJ914" s="5"/>
    </row>
    <row r="915" ht="30.0" customHeight="1">
      <c r="AH915" s="5"/>
      <c r="AI915" s="5"/>
      <c r="AJ915" s="5"/>
    </row>
    <row r="916" ht="30.0" customHeight="1">
      <c r="AH916" s="5"/>
      <c r="AI916" s="5"/>
      <c r="AJ916" s="5"/>
    </row>
    <row r="917" ht="30.0" customHeight="1">
      <c r="AH917" s="5"/>
      <c r="AI917" s="5"/>
      <c r="AJ917" s="5"/>
    </row>
    <row r="918" ht="30.0" customHeight="1">
      <c r="AH918" s="5"/>
      <c r="AI918" s="5"/>
      <c r="AJ918" s="5"/>
    </row>
    <row r="919" ht="30.0" customHeight="1">
      <c r="AH919" s="5"/>
      <c r="AI919" s="5"/>
      <c r="AJ919" s="5"/>
    </row>
    <row r="920" ht="30.0" customHeight="1">
      <c r="AH920" s="5"/>
      <c r="AI920" s="5"/>
      <c r="AJ920" s="5"/>
    </row>
    <row r="921" ht="30.0" customHeight="1">
      <c r="AH921" s="5"/>
      <c r="AI921" s="5"/>
      <c r="AJ921" s="5"/>
    </row>
    <row r="922" ht="30.0" customHeight="1">
      <c r="AH922" s="5"/>
      <c r="AI922" s="5"/>
      <c r="AJ922" s="5"/>
    </row>
    <row r="923" ht="30.0" customHeight="1">
      <c r="AH923" s="5"/>
      <c r="AI923" s="5"/>
      <c r="AJ923" s="5"/>
    </row>
    <row r="924" ht="30.0" customHeight="1">
      <c r="AH924" s="5"/>
      <c r="AI924" s="5"/>
      <c r="AJ924" s="5"/>
    </row>
    <row r="925" ht="30.0" customHeight="1">
      <c r="AH925" s="5"/>
      <c r="AI925" s="5"/>
      <c r="AJ925" s="5"/>
    </row>
    <row r="926" ht="30.0" customHeight="1">
      <c r="AH926" s="5"/>
      <c r="AI926" s="5"/>
      <c r="AJ926" s="5"/>
    </row>
    <row r="927" ht="30.0" customHeight="1">
      <c r="AH927" s="5"/>
      <c r="AI927" s="5"/>
      <c r="AJ927" s="5"/>
    </row>
    <row r="928" ht="30.0" customHeight="1">
      <c r="AH928" s="5"/>
      <c r="AI928" s="5"/>
      <c r="AJ928" s="5"/>
    </row>
    <row r="929" ht="30.0" customHeight="1">
      <c r="AH929" s="5"/>
      <c r="AI929" s="5"/>
      <c r="AJ929" s="5"/>
    </row>
    <row r="930" ht="30.0" customHeight="1">
      <c r="AH930" s="5"/>
      <c r="AI930" s="5"/>
      <c r="AJ930" s="5"/>
    </row>
    <row r="931" ht="30.0" customHeight="1">
      <c r="AH931" s="5"/>
      <c r="AI931" s="5"/>
      <c r="AJ931" s="5"/>
    </row>
    <row r="932" ht="30.0" customHeight="1">
      <c r="AH932" s="5"/>
      <c r="AI932" s="5"/>
      <c r="AJ932" s="5"/>
    </row>
    <row r="933" ht="30.0" customHeight="1">
      <c r="AH933" s="5"/>
      <c r="AI933" s="5"/>
      <c r="AJ933" s="5"/>
    </row>
    <row r="934" ht="30.0" customHeight="1">
      <c r="AH934" s="5"/>
      <c r="AI934" s="5"/>
      <c r="AJ934" s="5"/>
    </row>
    <row r="935" ht="30.0" customHeight="1">
      <c r="AH935" s="5"/>
      <c r="AI935" s="5"/>
      <c r="AJ935" s="5"/>
    </row>
    <row r="936" ht="30.0" customHeight="1">
      <c r="AH936" s="5"/>
      <c r="AI936" s="5"/>
      <c r="AJ936" s="5"/>
    </row>
    <row r="937" ht="30.0" customHeight="1">
      <c r="AH937" s="5"/>
      <c r="AI937" s="5"/>
      <c r="AJ937" s="5"/>
    </row>
    <row r="938" ht="30.0" customHeight="1">
      <c r="AH938" s="5"/>
      <c r="AI938" s="5"/>
      <c r="AJ938" s="5"/>
    </row>
    <row r="939" ht="30.0" customHeight="1">
      <c r="AH939" s="5"/>
      <c r="AI939" s="5"/>
      <c r="AJ939" s="5"/>
    </row>
    <row r="940" ht="30.0" customHeight="1">
      <c r="AH940" s="5"/>
      <c r="AI940" s="5"/>
      <c r="AJ940" s="5"/>
    </row>
    <row r="941" ht="30.0" customHeight="1">
      <c r="AH941" s="5"/>
      <c r="AI941" s="5"/>
      <c r="AJ941" s="5"/>
    </row>
    <row r="942" ht="30.0" customHeight="1">
      <c r="AH942" s="5"/>
      <c r="AI942" s="5"/>
      <c r="AJ942" s="5"/>
    </row>
    <row r="943" ht="30.0" customHeight="1">
      <c r="AH943" s="5"/>
      <c r="AI943" s="5"/>
      <c r="AJ943" s="5"/>
    </row>
    <row r="944" ht="30.0" customHeight="1">
      <c r="AH944" s="5"/>
      <c r="AI944" s="5"/>
      <c r="AJ944" s="5"/>
    </row>
    <row r="945" ht="30.0" customHeight="1">
      <c r="AH945" s="5"/>
      <c r="AI945" s="5"/>
      <c r="AJ945" s="5"/>
    </row>
    <row r="946" ht="30.0" customHeight="1">
      <c r="AH946" s="5"/>
      <c r="AI946" s="5"/>
      <c r="AJ946" s="5"/>
    </row>
    <row r="947" ht="30.0" customHeight="1">
      <c r="AH947" s="5"/>
      <c r="AI947" s="5"/>
      <c r="AJ947" s="5"/>
    </row>
    <row r="948" ht="30.0" customHeight="1">
      <c r="AH948" s="5"/>
      <c r="AI948" s="5"/>
      <c r="AJ948" s="5"/>
    </row>
    <row r="949" ht="30.0" customHeight="1">
      <c r="AH949" s="5"/>
      <c r="AI949" s="5"/>
      <c r="AJ949" s="5"/>
    </row>
    <row r="950" ht="30.0" customHeight="1">
      <c r="AH950" s="5"/>
      <c r="AI950" s="5"/>
      <c r="AJ950" s="5"/>
    </row>
    <row r="951" ht="30.0" customHeight="1">
      <c r="AH951" s="5"/>
      <c r="AI951" s="5"/>
      <c r="AJ951" s="5"/>
    </row>
    <row r="952" ht="30.0" customHeight="1">
      <c r="AH952" s="5"/>
      <c r="AI952" s="5"/>
      <c r="AJ952" s="5"/>
    </row>
    <row r="953" ht="30.0" customHeight="1">
      <c r="AH953" s="5"/>
      <c r="AI953" s="5"/>
      <c r="AJ953" s="5"/>
    </row>
    <row r="954" ht="30.0" customHeight="1">
      <c r="AH954" s="5"/>
      <c r="AI954" s="5"/>
      <c r="AJ954" s="5"/>
    </row>
    <row r="955" ht="30.0" customHeight="1">
      <c r="AH955" s="5"/>
      <c r="AI955" s="5"/>
      <c r="AJ955" s="5"/>
    </row>
    <row r="956" ht="30.0" customHeight="1">
      <c r="AH956" s="5"/>
      <c r="AI956" s="5"/>
      <c r="AJ956" s="5"/>
    </row>
    <row r="957" ht="30.0" customHeight="1">
      <c r="AH957" s="5"/>
      <c r="AI957" s="5"/>
      <c r="AJ957" s="5"/>
    </row>
    <row r="958" ht="30.0" customHeight="1">
      <c r="AH958" s="5"/>
      <c r="AI958" s="5"/>
      <c r="AJ958" s="5"/>
    </row>
    <row r="959" ht="30.0" customHeight="1">
      <c r="AH959" s="5"/>
      <c r="AI959" s="5"/>
      <c r="AJ959" s="5"/>
    </row>
    <row r="960" ht="30.0" customHeight="1">
      <c r="AH960" s="5"/>
      <c r="AI960" s="5"/>
      <c r="AJ960" s="5"/>
    </row>
    <row r="961" ht="30.0" customHeight="1">
      <c r="AH961" s="5"/>
      <c r="AI961" s="5"/>
      <c r="AJ961" s="5"/>
    </row>
    <row r="962" ht="30.0" customHeight="1">
      <c r="AH962" s="5"/>
      <c r="AI962" s="5"/>
      <c r="AJ962" s="5"/>
    </row>
    <row r="963" ht="30.0" customHeight="1">
      <c r="AH963" s="5"/>
      <c r="AI963" s="5"/>
      <c r="AJ963" s="5"/>
    </row>
    <row r="964" ht="30.0" customHeight="1">
      <c r="AH964" s="5"/>
      <c r="AI964" s="5"/>
      <c r="AJ964" s="5"/>
    </row>
    <row r="965" ht="30.0" customHeight="1">
      <c r="AH965" s="5"/>
      <c r="AI965" s="5"/>
      <c r="AJ965" s="5"/>
    </row>
    <row r="966" ht="30.0" customHeight="1">
      <c r="AH966" s="5"/>
      <c r="AI966" s="5"/>
      <c r="AJ966" s="5"/>
    </row>
    <row r="967" ht="30.0" customHeight="1">
      <c r="AH967" s="5"/>
      <c r="AI967" s="5"/>
      <c r="AJ967" s="5"/>
    </row>
    <row r="968" ht="30.0" customHeight="1">
      <c r="AH968" s="5"/>
      <c r="AI968" s="5"/>
      <c r="AJ968" s="5"/>
    </row>
    <row r="969" ht="30.0" customHeight="1">
      <c r="AH969" s="5"/>
      <c r="AI969" s="5"/>
      <c r="AJ969" s="5"/>
    </row>
    <row r="970" ht="30.0" customHeight="1">
      <c r="AH970" s="5"/>
      <c r="AI970" s="5"/>
      <c r="AJ970" s="5"/>
    </row>
    <row r="971" ht="30.0" customHeight="1">
      <c r="AH971" s="5"/>
      <c r="AI971" s="5"/>
      <c r="AJ971" s="5"/>
    </row>
    <row r="972" ht="30.0" customHeight="1">
      <c r="AH972" s="5"/>
      <c r="AI972" s="5"/>
      <c r="AJ972" s="5"/>
    </row>
    <row r="973" ht="30.0" customHeight="1">
      <c r="AH973" s="5"/>
      <c r="AI973" s="5"/>
      <c r="AJ973" s="5"/>
    </row>
    <row r="974" ht="30.0" customHeight="1">
      <c r="AH974" s="5"/>
      <c r="AI974" s="5"/>
      <c r="AJ974" s="5"/>
    </row>
    <row r="975" ht="30.0" customHeight="1">
      <c r="AH975" s="5"/>
      <c r="AI975" s="5"/>
      <c r="AJ975" s="5"/>
    </row>
    <row r="976" ht="30.0" customHeight="1">
      <c r="AH976" s="5"/>
      <c r="AI976" s="5"/>
      <c r="AJ976" s="5"/>
    </row>
    <row r="977" ht="30.0" customHeight="1">
      <c r="AH977" s="5"/>
      <c r="AI977" s="5"/>
      <c r="AJ977" s="5"/>
    </row>
    <row r="978" ht="30.0" customHeight="1">
      <c r="AH978" s="5"/>
      <c r="AI978" s="5"/>
      <c r="AJ978" s="5"/>
    </row>
    <row r="979" ht="30.0" customHeight="1">
      <c r="AH979" s="5"/>
      <c r="AI979" s="5"/>
      <c r="AJ979" s="5"/>
    </row>
    <row r="980" ht="30.0" customHeight="1">
      <c r="AH980" s="5"/>
      <c r="AI980" s="5"/>
      <c r="AJ980" s="5"/>
    </row>
    <row r="981" ht="30.0" customHeight="1">
      <c r="AH981" s="5"/>
      <c r="AI981" s="5"/>
      <c r="AJ981" s="5"/>
    </row>
    <row r="982" ht="30.0" customHeight="1">
      <c r="AH982" s="5"/>
      <c r="AI982" s="5"/>
      <c r="AJ982" s="5"/>
    </row>
    <row r="983" ht="30.0" customHeight="1">
      <c r="AH983" s="5"/>
      <c r="AI983" s="5"/>
      <c r="AJ983" s="5"/>
    </row>
    <row r="984" ht="30.0" customHeight="1">
      <c r="AH984" s="5"/>
      <c r="AI984" s="5"/>
      <c r="AJ984" s="5"/>
    </row>
    <row r="985" ht="30.0" customHeight="1">
      <c r="AH985" s="5"/>
      <c r="AI985" s="5"/>
      <c r="AJ985" s="5"/>
    </row>
    <row r="986" ht="30.0" customHeight="1">
      <c r="AH986" s="5"/>
      <c r="AI986" s="5"/>
      <c r="AJ986" s="5"/>
    </row>
    <row r="987" ht="30.0" customHeight="1">
      <c r="AH987" s="5"/>
      <c r="AI987" s="5"/>
      <c r="AJ987" s="5"/>
    </row>
    <row r="988" ht="30.0" customHeight="1">
      <c r="AH988" s="5"/>
      <c r="AI988" s="5"/>
      <c r="AJ988" s="5"/>
    </row>
    <row r="989" ht="30.0" customHeight="1">
      <c r="AH989" s="5"/>
      <c r="AI989" s="5"/>
      <c r="AJ989" s="5"/>
    </row>
    <row r="990" ht="30.0" customHeight="1">
      <c r="AH990" s="5"/>
      <c r="AI990" s="5"/>
      <c r="AJ990" s="5"/>
    </row>
    <row r="991" ht="30.0" customHeight="1">
      <c r="AH991" s="5"/>
      <c r="AI991" s="5"/>
      <c r="AJ991" s="5"/>
    </row>
    <row r="992" ht="30.0" customHeight="1">
      <c r="AH992" s="5"/>
      <c r="AI992" s="5"/>
      <c r="AJ992" s="5"/>
    </row>
    <row r="993" ht="30.0" customHeight="1">
      <c r="AH993" s="5"/>
      <c r="AI993" s="5"/>
      <c r="AJ993" s="5"/>
    </row>
    <row r="994" ht="30.0" customHeight="1">
      <c r="AH994" s="5"/>
      <c r="AI994" s="5"/>
      <c r="AJ994" s="5"/>
    </row>
    <row r="995" ht="30.0" customHeight="1">
      <c r="AH995" s="5"/>
      <c r="AI995" s="5"/>
      <c r="AJ995" s="5"/>
    </row>
    <row r="996" ht="30.0" customHeight="1">
      <c r="AH996" s="5"/>
      <c r="AI996" s="5"/>
      <c r="AJ996" s="5"/>
    </row>
    <row r="997" ht="30.0" customHeight="1">
      <c r="AH997" s="5"/>
      <c r="AI997" s="5"/>
      <c r="AJ997" s="5"/>
    </row>
    <row r="998" ht="30.0" customHeight="1">
      <c r="AH998" s="5"/>
      <c r="AI998" s="5"/>
      <c r="AJ998" s="5"/>
    </row>
    <row r="999" ht="30.0" customHeight="1">
      <c r="AH999" s="5"/>
      <c r="AI999" s="5"/>
      <c r="AJ999" s="5"/>
    </row>
    <row r="1000" ht="30.0" customHeight="1">
      <c r="AH1000" s="5"/>
      <c r="AI1000" s="5"/>
      <c r="AJ1000" s="5"/>
    </row>
    <row r="1001" ht="30.0" customHeight="1">
      <c r="AH1001" s="5"/>
      <c r="AI1001" s="5"/>
      <c r="AJ1001" s="5"/>
    </row>
    <row r="1002" ht="30.0" customHeight="1">
      <c r="AH1002" s="5"/>
      <c r="AI1002" s="5"/>
      <c r="AJ1002" s="5"/>
    </row>
    <row r="1003" ht="30.0" customHeight="1">
      <c r="AH1003" s="5"/>
      <c r="AI1003" s="5"/>
      <c r="AJ1003" s="5"/>
    </row>
    <row r="1004" ht="30.0" customHeight="1">
      <c r="AH1004" s="5"/>
      <c r="AI1004" s="5"/>
      <c r="AJ1004" s="5"/>
    </row>
    <row r="1005" ht="30.0" customHeight="1">
      <c r="AH1005" s="5"/>
      <c r="AI1005" s="5"/>
      <c r="AJ1005" s="5"/>
    </row>
    <row r="1006" ht="30.0" customHeight="1">
      <c r="AH1006" s="5"/>
      <c r="AI1006" s="5"/>
      <c r="AJ1006" s="5"/>
    </row>
    <row r="1007" ht="30.0" customHeight="1">
      <c r="AH1007" s="5"/>
      <c r="AI1007" s="5"/>
      <c r="AJ1007" s="5"/>
    </row>
    <row r="1008" ht="30.0" customHeight="1">
      <c r="AH1008" s="5"/>
      <c r="AI1008" s="5"/>
      <c r="AJ1008" s="5"/>
    </row>
    <row r="1009" ht="30.0" customHeight="1">
      <c r="AH1009" s="5"/>
      <c r="AI1009" s="5"/>
      <c r="AJ1009" s="5"/>
    </row>
    <row r="1010" ht="30.0" customHeight="1">
      <c r="AH1010" s="5"/>
      <c r="AI1010" s="5"/>
      <c r="AJ1010" s="5"/>
    </row>
    <row r="1011" ht="30.0" customHeight="1">
      <c r="AH1011" s="5"/>
      <c r="AI1011" s="5"/>
      <c r="AJ1011" s="5"/>
    </row>
    <row r="1012" ht="30.0" customHeight="1">
      <c r="AH1012" s="5"/>
      <c r="AI1012" s="5"/>
      <c r="AJ1012" s="5"/>
    </row>
    <row r="1013" ht="30.0" customHeight="1">
      <c r="AH1013" s="5"/>
      <c r="AI1013" s="5"/>
      <c r="AJ1013" s="5"/>
    </row>
    <row r="1014" ht="30.0" customHeight="1">
      <c r="AH1014" s="5"/>
      <c r="AI1014" s="5"/>
      <c r="AJ1014" s="5"/>
    </row>
    <row r="1015" ht="30.0" customHeight="1">
      <c r="AH1015" s="5"/>
      <c r="AI1015" s="5"/>
      <c r="AJ1015" s="5"/>
    </row>
    <row r="1016" ht="30.0" customHeight="1">
      <c r="AH1016" s="5"/>
      <c r="AI1016" s="5"/>
      <c r="AJ1016" s="5"/>
    </row>
    <row r="1017" ht="30.0" customHeight="1">
      <c r="AH1017" s="5"/>
      <c r="AI1017" s="5"/>
      <c r="AJ1017" s="5"/>
    </row>
    <row r="1018" ht="30.0" customHeight="1">
      <c r="AH1018" s="5"/>
      <c r="AI1018" s="5"/>
      <c r="AJ1018" s="5"/>
    </row>
    <row r="1019" ht="30.0" customHeight="1">
      <c r="AH1019" s="5"/>
      <c r="AI1019" s="5"/>
      <c r="AJ1019" s="5"/>
    </row>
    <row r="1020" ht="30.0" customHeight="1">
      <c r="AH1020" s="5"/>
      <c r="AI1020" s="5"/>
      <c r="AJ1020" s="5"/>
    </row>
    <row r="1021" ht="30.0" customHeight="1">
      <c r="AH1021" s="5"/>
      <c r="AI1021" s="5"/>
      <c r="AJ1021" s="5"/>
    </row>
    <row r="1022" ht="30.0" customHeight="1">
      <c r="AH1022" s="5"/>
      <c r="AI1022" s="5"/>
      <c r="AJ1022" s="5"/>
    </row>
    <row r="1023" ht="30.0" customHeight="1">
      <c r="AH1023" s="5"/>
      <c r="AI1023" s="5"/>
      <c r="AJ1023" s="5"/>
    </row>
    <row r="1024" ht="30.0" customHeight="1">
      <c r="AH1024" s="5"/>
      <c r="AI1024" s="5"/>
      <c r="AJ1024" s="5"/>
    </row>
    <row r="1025" ht="30.0" customHeight="1">
      <c r="AH1025" s="5"/>
      <c r="AI1025" s="5"/>
      <c r="AJ1025" s="5"/>
    </row>
    <row r="1026" ht="30.0" customHeight="1">
      <c r="AH1026" s="5"/>
      <c r="AI1026" s="5"/>
      <c r="AJ1026" s="5"/>
    </row>
    <row r="1027" ht="30.0" customHeight="1">
      <c r="AH1027" s="5"/>
      <c r="AI1027" s="5"/>
      <c r="AJ1027" s="5"/>
    </row>
    <row r="1028" ht="30.0" customHeight="1">
      <c r="AH1028" s="5"/>
      <c r="AI1028" s="5"/>
      <c r="AJ1028" s="5"/>
    </row>
    <row r="1029" ht="30.0" customHeight="1">
      <c r="AH1029" s="5"/>
      <c r="AI1029" s="5"/>
      <c r="AJ1029" s="5"/>
    </row>
    <row r="1030" ht="30.0" customHeight="1">
      <c r="AH1030" s="5"/>
      <c r="AI1030" s="5"/>
      <c r="AJ1030" s="5"/>
    </row>
    <row r="1031" ht="30.0" customHeight="1">
      <c r="AH1031" s="5"/>
      <c r="AI1031" s="5"/>
      <c r="AJ1031" s="5"/>
    </row>
    <row r="1032" ht="30.0" customHeight="1">
      <c r="AH1032" s="5"/>
      <c r="AI1032" s="5"/>
      <c r="AJ1032" s="5"/>
    </row>
    <row r="1033" ht="30.0" customHeight="1">
      <c r="AH1033" s="5"/>
      <c r="AI1033" s="5"/>
      <c r="AJ1033" s="5"/>
    </row>
    <row r="1034" ht="30.0" customHeight="1">
      <c r="AH1034" s="5"/>
      <c r="AI1034" s="5"/>
      <c r="AJ1034" s="5"/>
    </row>
    <row r="1035" ht="30.0" customHeight="1">
      <c r="AH1035" s="5"/>
      <c r="AI1035" s="5"/>
      <c r="AJ1035" s="5"/>
    </row>
    <row r="1036" ht="30.0" customHeight="1">
      <c r="AH1036" s="5"/>
      <c r="AI1036" s="5"/>
      <c r="AJ1036" s="5"/>
    </row>
    <row r="1037" ht="30.0" customHeight="1">
      <c r="AH1037" s="5"/>
      <c r="AI1037" s="5"/>
      <c r="AJ1037" s="5"/>
    </row>
  </sheetData>
  <mergeCells count="16">
    <mergeCell ref="B1:X1"/>
    <mergeCell ref="D2:F2"/>
    <mergeCell ref="H2:J2"/>
    <mergeCell ref="L2:N2"/>
    <mergeCell ref="P2:S2"/>
    <mergeCell ref="U2:X2"/>
    <mergeCell ref="C4:AG4"/>
    <mergeCell ref="C179:AG179"/>
    <mergeCell ref="C189:AG189"/>
    <mergeCell ref="C10:AG10"/>
    <mergeCell ref="C37:AG37"/>
    <mergeCell ref="C64:AG64"/>
    <mergeCell ref="C97:AG97"/>
    <mergeCell ref="C123:AG123"/>
    <mergeCell ref="C149:AG149"/>
    <mergeCell ref="C166:AG166"/>
  </mergeCells>
  <conditionalFormatting sqref="C7:AG7 N33 Q33 X33:Y33">
    <cfRule type="expression" dxfId="5" priority="1" stopIfTrue="1">
      <formula>C7=""</formula>
    </cfRule>
  </conditionalFormatting>
  <conditionalFormatting sqref="K7 N7 R7 T7 C33:AC33 AE33:AG33">
    <cfRule type="expression" dxfId="5" priority="2" stopIfTrue="1">
      <formula>#REF!=""</formula>
    </cfRule>
  </conditionalFormatting>
  <conditionalFormatting sqref="AH42:AI42">
    <cfRule type="expression" dxfId="5" priority="3" stopIfTrue="1">
      <formula>AH42=""</formula>
    </cfRule>
  </conditionalFormatting>
  <conditionalFormatting sqref="C94:H94 J94:K94 M94:W94 Y94:AD94 AF94:AG94">
    <cfRule type="expression" dxfId="5" priority="4" stopIfTrue="1">
      <formula>#REF!=""</formula>
    </cfRule>
  </conditionalFormatting>
  <conditionalFormatting sqref="C120:K120 N120:AG120 C162:L163 N162:AG163">
    <cfRule type="expression" dxfId="5" priority="5" stopIfTrue="1">
      <formula>#REF!=""</formula>
    </cfRule>
  </conditionalFormatting>
  <dataValidations>
    <dataValidation type="list" allowBlank="1" showErrorMessage="1" sqref="B7 B13:B33 B40:B59 B67:B94 B102:B120 B128:B144 B153:B163 B171:B176 B184:B186 B194:B196">
      <formula1>'Nombres de los alumnos '!$B$4:$B$1016</formula1>
    </dataValidation>
    <dataValidation type="list" allowBlank="1" showErrorMessage="1" sqref="B100:B101 B126:B127 B152 B169:B170 B182:B183 B192:B193">
      <formula1>'Nombres de los alumnos '!$B$4:$B$999999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1E11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3" width="4.71"/>
    <col customWidth="1" min="34" max="36" width="20.86"/>
  </cols>
  <sheetData>
    <row r="1" ht="49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AH1" s="5"/>
      <c r="AI1" s="5"/>
      <c r="AJ1" s="5"/>
    </row>
    <row r="2" ht="15.0" customHeight="1">
      <c r="B2" s="6" t="s">
        <v>1</v>
      </c>
      <c r="C2" s="7" t="s">
        <v>2</v>
      </c>
      <c r="D2" s="8" t="s">
        <v>3</v>
      </c>
      <c r="E2" s="3"/>
      <c r="F2" s="4"/>
      <c r="G2" s="9" t="s">
        <v>4</v>
      </c>
      <c r="H2" s="8" t="s">
        <v>5</v>
      </c>
      <c r="I2" s="3"/>
      <c r="J2" s="4"/>
      <c r="K2" s="10" t="s">
        <v>6</v>
      </c>
      <c r="L2" s="8" t="s">
        <v>7</v>
      </c>
      <c r="M2" s="3"/>
      <c r="N2" s="4"/>
      <c r="O2" s="11" t="s">
        <v>8</v>
      </c>
      <c r="P2" s="8" t="s">
        <v>9</v>
      </c>
      <c r="Q2" s="3"/>
      <c r="R2" s="3"/>
      <c r="S2" s="4"/>
      <c r="T2" s="12" t="s">
        <v>10</v>
      </c>
      <c r="U2" s="8" t="s">
        <v>11</v>
      </c>
      <c r="V2" s="3"/>
      <c r="W2" s="3"/>
      <c r="X2" s="4"/>
      <c r="AH2" s="5"/>
      <c r="AI2" s="5"/>
      <c r="AJ2" s="5"/>
    </row>
    <row r="3" ht="15.0" customHeight="1">
      <c r="AH3" s="13"/>
      <c r="AI3" s="13"/>
      <c r="AJ3" s="13"/>
    </row>
    <row r="4" ht="30.0" customHeight="1">
      <c r="B4" s="14" t="s">
        <v>12</v>
      </c>
      <c r="C4" s="15" t="s">
        <v>13</v>
      </c>
      <c r="AH4" s="15">
        <v>2026.0</v>
      </c>
      <c r="AI4" s="15"/>
      <c r="AJ4" s="15"/>
    </row>
    <row r="5" ht="15.0" customHeight="1">
      <c r="B5" s="14"/>
      <c r="C5" s="16" t="str">
        <f>TEXT(WEEKDAY(DATE(Julio!CalendarioAño,1,1),1),"ddd")</f>
        <v>jue</v>
      </c>
      <c r="D5" s="16" t="str">
        <f>TEXT(WEEKDAY(DATE(Julio!CalendarioAño,1,2),1),"ddd")</f>
        <v>vie</v>
      </c>
      <c r="E5" s="16" t="str">
        <f>TEXT(WEEKDAY(DATE(Julio!CalendarioAño,1,3),1),"ddd")</f>
        <v>sáb</v>
      </c>
      <c r="F5" s="16" t="str">
        <f>TEXT(WEEKDAY(DATE(Julio!CalendarioAño,1,4),1),"ddd")</f>
        <v>dom</v>
      </c>
      <c r="G5" s="16" t="str">
        <f>TEXT(WEEKDAY(DATE(Julio!CalendarioAño,1,5),1),"ddd")</f>
        <v>lun</v>
      </c>
      <c r="H5" s="16" t="str">
        <f>TEXT(WEEKDAY(DATE(Julio!CalendarioAño,1,6),1),"ddd")</f>
        <v>mar</v>
      </c>
      <c r="I5" s="16" t="str">
        <f>TEXT(WEEKDAY(DATE(Julio!CalendarioAño,1,7),1),"ddd")</f>
        <v>mié</v>
      </c>
      <c r="J5" s="16" t="str">
        <f>TEXT(WEEKDAY(DATE(Julio!CalendarioAño,1,8),1),"ddd")</f>
        <v>jue</v>
      </c>
      <c r="K5" s="16" t="str">
        <f>TEXT(WEEKDAY(DATE(Julio!CalendarioAño,1,9),1),"ddd")</f>
        <v>vie</v>
      </c>
      <c r="L5" s="16" t="str">
        <f>TEXT(WEEKDAY(DATE(Julio!CalendarioAño,1,10),1),"ddd")</f>
        <v>sáb</v>
      </c>
      <c r="M5" s="16" t="str">
        <f>TEXT(WEEKDAY(DATE(Julio!CalendarioAño,1,11),1),"ddd")</f>
        <v>dom</v>
      </c>
      <c r="N5" s="16" t="str">
        <f>TEXT(WEEKDAY(DATE(Julio!CalendarioAño,1,12),1),"ddd")</f>
        <v>lun</v>
      </c>
      <c r="O5" s="16" t="str">
        <f>TEXT(WEEKDAY(DATE(Julio!CalendarioAño,1,13),1),"ddd")</f>
        <v>mar</v>
      </c>
      <c r="P5" s="16" t="str">
        <f>TEXT(WEEKDAY(DATE(Julio!CalendarioAño,1,14),1),"ddd")</f>
        <v>mié</v>
      </c>
      <c r="Q5" s="16" t="str">
        <f>TEXT(WEEKDAY(DATE(Julio!CalendarioAño,1,15),1),"ddd")</f>
        <v>jue</v>
      </c>
      <c r="R5" s="16" t="str">
        <f>TEXT(WEEKDAY(DATE(Julio!CalendarioAño,1,16),1),"ddd")</f>
        <v>vie</v>
      </c>
      <c r="S5" s="16" t="str">
        <f>TEXT(WEEKDAY(DATE(Julio!CalendarioAño,1,17),1),"ddd")</f>
        <v>sáb</v>
      </c>
      <c r="T5" s="16" t="str">
        <f>TEXT(WEEKDAY(DATE(Julio!CalendarioAño,1,18),1),"ddd")</f>
        <v>dom</v>
      </c>
      <c r="U5" s="16" t="str">
        <f>TEXT(WEEKDAY(DATE(Julio!CalendarioAño,1,19),1),"ddd")</f>
        <v>lun</v>
      </c>
      <c r="V5" s="16" t="str">
        <f>TEXT(WEEKDAY(DATE(Julio!CalendarioAño,1,20),1),"ddd")</f>
        <v>mar</v>
      </c>
      <c r="W5" s="16" t="str">
        <f>TEXT(WEEKDAY(DATE(Julio!CalendarioAño,1,21),1),"ddd")</f>
        <v>mié</v>
      </c>
      <c r="X5" s="16" t="str">
        <f>TEXT(WEEKDAY(DATE(Julio!CalendarioAño,1,22),1),"ddd")</f>
        <v>jue</v>
      </c>
      <c r="Y5" s="16" t="str">
        <f>TEXT(WEEKDAY(DATE(Julio!CalendarioAño,1,23),1),"ddd")</f>
        <v>vie</v>
      </c>
      <c r="Z5" s="16" t="str">
        <f>TEXT(WEEKDAY(DATE(Julio!CalendarioAño,1,24),1),"ddd")</f>
        <v>sáb</v>
      </c>
      <c r="AA5" s="16" t="str">
        <f>TEXT(WEEKDAY(DATE(Julio!CalendarioAño,1,25),1),"ddd")</f>
        <v>dom</v>
      </c>
      <c r="AB5" s="16" t="str">
        <f>TEXT(WEEKDAY(DATE(Julio!CalendarioAño,1,26),1),"ddd")</f>
        <v>lun</v>
      </c>
      <c r="AC5" s="16" t="str">
        <f>TEXT(WEEKDAY(DATE(Julio!CalendarioAño,1,27),1),"ddd")</f>
        <v>mar</v>
      </c>
      <c r="AD5" s="16" t="str">
        <f>TEXT(WEEKDAY(DATE(Julio!CalendarioAño,1,28),1),"ddd")</f>
        <v>mié</v>
      </c>
      <c r="AE5" s="16" t="str">
        <f>TEXT(WEEKDAY(DATE(Julio!CalendarioAño,1,29),1),"ddd")</f>
        <v>jue</v>
      </c>
      <c r="AF5" s="16" t="str">
        <f>TEXT(WEEKDAY(DATE(Julio!CalendarioAño,1,30),1),"ddd")</f>
        <v>vie</v>
      </c>
      <c r="AG5" s="16" t="str">
        <f>TEXT(WEEKDAY(DATE(Julio!CalendarioAño,1,31),1),"ddd")</f>
        <v>sáb</v>
      </c>
      <c r="AH5" s="14"/>
      <c r="AI5" s="14"/>
      <c r="AJ5" s="14"/>
    </row>
    <row r="6" ht="15.0" customHeight="1">
      <c r="A6" s="17"/>
      <c r="B6" s="18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  <c r="I6" s="19" t="s">
        <v>21</v>
      </c>
      <c r="J6" s="19" t="s">
        <v>22</v>
      </c>
      <c r="K6" s="19" t="s">
        <v>23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19" t="s">
        <v>36</v>
      </c>
      <c r="Y6" s="19" t="s">
        <v>37</v>
      </c>
      <c r="Z6" s="19" t="s">
        <v>38</v>
      </c>
      <c r="AA6" s="19" t="s">
        <v>39</v>
      </c>
      <c r="AB6" s="19" t="s">
        <v>40</v>
      </c>
      <c r="AC6" s="19" t="s">
        <v>41</v>
      </c>
      <c r="AD6" s="19" t="s">
        <v>42</v>
      </c>
      <c r="AE6" s="19" t="s">
        <v>43</v>
      </c>
      <c r="AF6" s="19" t="s">
        <v>44</v>
      </c>
      <c r="AG6" s="19" t="s">
        <v>45</v>
      </c>
      <c r="AH6" s="19" t="s">
        <v>46</v>
      </c>
      <c r="AI6" s="19"/>
      <c r="AJ6" s="19"/>
    </row>
    <row r="7" ht="30.0" customHeight="1">
      <c r="B7" s="20"/>
      <c r="C7" s="21"/>
      <c r="D7" s="21"/>
      <c r="E7" s="21"/>
      <c r="F7" s="22"/>
      <c r="G7" s="22"/>
      <c r="H7" s="21"/>
      <c r="I7" s="21"/>
      <c r="J7" s="21"/>
      <c r="K7" s="22"/>
      <c r="L7" s="21"/>
      <c r="M7" s="21"/>
      <c r="N7" s="22"/>
      <c r="O7" s="21"/>
      <c r="P7" s="21"/>
      <c r="Q7" s="21"/>
      <c r="R7" s="22"/>
      <c r="S7" s="21"/>
      <c r="T7" s="22"/>
      <c r="U7" s="22"/>
      <c r="V7" s="21"/>
      <c r="W7" s="21"/>
      <c r="X7" s="21"/>
      <c r="Y7" s="22"/>
      <c r="Z7" s="21"/>
      <c r="AA7" s="22"/>
      <c r="AB7" s="22"/>
      <c r="AC7" s="21"/>
      <c r="AD7" s="21"/>
      <c r="AE7" s="21"/>
      <c r="AF7" s="22"/>
      <c r="AG7" s="21"/>
      <c r="AH7" s="23"/>
      <c r="AI7" s="23"/>
      <c r="AJ7" s="23"/>
    </row>
    <row r="8" ht="30.0" customHeight="1">
      <c r="B8" s="24" t="str">
        <f>Julio!MonthName&amp;" Total"</f>
        <v>Enero Total</v>
      </c>
      <c r="C8" s="25">
        <f>SUBTOTAL(103,Julio!$C$7)</f>
        <v>0</v>
      </c>
      <c r="D8" s="25">
        <f>SUBTOTAL(103,Julio!$D$7)</f>
        <v>0</v>
      </c>
      <c r="E8" s="25">
        <f>SUBTOTAL(103,Julio!$E$7)</f>
        <v>0</v>
      </c>
      <c r="F8" s="25">
        <f>SUBTOTAL(103,Julio!$F$7)</f>
        <v>0</v>
      </c>
      <c r="G8" s="25">
        <f>SUBTOTAL(103,Julio!$G$7)</f>
        <v>0</v>
      </c>
      <c r="H8" s="25">
        <f>SUBTOTAL(103,Julio!$H$7)</f>
        <v>0</v>
      </c>
      <c r="I8" s="25">
        <f>SUBTOTAL(103,Julio!$I$7)</f>
        <v>0</v>
      </c>
      <c r="J8" s="25">
        <f>SUBTOTAL(103,Julio!$J$7)</f>
        <v>0</v>
      </c>
      <c r="K8" s="25">
        <f>SUBTOTAL(103,Julio!$K$7)</f>
        <v>0</v>
      </c>
      <c r="L8" s="25">
        <f>SUBTOTAL(103,Julio!$L$7)</f>
        <v>0</v>
      </c>
      <c r="M8" s="25">
        <f>SUBTOTAL(103,Julio!$M$7)</f>
        <v>0</v>
      </c>
      <c r="N8" s="25">
        <f>SUBTOTAL(103,Julio!$N$7)</f>
        <v>0</v>
      </c>
      <c r="O8" s="25">
        <f>SUBTOTAL(103,Julio!$O$7)</f>
        <v>0</v>
      </c>
      <c r="P8" s="25">
        <f>SUBTOTAL(103,Julio!$P$7)</f>
        <v>0</v>
      </c>
      <c r="Q8" s="25">
        <f>SUBTOTAL(103,Julio!$Q$7)</f>
        <v>0</v>
      </c>
      <c r="R8" s="25">
        <f>SUBTOTAL(103,Julio!$R$7)</f>
        <v>0</v>
      </c>
      <c r="S8" s="25">
        <f>SUBTOTAL(103,Julio!$S$7)</f>
        <v>0</v>
      </c>
      <c r="T8" s="25">
        <f>SUBTOTAL(103,Julio!$T$7)</f>
        <v>0</v>
      </c>
      <c r="U8" s="25">
        <f>SUBTOTAL(103,Julio!$U$7)</f>
        <v>0</v>
      </c>
      <c r="V8" s="25">
        <f>SUBTOTAL(103,Julio!$V$7)</f>
        <v>0</v>
      </c>
      <c r="W8" s="25">
        <f>SUBTOTAL(103,Julio!$W$7)</f>
        <v>0</v>
      </c>
      <c r="X8" s="25">
        <f>SUBTOTAL(103,Julio!$X$7)</f>
        <v>0</v>
      </c>
      <c r="Y8" s="25">
        <f>SUBTOTAL(103,Julio!$Y$7)</f>
        <v>0</v>
      </c>
      <c r="Z8" s="25">
        <f>SUBTOTAL(103,Julio!$Z$7)</f>
        <v>0</v>
      </c>
      <c r="AA8" s="25">
        <f>SUBTOTAL(103,Julio!$AA$7)</f>
        <v>0</v>
      </c>
      <c r="AB8" s="25">
        <f>SUBTOTAL(103,Julio!$AB$7)</f>
        <v>0</v>
      </c>
      <c r="AC8" s="25">
        <f>SUBTOTAL(103,Julio!$AC$7)</f>
        <v>0</v>
      </c>
      <c r="AD8" s="25">
        <f>SUBTOTAL(103,Julio!$AD$7)</f>
        <v>0</v>
      </c>
      <c r="AE8" s="25">
        <f>SUBTOTAL(103,Julio!$AE$7)</f>
        <v>0</v>
      </c>
      <c r="AF8" s="25">
        <f>SUBTOTAL(103,Julio!$AF$7)</f>
        <v>0</v>
      </c>
      <c r="AG8" s="25">
        <f>SUBTOTAL(103,Julio!$AG$7)</f>
        <v>0</v>
      </c>
      <c r="AH8" s="25"/>
      <c r="AI8" s="25"/>
      <c r="AJ8" s="25"/>
    </row>
    <row r="9" ht="30.0" customHeight="1">
      <c r="AH9" s="5"/>
      <c r="AI9" s="5"/>
      <c r="AJ9" s="5"/>
    </row>
    <row r="10" ht="30.0" customHeight="1">
      <c r="B10" s="26" t="s">
        <v>12</v>
      </c>
      <c r="C10" s="27" t="s">
        <v>47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9">
        <v>2026.0</v>
      </c>
      <c r="AI10" s="15"/>
      <c r="AJ10" s="15"/>
    </row>
    <row r="11" ht="30.0" customHeight="1">
      <c r="B11" s="30"/>
      <c r="C11" s="16" t="str">
        <f>TEXT(WEEKDAY(DATE(Julio!CalendarioAño,1,1),1),"ddd")</f>
        <v>jue</v>
      </c>
      <c r="D11" s="16" t="str">
        <f>TEXT(WEEKDAY(DATE(Julio!CalendarioAño,1,2),1),"ddd")</f>
        <v>vie</v>
      </c>
      <c r="E11" s="16" t="str">
        <f>TEXT(WEEKDAY(DATE(Julio!CalendarioAño,1,3),1),"ddd")</f>
        <v>sáb</v>
      </c>
      <c r="F11" s="16" t="str">
        <f>TEXT(WEEKDAY(DATE(Julio!CalendarioAño,1,4),1),"ddd")</f>
        <v>dom</v>
      </c>
      <c r="G11" s="16" t="str">
        <f>TEXT(WEEKDAY(DATE(Julio!CalendarioAño,1,5),1),"ddd")</f>
        <v>lun</v>
      </c>
      <c r="H11" s="16" t="str">
        <f>TEXT(WEEKDAY(DATE(Julio!CalendarioAño,1,6),1),"ddd")</f>
        <v>mar</v>
      </c>
      <c r="I11" s="16" t="str">
        <f>TEXT(WEEKDAY(DATE(Julio!CalendarioAño,1,7),1),"ddd")</f>
        <v>mié</v>
      </c>
      <c r="J11" s="16" t="str">
        <f>TEXT(WEEKDAY(DATE(Julio!CalendarioAño,1,8),1),"ddd")</f>
        <v>jue</v>
      </c>
      <c r="K11" s="16" t="str">
        <f>TEXT(WEEKDAY(DATE(Julio!CalendarioAño,1,9),1),"ddd")</f>
        <v>vie</v>
      </c>
      <c r="L11" s="16" t="str">
        <f>TEXT(WEEKDAY(DATE(Julio!CalendarioAño,1,10),1),"ddd")</f>
        <v>sáb</v>
      </c>
      <c r="M11" s="16" t="str">
        <f>TEXT(WEEKDAY(DATE(Julio!CalendarioAño,1,11),1),"ddd")</f>
        <v>dom</v>
      </c>
      <c r="N11" s="16" t="str">
        <f>TEXT(WEEKDAY(DATE(Julio!CalendarioAño,1,12),1),"ddd")</f>
        <v>lun</v>
      </c>
      <c r="O11" s="16" t="str">
        <f>TEXT(WEEKDAY(DATE(Julio!CalendarioAño,1,13),1),"ddd")</f>
        <v>mar</v>
      </c>
      <c r="P11" s="16" t="str">
        <f>TEXT(WEEKDAY(DATE(Julio!CalendarioAño,1,14),1),"ddd")</f>
        <v>mié</v>
      </c>
      <c r="Q11" s="16" t="str">
        <f>TEXT(WEEKDAY(DATE(Julio!CalendarioAño,1,15),1),"ddd")</f>
        <v>jue</v>
      </c>
      <c r="R11" s="16" t="str">
        <f>TEXT(WEEKDAY(DATE(Julio!CalendarioAño,1,16),1),"ddd")</f>
        <v>vie</v>
      </c>
      <c r="S11" s="16" t="str">
        <f>TEXT(WEEKDAY(DATE(Julio!CalendarioAño,1,17),1),"ddd")</f>
        <v>sáb</v>
      </c>
      <c r="T11" s="16" t="str">
        <f>TEXT(WEEKDAY(DATE(Julio!CalendarioAño,1,18),1),"ddd")</f>
        <v>dom</v>
      </c>
      <c r="U11" s="16" t="str">
        <f>TEXT(WEEKDAY(DATE(Julio!CalendarioAño,1,19),1),"ddd")</f>
        <v>lun</v>
      </c>
      <c r="V11" s="16" t="str">
        <f>TEXT(WEEKDAY(DATE(Julio!CalendarioAño,1,20),1),"ddd")</f>
        <v>mar</v>
      </c>
      <c r="W11" s="16" t="str">
        <f>TEXT(WEEKDAY(DATE(Julio!CalendarioAño,1,21),1),"ddd")</f>
        <v>mié</v>
      </c>
      <c r="X11" s="16" t="str">
        <f>TEXT(WEEKDAY(DATE(Julio!CalendarioAño,1,22),1),"ddd")</f>
        <v>jue</v>
      </c>
      <c r="Y11" s="16" t="str">
        <f>TEXT(WEEKDAY(DATE(Julio!CalendarioAño,1,23),1),"ddd")</f>
        <v>vie</v>
      </c>
      <c r="Z11" s="16" t="str">
        <f>TEXT(WEEKDAY(DATE(Julio!CalendarioAño,1,24),1),"ddd")</f>
        <v>sáb</v>
      </c>
      <c r="AA11" s="16" t="str">
        <f>TEXT(WEEKDAY(DATE(Julio!CalendarioAño,1,25),1),"ddd")</f>
        <v>dom</v>
      </c>
      <c r="AB11" s="16" t="str">
        <f>TEXT(WEEKDAY(DATE(Julio!CalendarioAño,1,26),1),"ddd")</f>
        <v>lun</v>
      </c>
      <c r="AC11" s="16" t="str">
        <f>TEXT(WEEKDAY(DATE(Julio!CalendarioAño,1,27),1),"ddd")</f>
        <v>mar</v>
      </c>
      <c r="AD11" s="16" t="str">
        <f>TEXT(WEEKDAY(DATE(Julio!CalendarioAño,1,28),1),"ddd")</f>
        <v>mié</v>
      </c>
      <c r="AE11" s="16" t="str">
        <f>TEXT(WEEKDAY(DATE(Julio!CalendarioAño,1,29),1),"ddd")</f>
        <v>jue</v>
      </c>
      <c r="AF11" s="16" t="str">
        <f>TEXT(WEEKDAY(DATE(Julio!CalendarioAño,1,30),1),"ddd")</f>
        <v>vie</v>
      </c>
      <c r="AG11" s="16" t="str">
        <f>TEXT(WEEKDAY(DATE(Julio!CalendarioAño,1,31),1),"ddd")</f>
        <v>sáb</v>
      </c>
      <c r="AH11" s="30"/>
      <c r="AI11" s="14"/>
      <c r="AJ11" s="14"/>
    </row>
    <row r="12" ht="21.75" customHeight="1">
      <c r="A12" s="17"/>
      <c r="B12" s="31" t="s">
        <v>14</v>
      </c>
      <c r="C12" s="19" t="s">
        <v>15</v>
      </c>
      <c r="D12" s="19" t="s">
        <v>16</v>
      </c>
      <c r="E12" s="19" t="s">
        <v>17</v>
      </c>
      <c r="F12" s="19" t="s">
        <v>18</v>
      </c>
      <c r="G12" s="19" t="s">
        <v>19</v>
      </c>
      <c r="H12" s="19" t="s">
        <v>20</v>
      </c>
      <c r="I12" s="19" t="s">
        <v>21</v>
      </c>
      <c r="J12" s="19" t="s">
        <v>22</v>
      </c>
      <c r="K12" s="19" t="s">
        <v>23</v>
      </c>
      <c r="L12" s="19" t="s">
        <v>24</v>
      </c>
      <c r="M12" s="19" t="s">
        <v>25</v>
      </c>
      <c r="N12" s="19" t="s">
        <v>26</v>
      </c>
      <c r="O12" s="19" t="s">
        <v>27</v>
      </c>
      <c r="P12" s="19" t="s">
        <v>28</v>
      </c>
      <c r="Q12" s="19" t="s">
        <v>29</v>
      </c>
      <c r="R12" s="19" t="s">
        <v>30</v>
      </c>
      <c r="S12" s="19" t="s">
        <v>31</v>
      </c>
      <c r="T12" s="19" t="s">
        <v>32</v>
      </c>
      <c r="U12" s="19" t="s">
        <v>33</v>
      </c>
      <c r="V12" s="19" t="s">
        <v>34</v>
      </c>
      <c r="W12" s="19" t="s">
        <v>35</v>
      </c>
      <c r="X12" s="19" t="s">
        <v>36</v>
      </c>
      <c r="Y12" s="19" t="s">
        <v>37</v>
      </c>
      <c r="Z12" s="19" t="s">
        <v>38</v>
      </c>
      <c r="AA12" s="19" t="s">
        <v>39</v>
      </c>
      <c r="AB12" s="19" t="s">
        <v>40</v>
      </c>
      <c r="AC12" s="19" t="s">
        <v>41</v>
      </c>
      <c r="AD12" s="19" t="s">
        <v>42</v>
      </c>
      <c r="AE12" s="19" t="s">
        <v>43</v>
      </c>
      <c r="AF12" s="19" t="s">
        <v>44</v>
      </c>
      <c r="AG12" s="19" t="s">
        <v>45</v>
      </c>
      <c r="AH12" s="19" t="s">
        <v>46</v>
      </c>
      <c r="AI12" s="19"/>
      <c r="AJ12" s="19"/>
    </row>
    <row r="13" ht="30.0" customHeight="1">
      <c r="B13" s="32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23"/>
      <c r="AI13" s="23"/>
      <c r="AJ13" s="23"/>
    </row>
    <row r="14" ht="30.0" customHeight="1">
      <c r="B14" s="32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23"/>
      <c r="AI14" s="23"/>
      <c r="AJ14" s="23"/>
    </row>
    <row r="15" ht="30.0" customHeight="1">
      <c r="B15" s="32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23"/>
      <c r="AI15" s="23"/>
      <c r="AJ15" s="23"/>
    </row>
    <row r="16" ht="30.0" customHeight="1">
      <c r="B16" s="32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23"/>
      <c r="AI16" s="23"/>
      <c r="AJ16" s="23"/>
    </row>
    <row r="17" ht="30.0" customHeight="1">
      <c r="B17" s="32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23"/>
      <c r="AI17" s="23"/>
      <c r="AJ17" s="23"/>
    </row>
    <row r="18" ht="30.0" customHeight="1">
      <c r="B18" s="32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23"/>
      <c r="AI18" s="23"/>
      <c r="AJ18" s="23"/>
    </row>
    <row r="19" ht="30.0" customHeight="1">
      <c r="B19" s="32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23"/>
      <c r="AI19" s="23"/>
      <c r="AJ19" s="23"/>
    </row>
    <row r="20" ht="30.0" customHeight="1">
      <c r="B20" s="32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23"/>
      <c r="AI20" s="23"/>
      <c r="AJ20" s="23"/>
    </row>
    <row r="21" ht="30.0" customHeight="1">
      <c r="B21" s="32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23"/>
      <c r="AI21" s="23"/>
      <c r="AJ21" s="23"/>
    </row>
    <row r="22" ht="30.0" customHeight="1">
      <c r="B22" s="32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23"/>
      <c r="AI22" s="23"/>
      <c r="AJ22" s="23"/>
    </row>
    <row r="23" ht="30.0" customHeight="1">
      <c r="B23" s="32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23"/>
      <c r="AI23" s="23"/>
      <c r="AJ23" s="23"/>
    </row>
    <row r="24" ht="30.0" customHeight="1">
      <c r="B24" s="32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23"/>
      <c r="AI24" s="23"/>
      <c r="AJ24" s="23"/>
    </row>
    <row r="25" ht="30.0" customHeight="1">
      <c r="B25" s="32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23"/>
      <c r="AI25" s="23"/>
      <c r="AJ25" s="23"/>
    </row>
    <row r="26" ht="30.0" customHeight="1">
      <c r="B26" s="32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23"/>
      <c r="AI26" s="23"/>
      <c r="AJ26" s="23"/>
    </row>
    <row r="27" ht="30.0" customHeight="1">
      <c r="B27" s="32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23"/>
      <c r="AI27" s="23"/>
      <c r="AJ27" s="23"/>
    </row>
    <row r="28" ht="30.0" customHeight="1">
      <c r="B28" s="32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23"/>
      <c r="AI28" s="23"/>
      <c r="AJ28" s="23"/>
    </row>
    <row r="29" ht="30.0" customHeight="1">
      <c r="B29" s="32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23"/>
      <c r="AI29" s="23"/>
      <c r="AJ29" s="23"/>
    </row>
    <row r="30" ht="30.0" customHeight="1">
      <c r="B30" s="32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23"/>
      <c r="AI30" s="23"/>
      <c r="AJ30" s="23"/>
    </row>
    <row r="31" ht="30.0" customHeight="1">
      <c r="B31" s="32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23"/>
      <c r="AI31" s="23"/>
      <c r="AJ31" s="23"/>
    </row>
    <row r="32" ht="30.0" customHeight="1">
      <c r="B32" s="32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23"/>
      <c r="AI32" s="23"/>
      <c r="AJ32" s="23"/>
    </row>
    <row r="33" ht="30.0" customHeight="1">
      <c r="B33" s="32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2"/>
      <c r="O33" s="21"/>
      <c r="P33" s="21"/>
      <c r="Q33" s="22"/>
      <c r="R33" s="21"/>
      <c r="S33" s="21"/>
      <c r="T33" s="21"/>
      <c r="U33" s="21"/>
      <c r="V33" s="21"/>
      <c r="W33" s="21"/>
      <c r="X33" s="22"/>
      <c r="Y33" s="22"/>
      <c r="Z33" s="21"/>
      <c r="AA33" s="21"/>
      <c r="AB33" s="21"/>
      <c r="AC33" s="21"/>
      <c r="AD33" s="33"/>
      <c r="AE33" s="22"/>
      <c r="AF33" s="21"/>
      <c r="AG33" s="22"/>
      <c r="AH33" s="23"/>
      <c r="AI33" s="23"/>
      <c r="AJ33" s="23"/>
    </row>
    <row r="34" ht="30.0" customHeight="1">
      <c r="B34" s="24" t="str">
        <f>Julio!MonthName&amp;" Total"</f>
        <v>Enero Total</v>
      </c>
      <c r="C34" s="25">
        <f>SUBTOTAL(103,Julio!$C$7)</f>
        <v>0</v>
      </c>
      <c r="D34" s="25">
        <f>SUBTOTAL(103,Julio!$D$7)</f>
        <v>0</v>
      </c>
      <c r="E34" s="25">
        <f>SUBTOTAL(103,Julio!$E$7)</f>
        <v>0</v>
      </c>
      <c r="F34" s="25"/>
      <c r="G34" s="25">
        <f>SUBTOTAL(103,Julio!$G$7)</f>
        <v>0</v>
      </c>
      <c r="H34" s="25">
        <f>SUBTOTAL(103,Julio!$H$7)</f>
        <v>0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ht="30.0" customHeight="1">
      <c r="AH35" s="5"/>
      <c r="AI35" s="5"/>
      <c r="AJ35" s="5"/>
    </row>
    <row r="36" ht="30.0" customHeight="1">
      <c r="AH36" s="5"/>
      <c r="AI36" s="5"/>
      <c r="AJ36" s="5"/>
    </row>
    <row r="37" ht="30.0" customHeight="1">
      <c r="B37" s="30" t="s">
        <v>12</v>
      </c>
      <c r="C37" s="27" t="s">
        <v>67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39">
        <v>2026.0</v>
      </c>
      <c r="AI37" s="15"/>
      <c r="AJ37" s="15"/>
    </row>
    <row r="38" ht="30.0" customHeight="1">
      <c r="B38" s="30"/>
      <c r="C38" s="16" t="str">
        <f>TEXT(WEEKDAY(DATE(Julio!CalendarioAño,1,1),1),"ddd")</f>
        <v>jue</v>
      </c>
      <c r="D38" s="16" t="str">
        <f>TEXT(WEEKDAY(DATE(Julio!CalendarioAño,1,2),1),"ddd")</f>
        <v>vie</v>
      </c>
      <c r="E38" s="16" t="str">
        <f>TEXT(WEEKDAY(DATE(Julio!CalendarioAño,1,3),1),"ddd")</f>
        <v>sáb</v>
      </c>
      <c r="F38" s="16" t="str">
        <f>TEXT(WEEKDAY(DATE(Julio!CalendarioAño,1,4),1),"ddd")</f>
        <v>dom</v>
      </c>
      <c r="G38" s="16" t="str">
        <f>TEXT(WEEKDAY(DATE(Julio!CalendarioAño,1,5),1),"ddd")</f>
        <v>lun</v>
      </c>
      <c r="H38" s="16" t="str">
        <f>TEXT(WEEKDAY(DATE(Julio!CalendarioAño,1,6),1),"ddd")</f>
        <v>mar</v>
      </c>
      <c r="I38" s="16" t="str">
        <f>TEXT(WEEKDAY(DATE(Julio!CalendarioAño,1,7),1),"ddd")</f>
        <v>mié</v>
      </c>
      <c r="J38" s="16" t="str">
        <f>TEXT(WEEKDAY(DATE(Julio!CalendarioAño,1,8),1),"ddd")</f>
        <v>jue</v>
      </c>
      <c r="K38" s="16" t="str">
        <f>TEXT(WEEKDAY(DATE(Julio!CalendarioAño,1,9),1),"ddd")</f>
        <v>vie</v>
      </c>
      <c r="L38" s="16" t="str">
        <f>TEXT(WEEKDAY(DATE(Julio!CalendarioAño,1,10),1),"ddd")</f>
        <v>sáb</v>
      </c>
      <c r="M38" s="16" t="str">
        <f>TEXT(WEEKDAY(DATE(Julio!CalendarioAño,1,11),1),"ddd")</f>
        <v>dom</v>
      </c>
      <c r="N38" s="16" t="str">
        <f>TEXT(WEEKDAY(DATE(Julio!CalendarioAño,1,12),1),"ddd")</f>
        <v>lun</v>
      </c>
      <c r="O38" s="16" t="str">
        <f>TEXT(WEEKDAY(DATE(Julio!CalendarioAño,1,13),1),"ddd")</f>
        <v>mar</v>
      </c>
      <c r="P38" s="16" t="str">
        <f>TEXT(WEEKDAY(DATE(Julio!CalendarioAño,1,14),1),"ddd")</f>
        <v>mié</v>
      </c>
      <c r="Q38" s="16" t="str">
        <f>TEXT(WEEKDAY(DATE(Julio!CalendarioAño,1,15),1),"ddd")</f>
        <v>jue</v>
      </c>
      <c r="R38" s="16" t="str">
        <f>TEXT(WEEKDAY(DATE(Julio!CalendarioAño,1,16),1),"ddd")</f>
        <v>vie</v>
      </c>
      <c r="S38" s="16" t="str">
        <f>TEXT(WEEKDAY(DATE(Julio!CalendarioAño,1,17),1),"ddd")</f>
        <v>sáb</v>
      </c>
      <c r="T38" s="16" t="str">
        <f>TEXT(WEEKDAY(DATE(Julio!CalendarioAño,1,18),1),"ddd")</f>
        <v>dom</v>
      </c>
      <c r="U38" s="16" t="str">
        <f>TEXT(WEEKDAY(DATE(Julio!CalendarioAño,1,19),1),"ddd")</f>
        <v>lun</v>
      </c>
      <c r="V38" s="16" t="str">
        <f>TEXT(WEEKDAY(DATE(Julio!CalendarioAño,1,20),1),"ddd")</f>
        <v>mar</v>
      </c>
      <c r="W38" s="16" t="str">
        <f>TEXT(WEEKDAY(DATE(Julio!CalendarioAño,1,21),1),"ddd")</f>
        <v>mié</v>
      </c>
      <c r="X38" s="16" t="str">
        <f>TEXT(WEEKDAY(DATE(Julio!CalendarioAño,1,22),1),"ddd")</f>
        <v>jue</v>
      </c>
      <c r="Y38" s="16" t="str">
        <f>TEXT(WEEKDAY(DATE(Julio!CalendarioAño,1,23),1),"ddd")</f>
        <v>vie</v>
      </c>
      <c r="Z38" s="16" t="str">
        <f>TEXT(WEEKDAY(DATE(Julio!CalendarioAño,1,24),1),"ddd")</f>
        <v>sáb</v>
      </c>
      <c r="AA38" s="16" t="str">
        <f>TEXT(WEEKDAY(DATE(Julio!CalendarioAño,1,25),1),"ddd")</f>
        <v>dom</v>
      </c>
      <c r="AB38" s="16" t="str">
        <f>TEXT(WEEKDAY(DATE(Julio!CalendarioAño,1,26),1),"ddd")</f>
        <v>lun</v>
      </c>
      <c r="AC38" s="16" t="str">
        <f>TEXT(WEEKDAY(DATE(Julio!CalendarioAño,1,27),1),"ddd")</f>
        <v>mar</v>
      </c>
      <c r="AD38" s="16" t="str">
        <f>TEXT(WEEKDAY(DATE(Julio!CalendarioAño,1,28),1),"ddd")</f>
        <v>mié</v>
      </c>
      <c r="AE38" s="16" t="str">
        <f>TEXT(WEEKDAY(DATE(Julio!CalendarioAño,1,29),1),"ddd")</f>
        <v>jue</v>
      </c>
      <c r="AF38" s="16" t="str">
        <f>TEXT(WEEKDAY(DATE(Julio!CalendarioAño,1,30),1),"ddd")</f>
        <v>vie</v>
      </c>
      <c r="AG38" s="16" t="str">
        <f>TEXT(WEEKDAY(DATE(Julio!CalendarioAño,1,31),1),"ddd")</f>
        <v>sáb</v>
      </c>
      <c r="AH38" s="30"/>
      <c r="AI38" s="14"/>
      <c r="AJ38" s="14"/>
    </row>
    <row r="39" ht="30.0" customHeight="1">
      <c r="A39" s="17"/>
      <c r="B39" s="31" t="s">
        <v>14</v>
      </c>
      <c r="C39" s="19" t="s">
        <v>15</v>
      </c>
      <c r="D39" s="19" t="s">
        <v>16</v>
      </c>
      <c r="E39" s="19" t="s">
        <v>17</v>
      </c>
      <c r="F39" s="19" t="s">
        <v>18</v>
      </c>
      <c r="G39" s="19" t="s">
        <v>19</v>
      </c>
      <c r="H39" s="19" t="s">
        <v>20</v>
      </c>
      <c r="I39" s="19" t="s">
        <v>21</v>
      </c>
      <c r="J39" s="19" t="s">
        <v>22</v>
      </c>
      <c r="K39" s="19" t="s">
        <v>23</v>
      </c>
      <c r="L39" s="19" t="s">
        <v>24</v>
      </c>
      <c r="M39" s="19" t="s">
        <v>25</v>
      </c>
      <c r="N39" s="19" t="s">
        <v>26</v>
      </c>
      <c r="O39" s="19" t="s">
        <v>27</v>
      </c>
      <c r="P39" s="19" t="s">
        <v>28</v>
      </c>
      <c r="Q39" s="19" t="s">
        <v>29</v>
      </c>
      <c r="R39" s="19" t="s">
        <v>30</v>
      </c>
      <c r="S39" s="19" t="s">
        <v>31</v>
      </c>
      <c r="T39" s="19" t="s">
        <v>32</v>
      </c>
      <c r="U39" s="19" t="s">
        <v>33</v>
      </c>
      <c r="V39" s="19" t="s">
        <v>34</v>
      </c>
      <c r="W39" s="19" t="s">
        <v>35</v>
      </c>
      <c r="X39" s="19" t="s">
        <v>36</v>
      </c>
      <c r="Y39" s="19" t="s">
        <v>37</v>
      </c>
      <c r="Z39" s="19" t="s">
        <v>38</v>
      </c>
      <c r="AA39" s="19" t="s">
        <v>39</v>
      </c>
      <c r="AB39" s="19" t="s">
        <v>40</v>
      </c>
      <c r="AC39" s="19" t="s">
        <v>41</v>
      </c>
      <c r="AD39" s="19" t="s">
        <v>42</v>
      </c>
      <c r="AE39" s="19" t="s">
        <v>43</v>
      </c>
      <c r="AF39" s="19" t="s">
        <v>44</v>
      </c>
      <c r="AG39" s="19" t="s">
        <v>45</v>
      </c>
      <c r="AH39" s="19" t="s">
        <v>46</v>
      </c>
      <c r="AI39" s="19"/>
      <c r="AJ39" s="19"/>
    </row>
    <row r="40" ht="30.0" customHeight="1">
      <c r="B40" s="40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23"/>
      <c r="AI40" s="23"/>
      <c r="AJ40" s="23"/>
    </row>
    <row r="41" ht="30.0" customHeight="1">
      <c r="B41" s="4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23"/>
      <c r="AI41" s="23"/>
      <c r="AJ41" s="23"/>
    </row>
    <row r="42" ht="30.0" customHeight="1">
      <c r="B42" s="32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21"/>
      <c r="AI42" s="21"/>
      <c r="AJ42" s="33"/>
    </row>
    <row r="43" ht="30.0" customHeight="1">
      <c r="B43" s="32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23"/>
      <c r="AI43" s="23"/>
      <c r="AJ43" s="23"/>
    </row>
    <row r="44" ht="30.0" customHeight="1">
      <c r="B44" s="32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121"/>
      <c r="AI44" s="23"/>
      <c r="AJ44" s="23"/>
    </row>
    <row r="45" ht="30.0" customHeight="1">
      <c r="B45" s="32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23"/>
      <c r="AI45" s="23"/>
      <c r="AJ45" s="23"/>
    </row>
    <row r="46" ht="30.0" customHeight="1">
      <c r="B46" s="32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23"/>
      <c r="AI46" s="23"/>
      <c r="AJ46" s="23"/>
    </row>
    <row r="47" ht="30.0" customHeight="1">
      <c r="B47" s="32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23"/>
      <c r="AI47" s="23"/>
      <c r="AJ47" s="23"/>
    </row>
    <row r="48" ht="30.0" customHeight="1">
      <c r="B48" s="32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23"/>
      <c r="AI48" s="23"/>
      <c r="AJ48" s="23"/>
    </row>
    <row r="49" ht="30.0" customHeight="1">
      <c r="B49" s="40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23"/>
      <c r="AI49" s="23"/>
      <c r="AJ49" s="23"/>
    </row>
    <row r="50" ht="30.0" customHeight="1">
      <c r="B50" s="32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23"/>
      <c r="AI50" s="23"/>
      <c r="AJ50" s="23"/>
    </row>
    <row r="51" ht="30.0" customHeight="1">
      <c r="B51" s="32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23"/>
      <c r="AI51" s="23"/>
      <c r="AJ51" s="23"/>
    </row>
    <row r="52" ht="30.0" customHeight="1">
      <c r="B52" s="32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23"/>
      <c r="AI52" s="23"/>
      <c r="AJ52" s="23"/>
    </row>
    <row r="53" ht="30.0" customHeight="1">
      <c r="B53" s="32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23"/>
      <c r="AI53" s="23"/>
      <c r="AJ53" s="23"/>
    </row>
    <row r="54" ht="30.0" customHeight="1">
      <c r="B54" s="32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23"/>
      <c r="AI54" s="23"/>
      <c r="AJ54" s="23"/>
    </row>
    <row r="55" ht="30.0" customHeight="1">
      <c r="B55" s="32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23"/>
      <c r="AI55" s="23"/>
      <c r="AJ55" s="23"/>
    </row>
    <row r="56" ht="30.0" customHeight="1">
      <c r="B56" s="32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25"/>
      <c r="AI56" s="25"/>
      <c r="AJ56" s="25"/>
    </row>
    <row r="57" ht="30.0" customHeight="1">
      <c r="B57" s="32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25"/>
      <c r="AI57" s="25"/>
      <c r="AJ57" s="25"/>
    </row>
    <row r="58" ht="30.0" customHeight="1">
      <c r="B58" s="32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25"/>
      <c r="AI58" s="25"/>
      <c r="AJ58" s="25"/>
    </row>
    <row r="59" ht="30.0" customHeight="1">
      <c r="B59" s="32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25"/>
      <c r="AI59" s="25"/>
      <c r="AJ59" s="25"/>
    </row>
    <row r="60" ht="30.0" customHeight="1">
      <c r="B60" s="24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ht="30.0" customHeight="1">
      <c r="B61" s="24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ht="30.0" customHeight="1">
      <c r="B62" s="24" t="str">
        <f>Julio!MonthName&amp;" Total"</f>
        <v>Enero Total</v>
      </c>
      <c r="C62" s="25">
        <f>SUBTOTAL(103,Julio!$C$7)</f>
        <v>0</v>
      </c>
      <c r="D62" s="25">
        <f>SUBTOTAL(103,Julio!$D$7)</f>
        <v>0</v>
      </c>
      <c r="E62" s="25">
        <f>SUBTOTAL(103,Julio!$E$7)</f>
        <v>0</v>
      </c>
      <c r="F62" s="25"/>
      <c r="G62" s="25">
        <f>SUBTOTAL(103,Julio!$G$7)</f>
        <v>0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ht="30.0" customHeight="1">
      <c r="AH63" s="5"/>
      <c r="AI63" s="5"/>
      <c r="AJ63" s="5"/>
    </row>
    <row r="64" ht="30.0" customHeight="1">
      <c r="B64" s="30" t="s">
        <v>12</v>
      </c>
      <c r="C64" s="27" t="s">
        <v>89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39">
        <v>2026.0</v>
      </c>
      <c r="AI64" s="15"/>
      <c r="AJ64" s="15"/>
    </row>
    <row r="65" ht="30.0" customHeight="1">
      <c r="B65" s="30"/>
      <c r="C65" s="16" t="str">
        <f>TEXT(WEEKDAY(DATE(Julio!CalendarioAño,1,1),1),"ddd")</f>
        <v>jue</v>
      </c>
      <c r="D65" s="16" t="str">
        <f>TEXT(WEEKDAY(DATE(Julio!CalendarioAño,1,2),1),"ddd")</f>
        <v>vie</v>
      </c>
      <c r="E65" s="16" t="str">
        <f>TEXT(WEEKDAY(DATE(Julio!CalendarioAño,1,3),1),"ddd")</f>
        <v>sáb</v>
      </c>
      <c r="F65" s="16" t="str">
        <f>TEXT(WEEKDAY(DATE(Julio!CalendarioAño,1,4),1),"ddd")</f>
        <v>dom</v>
      </c>
      <c r="G65" s="16" t="str">
        <f>TEXT(WEEKDAY(DATE(Julio!CalendarioAño,1,5),1),"ddd")</f>
        <v>lun</v>
      </c>
      <c r="H65" s="16" t="str">
        <f>TEXT(WEEKDAY(DATE(Julio!CalendarioAño,1,6),1),"ddd")</f>
        <v>mar</v>
      </c>
      <c r="I65" s="16" t="str">
        <f>TEXT(WEEKDAY(DATE(Julio!CalendarioAño,1,7),1),"ddd")</f>
        <v>mié</v>
      </c>
      <c r="J65" s="16" t="str">
        <f>TEXT(WEEKDAY(DATE(Julio!CalendarioAño,1,8),1),"ddd")</f>
        <v>jue</v>
      </c>
      <c r="K65" s="16" t="str">
        <f>TEXT(WEEKDAY(DATE(Julio!CalendarioAño,1,9),1),"ddd")</f>
        <v>vie</v>
      </c>
      <c r="L65" s="16" t="str">
        <f>TEXT(WEEKDAY(DATE(Julio!CalendarioAño,1,10),1),"ddd")</f>
        <v>sáb</v>
      </c>
      <c r="M65" s="16" t="str">
        <f>TEXT(WEEKDAY(DATE(Julio!CalendarioAño,1,11),1),"ddd")</f>
        <v>dom</v>
      </c>
      <c r="N65" s="16" t="str">
        <f>TEXT(WEEKDAY(DATE(Julio!CalendarioAño,1,12),1),"ddd")</f>
        <v>lun</v>
      </c>
      <c r="O65" s="16" t="str">
        <f>TEXT(WEEKDAY(DATE(Julio!CalendarioAño,1,13),1),"ddd")</f>
        <v>mar</v>
      </c>
      <c r="P65" s="16" t="str">
        <f>TEXT(WEEKDAY(DATE(Julio!CalendarioAño,1,14),1),"ddd")</f>
        <v>mié</v>
      </c>
      <c r="Q65" s="16" t="str">
        <f>TEXT(WEEKDAY(DATE(Julio!CalendarioAño,1,15),1),"ddd")</f>
        <v>jue</v>
      </c>
      <c r="R65" s="16" t="str">
        <f>TEXT(WEEKDAY(DATE(Julio!CalendarioAño,1,16),1),"ddd")</f>
        <v>vie</v>
      </c>
      <c r="S65" s="16" t="str">
        <f>TEXT(WEEKDAY(DATE(Julio!CalendarioAño,1,17),1),"ddd")</f>
        <v>sáb</v>
      </c>
      <c r="T65" s="16" t="str">
        <f>TEXT(WEEKDAY(DATE(Julio!CalendarioAño,1,18),1),"ddd")</f>
        <v>dom</v>
      </c>
      <c r="U65" s="16" t="str">
        <f>TEXT(WEEKDAY(DATE(Julio!CalendarioAño,1,19),1),"ddd")</f>
        <v>lun</v>
      </c>
      <c r="V65" s="16" t="str">
        <f>TEXT(WEEKDAY(DATE(Julio!CalendarioAño,1,20),1),"ddd")</f>
        <v>mar</v>
      </c>
      <c r="W65" s="16" t="str">
        <f>TEXT(WEEKDAY(DATE(Julio!CalendarioAño,1,21),1),"ddd")</f>
        <v>mié</v>
      </c>
      <c r="X65" s="16" t="str">
        <f>TEXT(WEEKDAY(DATE(Julio!CalendarioAño,1,22),1),"ddd")</f>
        <v>jue</v>
      </c>
      <c r="Y65" s="16" t="str">
        <f>TEXT(WEEKDAY(DATE(Julio!CalendarioAño,1,23),1),"ddd")</f>
        <v>vie</v>
      </c>
      <c r="Z65" s="16" t="str">
        <f>TEXT(WEEKDAY(DATE(Julio!CalendarioAño,1,24),1),"ddd")</f>
        <v>sáb</v>
      </c>
      <c r="AA65" s="16" t="str">
        <f>TEXT(WEEKDAY(DATE(Julio!CalendarioAño,1,25),1),"ddd")</f>
        <v>dom</v>
      </c>
      <c r="AB65" s="16" t="str">
        <f>TEXT(WEEKDAY(DATE(Julio!CalendarioAño,1,26),1),"ddd")</f>
        <v>lun</v>
      </c>
      <c r="AC65" s="16" t="str">
        <f>TEXT(WEEKDAY(DATE(Julio!CalendarioAño,1,27),1),"ddd")</f>
        <v>mar</v>
      </c>
      <c r="AD65" s="16" t="str">
        <f>TEXT(WEEKDAY(DATE(Julio!CalendarioAño,1,28),1),"ddd")</f>
        <v>mié</v>
      </c>
      <c r="AE65" s="16" t="str">
        <f>TEXT(WEEKDAY(DATE(Julio!CalendarioAño,1,29),1),"ddd")</f>
        <v>jue</v>
      </c>
      <c r="AF65" s="16" t="str">
        <f>TEXT(WEEKDAY(DATE(Julio!CalendarioAño,1,30),1),"ddd")</f>
        <v>vie</v>
      </c>
      <c r="AG65" s="16" t="str">
        <f>TEXT(WEEKDAY(DATE(Julio!CalendarioAño,1,31),1),"ddd")</f>
        <v>sáb</v>
      </c>
      <c r="AH65" s="30"/>
      <c r="AI65" s="14"/>
      <c r="AJ65" s="14"/>
    </row>
    <row r="66" ht="30.0" customHeight="1">
      <c r="A66" s="17"/>
      <c r="B66" s="31" t="s">
        <v>14</v>
      </c>
      <c r="C66" s="19" t="s">
        <v>15</v>
      </c>
      <c r="D66" s="19" t="s">
        <v>16</v>
      </c>
      <c r="E66" s="19" t="s">
        <v>17</v>
      </c>
      <c r="F66" s="19" t="s">
        <v>18</v>
      </c>
      <c r="G66" s="19" t="s">
        <v>19</v>
      </c>
      <c r="H66" s="19" t="s">
        <v>20</v>
      </c>
      <c r="I66" s="19" t="s">
        <v>21</v>
      </c>
      <c r="J66" s="19" t="s">
        <v>22</v>
      </c>
      <c r="K66" s="19" t="s">
        <v>23</v>
      </c>
      <c r="L66" s="19" t="s">
        <v>24</v>
      </c>
      <c r="M66" s="19" t="s">
        <v>25</v>
      </c>
      <c r="N66" s="19" t="s">
        <v>26</v>
      </c>
      <c r="O66" s="19" t="s">
        <v>27</v>
      </c>
      <c r="P66" s="19" t="s">
        <v>28</v>
      </c>
      <c r="Q66" s="19" t="s">
        <v>29</v>
      </c>
      <c r="R66" s="19" t="s">
        <v>30</v>
      </c>
      <c r="S66" s="19" t="s">
        <v>31</v>
      </c>
      <c r="T66" s="19" t="s">
        <v>32</v>
      </c>
      <c r="U66" s="19" t="s">
        <v>33</v>
      </c>
      <c r="V66" s="19" t="s">
        <v>34</v>
      </c>
      <c r="W66" s="19" t="s">
        <v>35</v>
      </c>
      <c r="X66" s="19" t="s">
        <v>36</v>
      </c>
      <c r="Y66" s="19" t="s">
        <v>37</v>
      </c>
      <c r="Z66" s="19" t="s">
        <v>38</v>
      </c>
      <c r="AA66" s="19" t="s">
        <v>39</v>
      </c>
      <c r="AB66" s="19" t="s">
        <v>40</v>
      </c>
      <c r="AC66" s="19" t="s">
        <v>41</v>
      </c>
      <c r="AD66" s="19" t="s">
        <v>42</v>
      </c>
      <c r="AE66" s="19" t="s">
        <v>43</v>
      </c>
      <c r="AF66" s="19" t="s">
        <v>44</v>
      </c>
      <c r="AG66" s="19" t="s">
        <v>45</v>
      </c>
      <c r="AH66" s="19" t="s">
        <v>46</v>
      </c>
      <c r="AI66" s="19"/>
      <c r="AJ66" s="19"/>
    </row>
    <row r="67" ht="30.0" customHeight="1">
      <c r="B67" s="40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23"/>
      <c r="AI67" s="23"/>
      <c r="AJ67" s="23"/>
    </row>
    <row r="68" ht="30.0" customHeight="1">
      <c r="B68" s="40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23"/>
      <c r="AI68" s="23"/>
      <c r="AJ68" s="23"/>
    </row>
    <row r="69" ht="30.0" customHeight="1">
      <c r="B69" s="40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23"/>
      <c r="AI69" s="23"/>
      <c r="AJ69" s="23"/>
    </row>
    <row r="70" ht="30.0" customHeight="1">
      <c r="B70" s="40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23"/>
      <c r="AI70" s="23"/>
      <c r="AJ70" s="23"/>
    </row>
    <row r="71" ht="30.0" customHeight="1">
      <c r="B71" s="32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23"/>
      <c r="AI71" s="23"/>
      <c r="AJ71" s="23"/>
    </row>
    <row r="72" ht="30.0" customHeight="1">
      <c r="B72" s="40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23"/>
      <c r="AI72" s="23"/>
      <c r="AJ72" s="23"/>
    </row>
    <row r="73" ht="30.0" customHeight="1">
      <c r="B73" s="32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23"/>
      <c r="AI73" s="23"/>
      <c r="AJ73" s="23"/>
    </row>
    <row r="74" ht="30.0" customHeight="1">
      <c r="B74" s="32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23"/>
      <c r="AI74" s="23"/>
      <c r="AJ74" s="23"/>
    </row>
    <row r="75" ht="30.0" customHeight="1">
      <c r="B75" s="32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23"/>
      <c r="AI75" s="23"/>
      <c r="AJ75" s="23"/>
    </row>
    <row r="76" ht="30.0" customHeight="1">
      <c r="B76" s="32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23"/>
      <c r="AI76" s="23"/>
      <c r="AJ76" s="23"/>
    </row>
    <row r="77" ht="30.0" customHeight="1">
      <c r="B77" s="32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23"/>
      <c r="AI77" s="23"/>
      <c r="AJ77" s="23"/>
    </row>
    <row r="78" ht="30.0" customHeight="1">
      <c r="B78" s="32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23"/>
      <c r="AI78" s="23"/>
      <c r="AJ78" s="23"/>
    </row>
    <row r="79" ht="30.0" customHeight="1">
      <c r="B79" s="32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23"/>
      <c r="AI79" s="23"/>
      <c r="AJ79" s="23"/>
    </row>
    <row r="80" ht="30.0" customHeight="1">
      <c r="B80" s="32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23"/>
      <c r="AI80" s="23"/>
      <c r="AJ80" s="23"/>
    </row>
    <row r="81" ht="30.0" customHeight="1">
      <c r="B81" s="32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23"/>
      <c r="AI81" s="23"/>
      <c r="AJ81" s="23"/>
    </row>
    <row r="82" ht="30.0" customHeight="1">
      <c r="B82" s="32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23"/>
      <c r="AI82" s="23"/>
      <c r="AJ82" s="23"/>
    </row>
    <row r="83" ht="30.0" customHeight="1">
      <c r="B83" s="40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23"/>
      <c r="AI83" s="23"/>
      <c r="AJ83" s="23"/>
    </row>
    <row r="84" ht="30.0" customHeight="1">
      <c r="B84" s="40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23"/>
      <c r="AI84" s="23"/>
      <c r="AJ84" s="23"/>
    </row>
    <row r="85" ht="30.0" customHeight="1">
      <c r="B85" s="32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23"/>
      <c r="AI85" s="23"/>
      <c r="AJ85" s="23"/>
    </row>
    <row r="86" ht="30.0" customHeight="1">
      <c r="B86" s="32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23"/>
      <c r="AI86" s="23"/>
      <c r="AJ86" s="23"/>
    </row>
    <row r="87" ht="30.0" customHeight="1">
      <c r="B87" s="32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23"/>
      <c r="AI87" s="23"/>
      <c r="AJ87" s="23"/>
    </row>
    <row r="88" ht="30.0" customHeight="1">
      <c r="B88" s="32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23"/>
      <c r="AI88" s="23"/>
      <c r="AJ88" s="23"/>
    </row>
    <row r="89" ht="30.0" customHeight="1">
      <c r="B89" s="32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23"/>
      <c r="AI89" s="23"/>
      <c r="AJ89" s="23"/>
    </row>
    <row r="90" ht="30.0" customHeight="1">
      <c r="B90" s="32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23"/>
      <c r="AI90" s="23"/>
      <c r="AJ90" s="23"/>
    </row>
    <row r="91" ht="30.0" customHeight="1">
      <c r="B91" s="32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23"/>
      <c r="AI91" s="23"/>
      <c r="AJ91" s="23"/>
    </row>
    <row r="92" ht="30.0" customHeight="1">
      <c r="B92" s="32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23"/>
      <c r="AI92" s="23"/>
      <c r="AJ92" s="23"/>
    </row>
    <row r="93" ht="30.0" customHeight="1">
      <c r="B93" s="32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23"/>
      <c r="AI93" s="23"/>
      <c r="AJ93" s="23"/>
    </row>
    <row r="94" ht="30.0" customHeight="1">
      <c r="B94" s="20"/>
      <c r="C94" s="21"/>
      <c r="D94" s="21"/>
      <c r="E94" s="21"/>
      <c r="F94" s="21"/>
      <c r="G94" s="21"/>
      <c r="H94" s="21"/>
      <c r="I94" s="43"/>
      <c r="J94" s="43"/>
      <c r="K94" s="43"/>
      <c r="L94" s="43"/>
      <c r="M94" s="43"/>
      <c r="N94" s="21"/>
      <c r="O94" s="43"/>
      <c r="P94" s="43"/>
      <c r="Q94" s="43"/>
      <c r="R94" s="21"/>
      <c r="S94" s="43"/>
      <c r="T94" s="21"/>
      <c r="U94" s="21"/>
      <c r="V94" s="21"/>
      <c r="W94" s="21"/>
      <c r="X94" s="43"/>
      <c r="Y94" s="21"/>
      <c r="Z94" s="43"/>
      <c r="AA94" s="21"/>
      <c r="AB94" s="21"/>
      <c r="AC94" s="21"/>
      <c r="AD94" s="21"/>
      <c r="AE94" s="33"/>
      <c r="AF94" s="21"/>
      <c r="AG94" s="21"/>
      <c r="AH94" s="23"/>
      <c r="AI94" s="23"/>
      <c r="AJ94" s="23"/>
    </row>
    <row r="95" ht="30.0" customHeight="1">
      <c r="B95" s="48" t="str">
        <f>Julio!MonthName&amp;" Total"</f>
        <v>Enero Total</v>
      </c>
      <c r="C95" s="25">
        <f>SUBTOTAL(103,Julio!$C$7)</f>
        <v>0</v>
      </c>
      <c r="D95" s="25">
        <f>SUBTOTAL(103,Julio!$D$7)</f>
        <v>0</v>
      </c>
      <c r="E95" s="25">
        <f>SUBTOTAL(103,Julio!$E$7)</f>
        <v>0</v>
      </c>
      <c r="F95" s="25"/>
      <c r="G95" s="25">
        <f>SUBTOTAL(103,Julio!$G$7)</f>
        <v>0</v>
      </c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</row>
    <row r="96" ht="30.0" customHeight="1">
      <c r="AH96" s="5"/>
      <c r="AI96" s="5"/>
      <c r="AJ96" s="5"/>
    </row>
    <row r="97" ht="30.0" customHeight="1">
      <c r="B97" s="30" t="s">
        <v>12</v>
      </c>
      <c r="C97" s="27" t="s">
        <v>118</v>
      </c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39">
        <v>2026.0</v>
      </c>
      <c r="AI97" s="15"/>
      <c r="AJ97" s="15"/>
    </row>
    <row r="98" ht="30.0" customHeight="1">
      <c r="B98" s="30"/>
      <c r="C98" s="16" t="str">
        <f>TEXT(WEEKDAY(DATE(Julio!CalendarioAño,1,1),1),"ddd")</f>
        <v>jue</v>
      </c>
      <c r="D98" s="16" t="str">
        <f>TEXT(WEEKDAY(DATE(Julio!CalendarioAño,1,2),1),"ddd")</f>
        <v>vie</v>
      </c>
      <c r="E98" s="16" t="str">
        <f>TEXT(WEEKDAY(DATE(Julio!CalendarioAño,1,3),1),"ddd")</f>
        <v>sáb</v>
      </c>
      <c r="F98" s="16" t="str">
        <f>TEXT(WEEKDAY(DATE(Julio!CalendarioAño,1,4),1),"ddd")</f>
        <v>dom</v>
      </c>
      <c r="G98" s="16" t="str">
        <f>TEXT(WEEKDAY(DATE(Julio!CalendarioAño,1,5),1),"ddd")</f>
        <v>lun</v>
      </c>
      <c r="H98" s="16" t="str">
        <f>TEXT(WEEKDAY(DATE(Julio!CalendarioAño,1,6),1),"ddd")</f>
        <v>mar</v>
      </c>
      <c r="I98" s="16" t="str">
        <f>TEXT(WEEKDAY(DATE(Julio!CalendarioAño,1,7),1),"ddd")</f>
        <v>mié</v>
      </c>
      <c r="J98" s="16" t="str">
        <f>TEXT(WEEKDAY(DATE(Julio!CalendarioAño,1,8),1),"ddd")</f>
        <v>jue</v>
      </c>
      <c r="K98" s="16" t="str">
        <f>TEXT(WEEKDAY(DATE(Julio!CalendarioAño,1,9),1),"ddd")</f>
        <v>vie</v>
      </c>
      <c r="L98" s="16" t="str">
        <f>TEXT(WEEKDAY(DATE(Julio!CalendarioAño,1,10),1),"ddd")</f>
        <v>sáb</v>
      </c>
      <c r="M98" s="16" t="str">
        <f>TEXT(WEEKDAY(DATE(Julio!CalendarioAño,1,11),1),"ddd")</f>
        <v>dom</v>
      </c>
      <c r="N98" s="16" t="str">
        <f>TEXT(WEEKDAY(DATE(Julio!CalendarioAño,1,12),1),"ddd")</f>
        <v>lun</v>
      </c>
      <c r="O98" s="16" t="str">
        <f>TEXT(WEEKDAY(DATE(Julio!CalendarioAño,1,13),1),"ddd")</f>
        <v>mar</v>
      </c>
      <c r="P98" s="16" t="str">
        <f>TEXT(WEEKDAY(DATE(Julio!CalendarioAño,1,14),1),"ddd")</f>
        <v>mié</v>
      </c>
      <c r="Q98" s="16" t="str">
        <f>TEXT(WEEKDAY(DATE(Julio!CalendarioAño,1,15),1),"ddd")</f>
        <v>jue</v>
      </c>
      <c r="R98" s="16" t="str">
        <f>TEXT(WEEKDAY(DATE(Julio!CalendarioAño,1,16),1),"ddd")</f>
        <v>vie</v>
      </c>
      <c r="S98" s="16" t="str">
        <f>TEXT(WEEKDAY(DATE(Julio!CalendarioAño,1,17),1),"ddd")</f>
        <v>sáb</v>
      </c>
      <c r="T98" s="16" t="str">
        <f>TEXT(WEEKDAY(DATE(Julio!CalendarioAño,1,18),1),"ddd")</f>
        <v>dom</v>
      </c>
      <c r="U98" s="16" t="str">
        <f>TEXT(WEEKDAY(DATE(Julio!CalendarioAño,1,19),1),"ddd")</f>
        <v>lun</v>
      </c>
      <c r="V98" s="16" t="str">
        <f>TEXT(WEEKDAY(DATE(Julio!CalendarioAño,1,20),1),"ddd")</f>
        <v>mar</v>
      </c>
      <c r="W98" s="16" t="str">
        <f>TEXT(WEEKDAY(DATE(Julio!CalendarioAño,1,21),1),"ddd")</f>
        <v>mié</v>
      </c>
      <c r="X98" s="16" t="str">
        <f>TEXT(WEEKDAY(DATE(Julio!CalendarioAño,1,22),1),"ddd")</f>
        <v>jue</v>
      </c>
      <c r="Y98" s="16" t="str">
        <f>TEXT(WEEKDAY(DATE(Julio!CalendarioAño,1,23),1),"ddd")</f>
        <v>vie</v>
      </c>
      <c r="Z98" s="16" t="str">
        <f>TEXT(WEEKDAY(DATE(Julio!CalendarioAño,1,24),1),"ddd")</f>
        <v>sáb</v>
      </c>
      <c r="AA98" s="16" t="str">
        <f>TEXT(WEEKDAY(DATE(Julio!CalendarioAño,1,25),1),"ddd")</f>
        <v>dom</v>
      </c>
      <c r="AB98" s="16" t="str">
        <f>TEXT(WEEKDAY(DATE(Julio!CalendarioAño,1,26),1),"ddd")</f>
        <v>lun</v>
      </c>
      <c r="AC98" s="16" t="str">
        <f>TEXT(WEEKDAY(DATE(Julio!CalendarioAño,1,27),1),"ddd")</f>
        <v>mar</v>
      </c>
      <c r="AD98" s="16" t="str">
        <f>TEXT(WEEKDAY(DATE(Julio!CalendarioAño,1,28),1),"ddd")</f>
        <v>mié</v>
      </c>
      <c r="AE98" s="16" t="str">
        <f>TEXT(WEEKDAY(DATE(Julio!CalendarioAño,1,29),1),"ddd")</f>
        <v>jue</v>
      </c>
      <c r="AF98" s="16" t="str">
        <f>TEXT(WEEKDAY(DATE(Julio!CalendarioAño,1,30),1),"ddd")</f>
        <v>vie</v>
      </c>
      <c r="AG98" s="16" t="str">
        <f>TEXT(WEEKDAY(DATE(Julio!CalendarioAño,1,31),1),"ddd")</f>
        <v>sáb</v>
      </c>
      <c r="AH98" s="30"/>
      <c r="AI98" s="14"/>
      <c r="AJ98" s="14"/>
    </row>
    <row r="99" ht="30.0" customHeight="1">
      <c r="A99" s="17"/>
      <c r="B99" s="31" t="s">
        <v>14</v>
      </c>
      <c r="C99" s="19" t="s">
        <v>15</v>
      </c>
      <c r="D99" s="19" t="s">
        <v>16</v>
      </c>
      <c r="E99" s="19" t="s">
        <v>17</v>
      </c>
      <c r="F99" s="19" t="s">
        <v>18</v>
      </c>
      <c r="G99" s="19" t="s">
        <v>19</v>
      </c>
      <c r="H99" s="19" t="s">
        <v>20</v>
      </c>
      <c r="I99" s="19" t="s">
        <v>21</v>
      </c>
      <c r="J99" s="19" t="s">
        <v>22</v>
      </c>
      <c r="K99" s="19" t="s">
        <v>23</v>
      </c>
      <c r="L99" s="19" t="s">
        <v>24</v>
      </c>
      <c r="M99" s="19" t="s">
        <v>25</v>
      </c>
      <c r="N99" s="19" t="s">
        <v>26</v>
      </c>
      <c r="O99" s="19" t="s">
        <v>27</v>
      </c>
      <c r="P99" s="19" t="s">
        <v>28</v>
      </c>
      <c r="Q99" s="19" t="s">
        <v>29</v>
      </c>
      <c r="R99" s="19" t="s">
        <v>30</v>
      </c>
      <c r="S99" s="19" t="s">
        <v>31</v>
      </c>
      <c r="T99" s="19" t="s">
        <v>32</v>
      </c>
      <c r="U99" s="19" t="s">
        <v>33</v>
      </c>
      <c r="V99" s="19" t="s">
        <v>34</v>
      </c>
      <c r="W99" s="19" t="s">
        <v>35</v>
      </c>
      <c r="X99" s="19" t="s">
        <v>36</v>
      </c>
      <c r="Y99" s="19" t="s">
        <v>37</v>
      </c>
      <c r="Z99" s="19" t="s">
        <v>38</v>
      </c>
      <c r="AA99" s="19" t="s">
        <v>39</v>
      </c>
      <c r="AB99" s="19" t="s">
        <v>40</v>
      </c>
      <c r="AC99" s="19" t="s">
        <v>41</v>
      </c>
      <c r="AD99" s="19" t="s">
        <v>42</v>
      </c>
      <c r="AE99" s="19" t="s">
        <v>43</v>
      </c>
      <c r="AF99" s="19" t="s">
        <v>44</v>
      </c>
      <c r="AG99" s="19" t="s">
        <v>45</v>
      </c>
      <c r="AH99" s="19" t="s">
        <v>46</v>
      </c>
      <c r="AI99" s="19"/>
      <c r="AJ99" s="19"/>
    </row>
    <row r="100" ht="30.0" customHeight="1">
      <c r="B100" s="32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23"/>
      <c r="AI100" s="23"/>
      <c r="AJ100" s="23"/>
    </row>
    <row r="101" ht="30.0" customHeight="1">
      <c r="B101" s="32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23"/>
      <c r="AI101" s="23"/>
      <c r="AJ101" s="23"/>
    </row>
    <row r="102" ht="30.0" customHeight="1">
      <c r="B102" s="32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23"/>
      <c r="AI102" s="23"/>
      <c r="AJ102" s="23"/>
    </row>
    <row r="103" ht="30.0" customHeight="1">
      <c r="B103" s="32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23"/>
      <c r="AI103" s="23"/>
      <c r="AJ103" s="23"/>
    </row>
    <row r="104" ht="30.0" customHeight="1">
      <c r="B104" s="32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23"/>
      <c r="AI104" s="23"/>
      <c r="AJ104" s="23"/>
    </row>
    <row r="105" ht="30.0" customHeight="1">
      <c r="B105" s="32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23"/>
      <c r="AI105" s="23"/>
      <c r="AJ105" s="23"/>
    </row>
    <row r="106" ht="30.0" customHeight="1">
      <c r="B106" s="32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23"/>
      <c r="AI106" s="23"/>
      <c r="AJ106" s="23"/>
    </row>
    <row r="107" ht="30.0" customHeight="1">
      <c r="B107" s="32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23"/>
      <c r="AI107" s="23"/>
      <c r="AJ107" s="23"/>
    </row>
    <row r="108" ht="30.0" customHeight="1">
      <c r="B108" s="32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23"/>
      <c r="AI108" s="23"/>
      <c r="AJ108" s="23"/>
    </row>
    <row r="109" ht="30.0" customHeight="1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23"/>
      <c r="AI109" s="23"/>
      <c r="AJ109" s="23"/>
    </row>
    <row r="110" ht="30.0" customHeight="1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23"/>
      <c r="AI110" s="23"/>
      <c r="AJ110" s="23"/>
    </row>
    <row r="111" ht="30.0" customHeight="1">
      <c r="A111" s="50"/>
      <c r="B111" s="5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23"/>
      <c r="AI111" s="23"/>
      <c r="AJ111" s="23"/>
    </row>
    <row r="112" ht="30.0" customHeight="1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23"/>
      <c r="AI112" s="23"/>
      <c r="AJ112" s="23"/>
    </row>
    <row r="113" ht="30.0" customHeight="1">
      <c r="A113" s="50"/>
      <c r="B113" s="5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23"/>
      <c r="AI113" s="23"/>
      <c r="AJ113" s="23"/>
    </row>
    <row r="114" ht="30.0" customHeight="1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23"/>
      <c r="AI114" s="23"/>
      <c r="AJ114" s="23"/>
    </row>
    <row r="115" ht="30.0" customHeight="1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23"/>
      <c r="AI115" s="23"/>
      <c r="AJ115" s="23"/>
    </row>
    <row r="116" ht="30.0" customHeight="1">
      <c r="A116" s="50"/>
      <c r="B116" s="5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23"/>
      <c r="AI116" s="23"/>
      <c r="AJ116" s="23"/>
    </row>
    <row r="117" ht="30.0" customHeight="1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23"/>
      <c r="AI117" s="23"/>
      <c r="AJ117" s="23"/>
    </row>
    <row r="118" ht="30.0" customHeight="1">
      <c r="A118" s="50"/>
      <c r="B118" s="5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23"/>
      <c r="AI118" s="23"/>
      <c r="AJ118" s="23"/>
    </row>
    <row r="119" ht="30.0" customHeight="1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23"/>
      <c r="AI119" s="23"/>
      <c r="AJ119" s="23"/>
    </row>
    <row r="120" ht="30.0" customHeight="1">
      <c r="A120" s="50"/>
      <c r="B120" s="71"/>
      <c r="C120" s="36"/>
      <c r="D120" s="36"/>
      <c r="E120" s="36"/>
      <c r="F120" s="36"/>
      <c r="G120" s="36"/>
      <c r="H120" s="36"/>
      <c r="I120" s="36"/>
      <c r="J120" s="36"/>
      <c r="K120" s="52"/>
      <c r="L120" s="43"/>
      <c r="M120" s="43"/>
      <c r="N120" s="36"/>
      <c r="O120" s="43"/>
      <c r="P120" s="43"/>
      <c r="Q120" s="36"/>
      <c r="R120" s="36"/>
      <c r="S120" s="36"/>
      <c r="T120" s="43"/>
      <c r="U120" s="36"/>
      <c r="V120" s="36"/>
      <c r="W120" s="36"/>
      <c r="X120" s="36"/>
      <c r="Y120" s="36"/>
      <c r="Z120" s="36"/>
      <c r="AA120" s="43"/>
      <c r="AB120" s="36"/>
      <c r="AC120" s="36"/>
      <c r="AD120" s="36"/>
      <c r="AE120" s="36"/>
      <c r="AF120" s="33"/>
      <c r="AG120" s="36"/>
      <c r="AH120" s="23"/>
      <c r="AI120" s="23"/>
      <c r="AJ120" s="23"/>
    </row>
    <row r="121" ht="30.0" customHeight="1">
      <c r="B121" s="48" t="str">
        <f>Julio!MonthName&amp;" Total"</f>
        <v>Enero Total</v>
      </c>
      <c r="C121" s="25">
        <f>SUBTOTAL(103,Julio!$C$7)</f>
        <v>0</v>
      </c>
      <c r="D121" s="25">
        <f>SUBTOTAL(103,Julio!$D$7)</f>
        <v>0</v>
      </c>
      <c r="E121" s="25">
        <f>SUBTOTAL(103,Julio!$E$7)</f>
        <v>0</v>
      </c>
      <c r="F121" s="25"/>
      <c r="G121" s="25"/>
      <c r="H121" s="25">
        <f>SUBTOTAL(103,Julio!$H$7)</f>
        <v>0</v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</row>
    <row r="122" ht="30.0" customHeight="1">
      <c r="AH122" s="5"/>
      <c r="AI122" s="5"/>
      <c r="AJ122" s="5"/>
    </row>
    <row r="123" ht="30.0" customHeight="1">
      <c r="B123" s="30" t="s">
        <v>12</v>
      </c>
      <c r="C123" s="27" t="s">
        <v>140</v>
      </c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39">
        <v>2026.0</v>
      </c>
      <c r="AI123" s="15"/>
      <c r="AJ123" s="15"/>
    </row>
    <row r="124" ht="30.0" customHeight="1">
      <c r="B124" s="30"/>
      <c r="C124" s="16" t="str">
        <f>TEXT(WEEKDAY(DATE(Julio!CalendarioAño,1,1),1),"ddd")</f>
        <v>jue</v>
      </c>
      <c r="D124" s="16" t="str">
        <f>TEXT(WEEKDAY(DATE(Julio!CalendarioAño,1,2),1),"ddd")</f>
        <v>vie</v>
      </c>
      <c r="E124" s="16" t="str">
        <f>TEXT(WEEKDAY(DATE(Julio!CalendarioAño,1,3),1),"ddd")</f>
        <v>sáb</v>
      </c>
      <c r="F124" s="16" t="str">
        <f>TEXT(WEEKDAY(DATE(Julio!CalendarioAño,1,4),1),"ddd")</f>
        <v>dom</v>
      </c>
      <c r="G124" s="16" t="str">
        <f>TEXT(WEEKDAY(DATE(Julio!CalendarioAño,1,5),1),"ddd")</f>
        <v>lun</v>
      </c>
      <c r="H124" s="16" t="str">
        <f>TEXT(WEEKDAY(DATE(Julio!CalendarioAño,1,6),1),"ddd")</f>
        <v>mar</v>
      </c>
      <c r="I124" s="16" t="str">
        <f>TEXT(WEEKDAY(DATE(Julio!CalendarioAño,1,7),1),"ddd")</f>
        <v>mié</v>
      </c>
      <c r="J124" s="16" t="str">
        <f>TEXT(WEEKDAY(DATE(Julio!CalendarioAño,1,8),1),"ddd")</f>
        <v>jue</v>
      </c>
      <c r="K124" s="16" t="str">
        <f>TEXT(WEEKDAY(DATE(Julio!CalendarioAño,1,9),1),"ddd")</f>
        <v>vie</v>
      </c>
      <c r="L124" s="16" t="str">
        <f>TEXT(WEEKDAY(DATE(Julio!CalendarioAño,1,10),1),"ddd")</f>
        <v>sáb</v>
      </c>
      <c r="M124" s="16" t="str">
        <f>TEXT(WEEKDAY(DATE(Julio!CalendarioAño,1,11),1),"ddd")</f>
        <v>dom</v>
      </c>
      <c r="N124" s="16" t="str">
        <f>TEXT(WEEKDAY(DATE(Julio!CalendarioAño,1,12),1),"ddd")</f>
        <v>lun</v>
      </c>
      <c r="O124" s="16" t="str">
        <f>TEXT(WEEKDAY(DATE(Julio!CalendarioAño,1,13),1),"ddd")</f>
        <v>mar</v>
      </c>
      <c r="P124" s="16" t="str">
        <f>TEXT(WEEKDAY(DATE(Julio!CalendarioAño,1,14),1),"ddd")</f>
        <v>mié</v>
      </c>
      <c r="Q124" s="16" t="str">
        <f>TEXT(WEEKDAY(DATE(Julio!CalendarioAño,1,15),1),"ddd")</f>
        <v>jue</v>
      </c>
      <c r="R124" s="16" t="str">
        <f>TEXT(WEEKDAY(DATE(Julio!CalendarioAño,1,16),1),"ddd")</f>
        <v>vie</v>
      </c>
      <c r="S124" s="16" t="str">
        <f>TEXT(WEEKDAY(DATE(Julio!CalendarioAño,1,17),1),"ddd")</f>
        <v>sáb</v>
      </c>
      <c r="T124" s="16" t="str">
        <f>TEXT(WEEKDAY(DATE(Julio!CalendarioAño,1,18),1),"ddd")</f>
        <v>dom</v>
      </c>
      <c r="U124" s="16" t="str">
        <f>TEXT(WEEKDAY(DATE(Julio!CalendarioAño,1,19),1),"ddd")</f>
        <v>lun</v>
      </c>
      <c r="V124" s="16" t="str">
        <f>TEXT(WEEKDAY(DATE(Julio!CalendarioAño,1,20),1),"ddd")</f>
        <v>mar</v>
      </c>
      <c r="W124" s="16" t="str">
        <f>TEXT(WEEKDAY(DATE(Julio!CalendarioAño,1,21),1),"ddd")</f>
        <v>mié</v>
      </c>
      <c r="X124" s="16" t="str">
        <f>TEXT(WEEKDAY(DATE(Julio!CalendarioAño,1,22),1),"ddd")</f>
        <v>jue</v>
      </c>
      <c r="Y124" s="16" t="str">
        <f>TEXT(WEEKDAY(DATE(Julio!CalendarioAño,1,23),1),"ddd")</f>
        <v>vie</v>
      </c>
      <c r="Z124" s="16" t="str">
        <f>TEXT(WEEKDAY(DATE(Julio!CalendarioAño,1,24),1),"ddd")</f>
        <v>sáb</v>
      </c>
      <c r="AA124" s="16" t="str">
        <f>TEXT(WEEKDAY(DATE(Julio!CalendarioAño,1,25),1),"ddd")</f>
        <v>dom</v>
      </c>
      <c r="AB124" s="16" t="str">
        <f>TEXT(WEEKDAY(DATE(Julio!CalendarioAño,1,26),1),"ddd")</f>
        <v>lun</v>
      </c>
      <c r="AC124" s="16" t="str">
        <f>TEXT(WEEKDAY(DATE(Julio!CalendarioAño,1,27),1),"ddd")</f>
        <v>mar</v>
      </c>
      <c r="AD124" s="16" t="str">
        <f>TEXT(WEEKDAY(DATE(Julio!CalendarioAño,1,28),1),"ddd")</f>
        <v>mié</v>
      </c>
      <c r="AE124" s="16" t="str">
        <f>TEXT(WEEKDAY(DATE(Julio!CalendarioAño,1,29),1),"ddd")</f>
        <v>jue</v>
      </c>
      <c r="AF124" s="16" t="str">
        <f>TEXT(WEEKDAY(DATE(Julio!CalendarioAño,1,30),1),"ddd")</f>
        <v>vie</v>
      </c>
      <c r="AG124" s="16" t="str">
        <f>TEXT(WEEKDAY(DATE(Julio!CalendarioAño,1,31),1),"ddd")</f>
        <v>sáb</v>
      </c>
      <c r="AH124" s="30"/>
      <c r="AI124" s="14"/>
      <c r="AJ124" s="14"/>
    </row>
    <row r="125" ht="30.0" customHeight="1">
      <c r="A125" s="17"/>
      <c r="B125" s="31" t="s">
        <v>14</v>
      </c>
      <c r="C125" s="19" t="s">
        <v>15</v>
      </c>
      <c r="D125" s="19" t="s">
        <v>16</v>
      </c>
      <c r="E125" s="19" t="s">
        <v>17</v>
      </c>
      <c r="F125" s="19" t="s">
        <v>18</v>
      </c>
      <c r="G125" s="19" t="s">
        <v>19</v>
      </c>
      <c r="H125" s="19" t="s">
        <v>20</v>
      </c>
      <c r="I125" s="19" t="s">
        <v>21</v>
      </c>
      <c r="J125" s="19" t="s">
        <v>22</v>
      </c>
      <c r="K125" s="19" t="s">
        <v>23</v>
      </c>
      <c r="L125" s="19" t="s">
        <v>24</v>
      </c>
      <c r="M125" s="19" t="s">
        <v>25</v>
      </c>
      <c r="N125" s="19" t="s">
        <v>26</v>
      </c>
      <c r="O125" s="19" t="s">
        <v>27</v>
      </c>
      <c r="P125" s="19" t="s">
        <v>28</v>
      </c>
      <c r="Q125" s="19" t="s">
        <v>29</v>
      </c>
      <c r="R125" s="19" t="s">
        <v>30</v>
      </c>
      <c r="S125" s="19" t="s">
        <v>31</v>
      </c>
      <c r="T125" s="19" t="s">
        <v>32</v>
      </c>
      <c r="U125" s="19" t="s">
        <v>33</v>
      </c>
      <c r="V125" s="19" t="s">
        <v>34</v>
      </c>
      <c r="W125" s="19" t="s">
        <v>35</v>
      </c>
      <c r="X125" s="19" t="s">
        <v>36</v>
      </c>
      <c r="Y125" s="19" t="s">
        <v>37</v>
      </c>
      <c r="Z125" s="19" t="s">
        <v>38</v>
      </c>
      <c r="AA125" s="19" t="s">
        <v>39</v>
      </c>
      <c r="AB125" s="19" t="s">
        <v>40</v>
      </c>
      <c r="AC125" s="19" t="s">
        <v>41</v>
      </c>
      <c r="AD125" s="19" t="s">
        <v>42</v>
      </c>
      <c r="AE125" s="19" t="s">
        <v>43</v>
      </c>
      <c r="AF125" s="19" t="s">
        <v>44</v>
      </c>
      <c r="AG125" s="19" t="s">
        <v>45</v>
      </c>
      <c r="AH125" s="19" t="s">
        <v>46</v>
      </c>
      <c r="AI125" s="19"/>
      <c r="AJ125" s="19"/>
    </row>
    <row r="126" ht="30.0" customHeight="1">
      <c r="B126" s="40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23"/>
      <c r="AI126" s="23"/>
      <c r="AJ126" s="23"/>
    </row>
    <row r="127" ht="30.0" customHeight="1">
      <c r="B127" s="32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23"/>
      <c r="AI127" s="23"/>
      <c r="AJ127" s="23"/>
    </row>
    <row r="128" ht="30.0" customHeight="1">
      <c r="B128" s="32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23"/>
      <c r="AI128" s="23"/>
      <c r="AJ128" s="23"/>
    </row>
    <row r="129" ht="30.0" customHeight="1">
      <c r="B129" s="32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23"/>
      <c r="AI129" s="23"/>
      <c r="AJ129" s="23"/>
    </row>
    <row r="130" ht="30.0" customHeight="1">
      <c r="B130" s="32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23"/>
      <c r="AI130" s="23"/>
      <c r="AJ130" s="23"/>
    </row>
    <row r="131" ht="30.0" customHeight="1">
      <c r="B131" s="40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23"/>
      <c r="AI131" s="23"/>
      <c r="AJ131" s="23"/>
    </row>
    <row r="132" ht="30.0" customHeight="1">
      <c r="B132" s="32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23"/>
      <c r="AI132" s="23"/>
      <c r="AJ132" s="23"/>
    </row>
    <row r="133" ht="30.0" customHeight="1">
      <c r="B133" s="32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23"/>
      <c r="AI133" s="23"/>
      <c r="AJ133" s="23"/>
    </row>
    <row r="134" ht="30.0" customHeight="1">
      <c r="B134" s="32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23"/>
      <c r="AI134" s="23"/>
      <c r="AJ134" s="23"/>
    </row>
    <row r="135" ht="30.0" customHeight="1">
      <c r="B135" s="32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23"/>
      <c r="AI135" s="23"/>
      <c r="AJ135" s="23"/>
    </row>
    <row r="136" ht="30.0" customHeight="1">
      <c r="B136" s="32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23"/>
      <c r="AI136" s="23"/>
      <c r="AJ136" s="23"/>
    </row>
    <row r="137" ht="30.0" customHeight="1">
      <c r="B137" s="32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23"/>
      <c r="AI137" s="23"/>
      <c r="AJ137" s="23"/>
    </row>
    <row r="138" ht="30.0" customHeight="1">
      <c r="B138" s="32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23"/>
      <c r="AI138" s="23"/>
      <c r="AJ138" s="23"/>
    </row>
    <row r="139" ht="30.0" customHeight="1">
      <c r="B139" s="32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23"/>
      <c r="AI139" s="23"/>
      <c r="AJ139" s="23"/>
    </row>
    <row r="140" ht="30.0" customHeight="1">
      <c r="B140" s="32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23"/>
      <c r="AI140" s="23"/>
      <c r="AJ140" s="23"/>
    </row>
    <row r="141" ht="30.0" customHeight="1">
      <c r="B141" s="32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23"/>
      <c r="AI141" s="23"/>
      <c r="AJ141" s="23"/>
    </row>
    <row r="142" ht="30.0" customHeight="1">
      <c r="B142" s="32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25"/>
      <c r="AI142" s="25"/>
      <c r="AJ142" s="25"/>
    </row>
    <row r="143" ht="30.0" customHeight="1">
      <c r="B143" s="32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25"/>
      <c r="AI143" s="25"/>
      <c r="AJ143" s="25"/>
    </row>
    <row r="144" ht="30.0" customHeight="1">
      <c r="B144" s="32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25"/>
      <c r="AI144" s="25"/>
      <c r="AJ144" s="25"/>
    </row>
    <row r="145" ht="30.0" customHeight="1">
      <c r="B145" s="48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25"/>
      <c r="AI145" s="25"/>
      <c r="AJ145" s="25"/>
    </row>
    <row r="146" ht="30.0" customHeight="1">
      <c r="B146" s="48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</row>
    <row r="147" ht="30.0" customHeight="1">
      <c r="B147" s="48" t="str">
        <f>Julio!MonthName&amp;" Total"</f>
        <v>Enero Total</v>
      </c>
      <c r="C147" s="25">
        <f>SUBTOTAL(103,Julio!$C$7)</f>
        <v>0</v>
      </c>
      <c r="D147" s="25">
        <f>SUBTOTAL(103,Julio!$D$7)</f>
        <v>0</v>
      </c>
      <c r="E147" s="25">
        <f>SUBTOTAL(103,Julio!$E$7)</f>
        <v>0</v>
      </c>
      <c r="F147" s="25"/>
      <c r="G147" s="25"/>
      <c r="H147" s="25">
        <f>SUBTOTAL(103,Julio!$H$7)</f>
        <v>0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>
        <f>SUBTOTAL(103,Julio!$AE$7)</f>
        <v>0</v>
      </c>
      <c r="AF147" s="25">
        <f>SUBTOTAL(103,Julio!$AF$7)</f>
        <v>0</v>
      </c>
      <c r="AG147" s="25">
        <f>SUBTOTAL(103,Julio!$AG$7)</f>
        <v>0</v>
      </c>
      <c r="AH147" s="25">
        <f>SUM(C147:AG147)</f>
        <v>0</v>
      </c>
      <c r="AI147" s="25"/>
      <c r="AJ147" s="25"/>
    </row>
    <row r="148" ht="30.0" customHeight="1">
      <c r="AH148" s="5"/>
      <c r="AI148" s="5"/>
      <c r="AJ148" s="5"/>
    </row>
    <row r="149" ht="30.0" customHeight="1">
      <c r="B149" s="30" t="s">
        <v>12</v>
      </c>
      <c r="C149" s="27" t="s">
        <v>160</v>
      </c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39">
        <v>2026.0</v>
      </c>
      <c r="AI149" s="15"/>
      <c r="AJ149" s="15"/>
    </row>
    <row r="150" ht="30.0" customHeight="1">
      <c r="B150" s="30"/>
      <c r="C150" s="16" t="str">
        <f>TEXT(WEEKDAY(DATE(Julio!CalendarioAño,1,1),1),"ddd")</f>
        <v>jue</v>
      </c>
      <c r="D150" s="16" t="str">
        <f>TEXT(WEEKDAY(DATE(Julio!CalendarioAño,1,2),1),"ddd")</f>
        <v>vie</v>
      </c>
      <c r="E150" s="16" t="str">
        <f>TEXT(WEEKDAY(DATE(Julio!CalendarioAño,1,3),1),"ddd")</f>
        <v>sáb</v>
      </c>
      <c r="F150" s="16" t="str">
        <f>TEXT(WEEKDAY(DATE(Julio!CalendarioAño,1,4),1),"ddd")</f>
        <v>dom</v>
      </c>
      <c r="G150" s="16" t="str">
        <f>TEXT(WEEKDAY(DATE(Julio!CalendarioAño,1,5),1),"ddd")</f>
        <v>lun</v>
      </c>
      <c r="H150" s="16" t="str">
        <f>TEXT(WEEKDAY(DATE(Julio!CalendarioAño,1,6),1),"ddd")</f>
        <v>mar</v>
      </c>
      <c r="I150" s="16" t="str">
        <f>TEXT(WEEKDAY(DATE(Julio!CalendarioAño,1,7),1),"ddd")</f>
        <v>mié</v>
      </c>
      <c r="J150" s="16" t="str">
        <f>TEXT(WEEKDAY(DATE(Julio!CalendarioAño,1,8),1),"ddd")</f>
        <v>jue</v>
      </c>
      <c r="K150" s="16" t="str">
        <f>TEXT(WEEKDAY(DATE(Julio!CalendarioAño,1,9),1),"ddd")</f>
        <v>vie</v>
      </c>
      <c r="L150" s="16" t="str">
        <f>TEXT(WEEKDAY(DATE(Julio!CalendarioAño,1,10),1),"ddd")</f>
        <v>sáb</v>
      </c>
      <c r="M150" s="16" t="str">
        <f>TEXT(WEEKDAY(DATE(Julio!CalendarioAño,1,11),1),"ddd")</f>
        <v>dom</v>
      </c>
      <c r="N150" s="16" t="str">
        <f>TEXT(WEEKDAY(DATE(Julio!CalendarioAño,1,12),1),"ddd")</f>
        <v>lun</v>
      </c>
      <c r="O150" s="16" t="str">
        <f>TEXT(WEEKDAY(DATE(Julio!CalendarioAño,1,13),1),"ddd")</f>
        <v>mar</v>
      </c>
      <c r="P150" s="16" t="str">
        <f>TEXT(WEEKDAY(DATE(Julio!CalendarioAño,1,14),1),"ddd")</f>
        <v>mié</v>
      </c>
      <c r="Q150" s="16" t="str">
        <f>TEXT(WEEKDAY(DATE(Julio!CalendarioAño,1,15),1),"ddd")</f>
        <v>jue</v>
      </c>
      <c r="R150" s="16" t="str">
        <f>TEXT(WEEKDAY(DATE(Julio!CalendarioAño,1,16),1),"ddd")</f>
        <v>vie</v>
      </c>
      <c r="S150" s="16" t="str">
        <f>TEXT(WEEKDAY(DATE(Julio!CalendarioAño,1,17),1),"ddd")</f>
        <v>sáb</v>
      </c>
      <c r="T150" s="16" t="str">
        <f>TEXT(WEEKDAY(DATE(Julio!CalendarioAño,1,18),1),"ddd")</f>
        <v>dom</v>
      </c>
      <c r="U150" s="16" t="str">
        <f>TEXT(WEEKDAY(DATE(Julio!CalendarioAño,1,19),1),"ddd")</f>
        <v>lun</v>
      </c>
      <c r="V150" s="16" t="str">
        <f>TEXT(WEEKDAY(DATE(Julio!CalendarioAño,1,20),1),"ddd")</f>
        <v>mar</v>
      </c>
      <c r="W150" s="16" t="str">
        <f>TEXT(WEEKDAY(DATE(Julio!CalendarioAño,1,21),1),"ddd")</f>
        <v>mié</v>
      </c>
      <c r="X150" s="16" t="str">
        <f>TEXT(WEEKDAY(DATE(Julio!CalendarioAño,1,22),1),"ddd")</f>
        <v>jue</v>
      </c>
      <c r="Y150" s="16" t="str">
        <f>TEXT(WEEKDAY(DATE(Julio!CalendarioAño,1,23),1),"ddd")</f>
        <v>vie</v>
      </c>
      <c r="Z150" s="16" t="str">
        <f>TEXT(WEEKDAY(DATE(Julio!CalendarioAño,1,24),1),"ddd")</f>
        <v>sáb</v>
      </c>
      <c r="AA150" s="16" t="str">
        <f>TEXT(WEEKDAY(DATE(Julio!CalendarioAño,1,25),1),"ddd")</f>
        <v>dom</v>
      </c>
      <c r="AB150" s="16" t="str">
        <f>TEXT(WEEKDAY(DATE(Julio!CalendarioAño,1,26),1),"ddd")</f>
        <v>lun</v>
      </c>
      <c r="AC150" s="16" t="str">
        <f>TEXT(WEEKDAY(DATE(Julio!CalendarioAño,1,27),1),"ddd")</f>
        <v>mar</v>
      </c>
      <c r="AD150" s="16" t="str">
        <f>TEXT(WEEKDAY(DATE(Julio!CalendarioAño,1,28),1),"ddd")</f>
        <v>mié</v>
      </c>
      <c r="AE150" s="16" t="str">
        <f>TEXT(WEEKDAY(DATE(Julio!CalendarioAño,1,29),1),"ddd")</f>
        <v>jue</v>
      </c>
      <c r="AF150" s="16" t="str">
        <f>TEXT(WEEKDAY(DATE(Julio!CalendarioAño,1,30),1),"ddd")</f>
        <v>vie</v>
      </c>
      <c r="AG150" s="16" t="str">
        <f>TEXT(WEEKDAY(DATE(Julio!CalendarioAño,1,31),1),"ddd")</f>
        <v>sáb</v>
      </c>
      <c r="AH150" s="30"/>
      <c r="AI150" s="14"/>
      <c r="AJ150" s="14"/>
    </row>
    <row r="151" ht="30.0" customHeight="1">
      <c r="A151" s="17"/>
      <c r="B151" s="31" t="s">
        <v>14</v>
      </c>
      <c r="C151" s="19" t="s">
        <v>15</v>
      </c>
      <c r="D151" s="19" t="s">
        <v>16</v>
      </c>
      <c r="E151" s="19" t="s">
        <v>17</v>
      </c>
      <c r="F151" s="19" t="s">
        <v>18</v>
      </c>
      <c r="G151" s="19" t="s">
        <v>19</v>
      </c>
      <c r="H151" s="19" t="s">
        <v>20</v>
      </c>
      <c r="I151" s="19" t="s">
        <v>21</v>
      </c>
      <c r="J151" s="19" t="s">
        <v>22</v>
      </c>
      <c r="K151" s="19" t="s">
        <v>23</v>
      </c>
      <c r="L151" s="19" t="s">
        <v>24</v>
      </c>
      <c r="M151" s="19" t="s">
        <v>25</v>
      </c>
      <c r="N151" s="19" t="s">
        <v>26</v>
      </c>
      <c r="O151" s="19" t="s">
        <v>27</v>
      </c>
      <c r="P151" s="19" t="s">
        <v>28</v>
      </c>
      <c r="Q151" s="19" t="s">
        <v>29</v>
      </c>
      <c r="R151" s="19" t="s">
        <v>30</v>
      </c>
      <c r="S151" s="19" t="s">
        <v>31</v>
      </c>
      <c r="T151" s="19" t="s">
        <v>32</v>
      </c>
      <c r="U151" s="19" t="s">
        <v>33</v>
      </c>
      <c r="V151" s="19" t="s">
        <v>34</v>
      </c>
      <c r="W151" s="19" t="s">
        <v>35</v>
      </c>
      <c r="X151" s="19" t="s">
        <v>36</v>
      </c>
      <c r="Y151" s="19" t="s">
        <v>37</v>
      </c>
      <c r="Z151" s="19" t="s">
        <v>38</v>
      </c>
      <c r="AA151" s="19" t="s">
        <v>39</v>
      </c>
      <c r="AB151" s="19" t="s">
        <v>40</v>
      </c>
      <c r="AC151" s="19" t="s">
        <v>41</v>
      </c>
      <c r="AD151" s="19" t="s">
        <v>42</v>
      </c>
      <c r="AE151" s="19" t="s">
        <v>43</v>
      </c>
      <c r="AF151" s="19" t="s">
        <v>44</v>
      </c>
      <c r="AG151" s="19" t="s">
        <v>45</v>
      </c>
      <c r="AH151" s="19" t="s">
        <v>46</v>
      </c>
      <c r="AI151" s="19"/>
      <c r="AJ151" s="19"/>
    </row>
    <row r="152" ht="30.0" customHeight="1">
      <c r="B152" s="32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23"/>
      <c r="AI152" s="23"/>
      <c r="AJ152" s="23"/>
    </row>
    <row r="153" ht="30.0" customHeight="1">
      <c r="B153" s="40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23"/>
      <c r="AI153" s="23"/>
      <c r="AJ153" s="23"/>
    </row>
    <row r="154" ht="30.0" customHeight="1">
      <c r="B154" s="40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23"/>
      <c r="AI154" s="23"/>
      <c r="AJ154" s="23"/>
    </row>
    <row r="155" ht="30.0" customHeight="1">
      <c r="B155" s="32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23"/>
      <c r="AI155" s="23"/>
      <c r="AJ155" s="23"/>
    </row>
    <row r="156" ht="30.0" customHeight="1">
      <c r="B156" s="32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23"/>
      <c r="AI156" s="23"/>
      <c r="AJ156" s="23"/>
    </row>
    <row r="157" ht="30.0" customHeight="1">
      <c r="B157" s="32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23"/>
      <c r="AI157" s="23"/>
      <c r="AJ157" s="23"/>
    </row>
    <row r="158" ht="30.0" customHeight="1">
      <c r="B158" s="32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23"/>
      <c r="AI158" s="23"/>
      <c r="AJ158" s="23"/>
    </row>
    <row r="159" ht="30.0" customHeight="1">
      <c r="B159" s="32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23"/>
      <c r="AI159" s="23"/>
      <c r="AJ159" s="23"/>
    </row>
    <row r="160" ht="30.0" customHeight="1">
      <c r="B160" s="32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23"/>
      <c r="AI160" s="23"/>
      <c r="AJ160" s="23"/>
    </row>
    <row r="161" ht="30.0" customHeight="1">
      <c r="B161" s="32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23"/>
      <c r="AI161" s="23"/>
      <c r="AJ161" s="23"/>
    </row>
    <row r="162" ht="30.0" customHeight="1">
      <c r="B162" s="20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33"/>
      <c r="N162" s="21"/>
      <c r="O162" s="21"/>
      <c r="P162" s="21"/>
      <c r="Q162" s="21"/>
      <c r="R162" s="21"/>
      <c r="S162" s="21"/>
      <c r="T162" s="33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3"/>
      <c r="AI162" s="23"/>
      <c r="AJ162" s="23"/>
    </row>
    <row r="163" ht="30.0" customHeight="1">
      <c r="B163" s="20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33"/>
      <c r="N163" s="21"/>
      <c r="O163" s="21"/>
      <c r="P163" s="21"/>
      <c r="Q163" s="21"/>
      <c r="R163" s="21"/>
      <c r="S163" s="21"/>
      <c r="T163" s="33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3"/>
      <c r="AI163" s="23"/>
      <c r="AJ163" s="23"/>
    </row>
    <row r="164" ht="30.0" customHeight="1">
      <c r="B164" s="48" t="str">
        <f>Julio!MonthName&amp;" Total"</f>
        <v>Enero Total</v>
      </c>
      <c r="C164" s="25">
        <f>SUBTOTAL(103,Julio!$C$7)</f>
        <v>0</v>
      </c>
      <c r="D164" s="25">
        <f>SUBTOTAL(103,Julio!$D$7)</f>
        <v>0</v>
      </c>
      <c r="E164" s="25">
        <f>SUBTOTAL(103,Julio!$E$7)</f>
        <v>0</v>
      </c>
      <c r="F164" s="25"/>
      <c r="G164" s="25"/>
      <c r="H164" s="25">
        <f>SUBTOTAL(103,Julio!$H$7)</f>
        <v>0</v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>
        <f>SUBTOTAL(103,Julio!$Y$7)</f>
        <v>0</v>
      </c>
      <c r="Z164" s="25">
        <f>SUBTOTAL(103,Julio!$Z$7)</f>
        <v>0</v>
      </c>
      <c r="AA164" s="25">
        <f>SUBTOTAL(103,Julio!$AA$7)</f>
        <v>0</v>
      </c>
      <c r="AB164" s="25">
        <f>SUBTOTAL(103,Julio!$AB$7)</f>
        <v>0</v>
      </c>
      <c r="AC164" s="25">
        <f>SUBTOTAL(103,Julio!$AC$7)</f>
        <v>0</v>
      </c>
      <c r="AD164" s="25">
        <f>SUBTOTAL(103,Julio!$AD$7)</f>
        <v>0</v>
      </c>
      <c r="AE164" s="25">
        <f>SUBTOTAL(103,Julio!$AE$7)</f>
        <v>0</v>
      </c>
      <c r="AF164" s="25">
        <f>SUBTOTAL(103,Julio!$AF$7)</f>
        <v>0</v>
      </c>
      <c r="AG164" s="25">
        <f>SUBTOTAL(103,Julio!$AG$7)</f>
        <v>0</v>
      </c>
      <c r="AH164" s="25">
        <f>SUM(C164:AG164)</f>
        <v>0</v>
      </c>
      <c r="AI164" s="25"/>
      <c r="AJ164" s="25"/>
    </row>
    <row r="165" ht="30.0" customHeight="1">
      <c r="AH165" s="5"/>
      <c r="AI165" s="5"/>
      <c r="AJ165" s="5"/>
    </row>
    <row r="166" ht="30.0" customHeight="1">
      <c r="A166" s="50"/>
      <c r="B166" s="30" t="s">
        <v>12</v>
      </c>
      <c r="C166" s="27" t="s">
        <v>171</v>
      </c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39">
        <v>2026.0</v>
      </c>
      <c r="AI166" s="15"/>
      <c r="AJ166" s="15"/>
    </row>
    <row r="167" ht="30.0" customHeight="1">
      <c r="A167" s="50"/>
      <c r="B167" s="56"/>
      <c r="C167" s="16" t="str">
        <f>TEXT(WEEKDAY(DATE(Julio!CalendarioAño,1,1),1),"ddd")</f>
        <v>jue</v>
      </c>
      <c r="D167" s="16" t="str">
        <f>TEXT(WEEKDAY(DATE(Julio!CalendarioAño,1,2),1),"ddd")</f>
        <v>vie</v>
      </c>
      <c r="E167" s="16" t="str">
        <f>TEXT(WEEKDAY(DATE(Julio!CalendarioAño,1,3),1),"ddd")</f>
        <v>sáb</v>
      </c>
      <c r="F167" s="16" t="str">
        <f>TEXT(WEEKDAY(DATE(Julio!CalendarioAño,1,4),1),"ddd")</f>
        <v>dom</v>
      </c>
      <c r="G167" s="16" t="str">
        <f>TEXT(WEEKDAY(DATE(Julio!CalendarioAño,1,5),1),"ddd")</f>
        <v>lun</v>
      </c>
      <c r="H167" s="16" t="str">
        <f>TEXT(WEEKDAY(DATE(Julio!CalendarioAño,1,6),1),"ddd")</f>
        <v>mar</v>
      </c>
      <c r="I167" s="16" t="str">
        <f>TEXT(WEEKDAY(DATE(Julio!CalendarioAño,1,7),1),"ddd")</f>
        <v>mié</v>
      </c>
      <c r="J167" s="16" t="str">
        <f>TEXT(WEEKDAY(DATE(Julio!CalendarioAño,1,8),1),"ddd")</f>
        <v>jue</v>
      </c>
      <c r="K167" s="16" t="str">
        <f>TEXT(WEEKDAY(DATE(Julio!CalendarioAño,1,9),1),"ddd")</f>
        <v>vie</v>
      </c>
      <c r="L167" s="16" t="str">
        <f>TEXT(WEEKDAY(DATE(Julio!CalendarioAño,1,10),1),"ddd")</f>
        <v>sáb</v>
      </c>
      <c r="M167" s="16" t="str">
        <f>TEXT(WEEKDAY(DATE(Julio!CalendarioAño,1,11),1),"ddd")</f>
        <v>dom</v>
      </c>
      <c r="N167" s="16" t="str">
        <f>TEXT(WEEKDAY(DATE(Julio!CalendarioAño,1,12),1),"ddd")</f>
        <v>lun</v>
      </c>
      <c r="O167" s="16" t="str">
        <f>TEXT(WEEKDAY(DATE(Julio!CalendarioAño,1,13),1),"ddd")</f>
        <v>mar</v>
      </c>
      <c r="P167" s="16" t="str">
        <f>TEXT(WEEKDAY(DATE(Julio!CalendarioAño,1,14),1),"ddd")</f>
        <v>mié</v>
      </c>
      <c r="Q167" s="16" t="str">
        <f>TEXT(WEEKDAY(DATE(Julio!CalendarioAño,1,15),1),"ddd")</f>
        <v>jue</v>
      </c>
      <c r="R167" s="16" t="str">
        <f>TEXT(WEEKDAY(DATE(Julio!CalendarioAño,1,16),1),"ddd")</f>
        <v>vie</v>
      </c>
      <c r="S167" s="16" t="str">
        <f>TEXT(WEEKDAY(DATE(Julio!CalendarioAño,1,17),1),"ddd")</f>
        <v>sáb</v>
      </c>
      <c r="T167" s="16" t="str">
        <f>TEXT(WEEKDAY(DATE(Julio!CalendarioAño,1,18),1),"ddd")</f>
        <v>dom</v>
      </c>
      <c r="U167" s="16" t="str">
        <f>TEXT(WEEKDAY(DATE(Julio!CalendarioAño,1,19),1),"ddd")</f>
        <v>lun</v>
      </c>
      <c r="V167" s="16" t="str">
        <f>TEXT(WEEKDAY(DATE(Julio!CalendarioAño,1,20),1),"ddd")</f>
        <v>mar</v>
      </c>
      <c r="W167" s="16" t="str">
        <f>TEXT(WEEKDAY(DATE(Julio!CalendarioAño,1,21),1),"ddd")</f>
        <v>mié</v>
      </c>
      <c r="X167" s="16" t="str">
        <f>TEXT(WEEKDAY(DATE(Julio!CalendarioAño,1,22),1),"ddd")</f>
        <v>jue</v>
      </c>
      <c r="Y167" s="16" t="str">
        <f>TEXT(WEEKDAY(DATE(Julio!CalendarioAño,1,23),1),"ddd")</f>
        <v>vie</v>
      </c>
      <c r="Z167" s="16" t="str">
        <f>TEXT(WEEKDAY(DATE(Julio!CalendarioAño,1,24),1),"ddd")</f>
        <v>sáb</v>
      </c>
      <c r="AA167" s="16" t="str">
        <f>TEXT(WEEKDAY(DATE(Julio!CalendarioAño,1,25),1),"ddd")</f>
        <v>dom</v>
      </c>
      <c r="AB167" s="16" t="str">
        <f>TEXT(WEEKDAY(DATE(Julio!CalendarioAño,1,26),1),"ddd")</f>
        <v>lun</v>
      </c>
      <c r="AC167" s="16" t="str">
        <f>TEXT(WEEKDAY(DATE(Julio!CalendarioAño,1,27),1),"ddd")</f>
        <v>mar</v>
      </c>
      <c r="AD167" s="16" t="str">
        <f>TEXT(WEEKDAY(DATE(Julio!CalendarioAño,1,28),1),"ddd")</f>
        <v>mié</v>
      </c>
      <c r="AE167" s="16" t="str">
        <f>TEXT(WEEKDAY(DATE(Julio!CalendarioAño,1,29),1),"ddd")</f>
        <v>jue</v>
      </c>
      <c r="AF167" s="16" t="str">
        <f>TEXT(WEEKDAY(DATE(Julio!CalendarioAño,1,30),1),"ddd")</f>
        <v>vie</v>
      </c>
      <c r="AG167" s="16" t="str">
        <f>TEXT(WEEKDAY(DATE(Julio!CalendarioAño,1,31),1),"ddd")</f>
        <v>sáb</v>
      </c>
      <c r="AH167" s="57"/>
      <c r="AI167" s="119"/>
      <c r="AJ167" s="119"/>
    </row>
    <row r="168" ht="30.0" customHeight="1">
      <c r="A168" s="18"/>
      <c r="B168" s="31" t="s">
        <v>14</v>
      </c>
      <c r="C168" s="19" t="s">
        <v>15</v>
      </c>
      <c r="D168" s="19" t="s">
        <v>16</v>
      </c>
      <c r="E168" s="19" t="s">
        <v>17</v>
      </c>
      <c r="F168" s="19" t="s">
        <v>18</v>
      </c>
      <c r="G168" s="19" t="s">
        <v>19</v>
      </c>
      <c r="H168" s="19" t="s">
        <v>20</v>
      </c>
      <c r="I168" s="19" t="s">
        <v>21</v>
      </c>
      <c r="J168" s="19" t="s">
        <v>22</v>
      </c>
      <c r="K168" s="19" t="s">
        <v>23</v>
      </c>
      <c r="L168" s="19" t="s">
        <v>24</v>
      </c>
      <c r="M168" s="19" t="s">
        <v>25</v>
      </c>
      <c r="N168" s="19" t="s">
        <v>26</v>
      </c>
      <c r="O168" s="19" t="s">
        <v>27</v>
      </c>
      <c r="P168" s="19" t="s">
        <v>28</v>
      </c>
      <c r="Q168" s="19" t="s">
        <v>29</v>
      </c>
      <c r="R168" s="19" t="s">
        <v>30</v>
      </c>
      <c r="S168" s="19" t="s">
        <v>31</v>
      </c>
      <c r="T168" s="19" t="s">
        <v>32</v>
      </c>
      <c r="U168" s="19" t="s">
        <v>33</v>
      </c>
      <c r="V168" s="19" t="s">
        <v>34</v>
      </c>
      <c r="W168" s="19" t="s">
        <v>35</v>
      </c>
      <c r="X168" s="19" t="s">
        <v>36</v>
      </c>
      <c r="Y168" s="19" t="s">
        <v>37</v>
      </c>
      <c r="Z168" s="19" t="s">
        <v>38</v>
      </c>
      <c r="AA168" s="19" t="s">
        <v>39</v>
      </c>
      <c r="AB168" s="19" t="s">
        <v>40</v>
      </c>
      <c r="AC168" s="19" t="s">
        <v>41</v>
      </c>
      <c r="AD168" s="19" t="s">
        <v>42</v>
      </c>
      <c r="AE168" s="19" t="s">
        <v>43</v>
      </c>
      <c r="AF168" s="19" t="s">
        <v>44</v>
      </c>
      <c r="AG168" s="19" t="s">
        <v>45</v>
      </c>
      <c r="AH168" s="19" t="s">
        <v>46</v>
      </c>
      <c r="AI168" s="19"/>
      <c r="AJ168" s="19"/>
    </row>
    <row r="169" ht="30.0" customHeight="1">
      <c r="A169" s="50"/>
      <c r="B169" s="58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59"/>
      <c r="AI169" s="59"/>
      <c r="AJ169" s="59"/>
    </row>
    <row r="170" ht="30.0" customHeight="1">
      <c r="A170" s="50"/>
      <c r="B170" s="60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59"/>
      <c r="AI170" s="59"/>
      <c r="AJ170" s="59"/>
    </row>
    <row r="171" ht="30.0" customHeight="1">
      <c r="A171" s="50"/>
      <c r="B171" s="58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59"/>
      <c r="AI171" s="59"/>
      <c r="AJ171" s="59"/>
    </row>
    <row r="172" ht="30.0" customHeight="1">
      <c r="A172" s="50"/>
      <c r="B172" s="60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59"/>
      <c r="AI172" s="59"/>
      <c r="AJ172" s="59"/>
    </row>
    <row r="173" ht="30.0" customHeight="1">
      <c r="A173" s="50"/>
      <c r="B173" s="60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59"/>
      <c r="AI173" s="59"/>
      <c r="AJ173" s="59"/>
    </row>
    <row r="174" ht="30.0" customHeight="1">
      <c r="A174" s="50"/>
      <c r="B174" s="58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59"/>
      <c r="AI174" s="59"/>
      <c r="AJ174" s="59"/>
    </row>
    <row r="175" ht="30.0" customHeight="1">
      <c r="A175" s="50"/>
      <c r="B175" s="58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59"/>
      <c r="AI175" s="59"/>
      <c r="AJ175" s="59"/>
    </row>
    <row r="176" ht="30.0" customHeight="1">
      <c r="A176" s="50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59"/>
      <c r="AI176" s="59"/>
      <c r="AJ176" s="59"/>
    </row>
    <row r="177" ht="30.0" customHeight="1">
      <c r="A177" s="50"/>
      <c r="B177" s="62" t="str">
        <f>Julio!MonthName&amp;" Total"</f>
        <v>Enero Total</v>
      </c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5"/>
      <c r="AI177" s="65"/>
      <c r="AJ177" s="65"/>
    </row>
    <row r="178" ht="30.0" customHeight="1">
      <c r="B178" s="123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124"/>
      <c r="AI178" s="124"/>
      <c r="AJ178" s="124"/>
    </row>
    <row r="179" ht="30.0" customHeight="1">
      <c r="A179" s="50"/>
      <c r="B179" s="30" t="s">
        <v>12</v>
      </c>
      <c r="C179" s="27" t="s">
        <v>179</v>
      </c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39">
        <v>2026.0</v>
      </c>
      <c r="AI179" s="15"/>
      <c r="AJ179" s="15"/>
    </row>
    <row r="180" ht="30.0" customHeight="1">
      <c r="A180" s="50"/>
      <c r="B180" s="56"/>
      <c r="C180" s="16" t="str">
        <f>TEXT(WEEKDAY(DATE(Julio!CalendarioAño,1,1),1),"ddd")</f>
        <v>jue</v>
      </c>
      <c r="D180" s="16" t="str">
        <f>TEXT(WEEKDAY(DATE(Julio!CalendarioAño,1,2),1),"ddd")</f>
        <v>vie</v>
      </c>
      <c r="E180" s="16" t="str">
        <f>TEXT(WEEKDAY(DATE(Julio!CalendarioAño,1,3),1),"ddd")</f>
        <v>sáb</v>
      </c>
      <c r="F180" s="16" t="str">
        <f>TEXT(WEEKDAY(DATE(Julio!CalendarioAño,1,4),1),"ddd")</f>
        <v>dom</v>
      </c>
      <c r="G180" s="16" t="str">
        <f>TEXT(WEEKDAY(DATE(Julio!CalendarioAño,1,5),1),"ddd")</f>
        <v>lun</v>
      </c>
      <c r="H180" s="16" t="str">
        <f>TEXT(WEEKDAY(DATE(Julio!CalendarioAño,1,6),1),"ddd")</f>
        <v>mar</v>
      </c>
      <c r="I180" s="16" t="str">
        <f>TEXT(WEEKDAY(DATE(Julio!CalendarioAño,1,7),1),"ddd")</f>
        <v>mié</v>
      </c>
      <c r="J180" s="16" t="str">
        <f>TEXT(WEEKDAY(DATE(Julio!CalendarioAño,1,8),1),"ddd")</f>
        <v>jue</v>
      </c>
      <c r="K180" s="16" t="str">
        <f>TEXT(WEEKDAY(DATE(Julio!CalendarioAño,1,9),1),"ddd")</f>
        <v>vie</v>
      </c>
      <c r="L180" s="16" t="str">
        <f>TEXT(WEEKDAY(DATE(Julio!CalendarioAño,1,10),1),"ddd")</f>
        <v>sáb</v>
      </c>
      <c r="M180" s="16" t="str">
        <f>TEXT(WEEKDAY(DATE(Julio!CalendarioAño,1,11),1),"ddd")</f>
        <v>dom</v>
      </c>
      <c r="N180" s="16" t="str">
        <f>TEXT(WEEKDAY(DATE(Julio!CalendarioAño,1,12),1),"ddd")</f>
        <v>lun</v>
      </c>
      <c r="O180" s="16" t="str">
        <f>TEXT(WEEKDAY(DATE(Julio!CalendarioAño,1,13),1),"ddd")</f>
        <v>mar</v>
      </c>
      <c r="P180" s="16" t="str">
        <f>TEXT(WEEKDAY(DATE(Julio!CalendarioAño,1,14),1),"ddd")</f>
        <v>mié</v>
      </c>
      <c r="Q180" s="16" t="str">
        <f>TEXT(WEEKDAY(DATE(Julio!CalendarioAño,1,15),1),"ddd")</f>
        <v>jue</v>
      </c>
      <c r="R180" s="16" t="str">
        <f>TEXT(WEEKDAY(DATE(Julio!CalendarioAño,1,16),1),"ddd")</f>
        <v>vie</v>
      </c>
      <c r="S180" s="16" t="str">
        <f>TEXT(WEEKDAY(DATE(Julio!CalendarioAño,1,17),1),"ddd")</f>
        <v>sáb</v>
      </c>
      <c r="T180" s="16" t="str">
        <f>TEXT(WEEKDAY(DATE(Julio!CalendarioAño,1,18),1),"ddd")</f>
        <v>dom</v>
      </c>
      <c r="U180" s="16" t="str">
        <f>TEXT(WEEKDAY(DATE(Julio!CalendarioAño,1,19),1),"ddd")</f>
        <v>lun</v>
      </c>
      <c r="V180" s="16" t="str">
        <f>TEXT(WEEKDAY(DATE(Julio!CalendarioAño,1,20),1),"ddd")</f>
        <v>mar</v>
      </c>
      <c r="W180" s="16" t="str">
        <f>TEXT(WEEKDAY(DATE(Julio!CalendarioAño,1,21),1),"ddd")</f>
        <v>mié</v>
      </c>
      <c r="X180" s="16" t="str">
        <f>TEXT(WEEKDAY(DATE(Julio!CalendarioAño,1,22),1),"ddd")</f>
        <v>jue</v>
      </c>
      <c r="Y180" s="16" t="str">
        <f>TEXT(WEEKDAY(DATE(Julio!CalendarioAño,1,23),1),"ddd")</f>
        <v>vie</v>
      </c>
      <c r="Z180" s="16" t="str">
        <f>TEXT(WEEKDAY(DATE(Julio!CalendarioAño,1,24),1),"ddd")</f>
        <v>sáb</v>
      </c>
      <c r="AA180" s="16" t="str">
        <f>TEXT(WEEKDAY(DATE(Julio!CalendarioAño,1,25),1),"ddd")</f>
        <v>dom</v>
      </c>
      <c r="AB180" s="16" t="str">
        <f>TEXT(WEEKDAY(DATE(Julio!CalendarioAño,1,26),1),"ddd")</f>
        <v>lun</v>
      </c>
      <c r="AC180" s="16" t="str">
        <f>TEXT(WEEKDAY(DATE(Julio!CalendarioAño,1,27),1),"ddd")</f>
        <v>mar</v>
      </c>
      <c r="AD180" s="16" t="str">
        <f>TEXT(WEEKDAY(DATE(Julio!CalendarioAño,1,28),1),"ddd")</f>
        <v>mié</v>
      </c>
      <c r="AE180" s="16" t="str">
        <f>TEXT(WEEKDAY(DATE(Julio!CalendarioAño,1,29),1),"ddd")</f>
        <v>jue</v>
      </c>
      <c r="AF180" s="16" t="str">
        <f>TEXT(WEEKDAY(DATE(Julio!CalendarioAño,1,30),1),"ddd")</f>
        <v>vie</v>
      </c>
      <c r="AG180" s="16" t="str">
        <f>TEXT(WEEKDAY(DATE(Julio!CalendarioAño,1,31),1),"ddd")</f>
        <v>sáb</v>
      </c>
      <c r="AH180" s="57"/>
      <c r="AI180" s="119"/>
      <c r="AJ180" s="119"/>
    </row>
    <row r="181" ht="30.0" customHeight="1">
      <c r="A181" s="18"/>
      <c r="B181" s="31" t="s">
        <v>14</v>
      </c>
      <c r="C181" s="19" t="s">
        <v>15</v>
      </c>
      <c r="D181" s="19" t="s">
        <v>16</v>
      </c>
      <c r="E181" s="19" t="s">
        <v>17</v>
      </c>
      <c r="F181" s="19" t="s">
        <v>18</v>
      </c>
      <c r="G181" s="19" t="s">
        <v>19</v>
      </c>
      <c r="H181" s="19" t="s">
        <v>20</v>
      </c>
      <c r="I181" s="19" t="s">
        <v>21</v>
      </c>
      <c r="J181" s="19" t="s">
        <v>22</v>
      </c>
      <c r="K181" s="19" t="s">
        <v>23</v>
      </c>
      <c r="L181" s="19" t="s">
        <v>24</v>
      </c>
      <c r="M181" s="19" t="s">
        <v>25</v>
      </c>
      <c r="N181" s="19" t="s">
        <v>26</v>
      </c>
      <c r="O181" s="19" t="s">
        <v>27</v>
      </c>
      <c r="P181" s="19" t="s">
        <v>28</v>
      </c>
      <c r="Q181" s="19" t="s">
        <v>29</v>
      </c>
      <c r="R181" s="19" t="s">
        <v>30</v>
      </c>
      <c r="S181" s="19" t="s">
        <v>31</v>
      </c>
      <c r="T181" s="19" t="s">
        <v>32</v>
      </c>
      <c r="U181" s="19" t="s">
        <v>33</v>
      </c>
      <c r="V181" s="19" t="s">
        <v>34</v>
      </c>
      <c r="W181" s="19" t="s">
        <v>35</v>
      </c>
      <c r="X181" s="19" t="s">
        <v>36</v>
      </c>
      <c r="Y181" s="19" t="s">
        <v>37</v>
      </c>
      <c r="Z181" s="19" t="s">
        <v>38</v>
      </c>
      <c r="AA181" s="19" t="s">
        <v>39</v>
      </c>
      <c r="AB181" s="19" t="s">
        <v>40</v>
      </c>
      <c r="AC181" s="19" t="s">
        <v>41</v>
      </c>
      <c r="AD181" s="19" t="s">
        <v>42</v>
      </c>
      <c r="AE181" s="19" t="s">
        <v>43</v>
      </c>
      <c r="AF181" s="19" t="s">
        <v>44</v>
      </c>
      <c r="AG181" s="19" t="s">
        <v>45</v>
      </c>
      <c r="AH181" s="19" t="s">
        <v>46</v>
      </c>
      <c r="AI181" s="19"/>
      <c r="AJ181" s="19"/>
    </row>
    <row r="182" ht="30.0" customHeight="1">
      <c r="A182" s="50"/>
      <c r="B182" s="58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59"/>
      <c r="AI182" s="59"/>
      <c r="AJ182" s="59"/>
    </row>
    <row r="183" ht="30.0" customHeight="1">
      <c r="A183" s="50"/>
      <c r="B183" s="60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59"/>
      <c r="AI183" s="59"/>
      <c r="AJ183" s="59"/>
    </row>
    <row r="184" ht="30.0" customHeight="1">
      <c r="A184" s="50"/>
      <c r="B184" s="58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59"/>
      <c r="AI184" s="59"/>
      <c r="AJ184" s="59"/>
    </row>
    <row r="185" ht="30.0" customHeight="1">
      <c r="A185" s="50"/>
      <c r="B185" s="36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59"/>
      <c r="AI185" s="59"/>
      <c r="AJ185" s="59"/>
    </row>
    <row r="186" ht="30.0" customHeight="1">
      <c r="A186" s="50"/>
      <c r="B186" s="6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59"/>
      <c r="AI186" s="59"/>
      <c r="AJ186" s="59"/>
    </row>
    <row r="187" ht="30.0" customHeight="1">
      <c r="A187" s="50"/>
      <c r="B187" s="62"/>
      <c r="C187" s="63">
        <f>SUBTOTAL(103,Julio!$C$7)</f>
        <v>0</v>
      </c>
      <c r="D187" s="63">
        <f>SUBTOTAL(103,Julio!$D$7)</f>
        <v>0</v>
      </c>
      <c r="E187" s="63">
        <f>SUBTOTAL(103,Julio!$E$7)</f>
        <v>0</v>
      </c>
      <c r="F187" s="63"/>
      <c r="G187" s="63"/>
      <c r="H187" s="63">
        <f>SUBTOTAL(103,Julio!$H$7)</f>
        <v>0</v>
      </c>
      <c r="I187" s="63">
        <f>SUBTOTAL(103,Julio!$I$7)</f>
        <v>0</v>
      </c>
      <c r="J187" s="63">
        <f>SUBTOTAL(103,Julio!$J$7)</f>
        <v>0</v>
      </c>
      <c r="K187" s="63">
        <f>SUBTOTAL(103,Julio!$K$7)</f>
        <v>0</v>
      </c>
      <c r="L187" s="63">
        <f>SUBTOTAL(103,Julio!$L$7)</f>
        <v>0</v>
      </c>
      <c r="M187" s="63"/>
      <c r="N187" s="63">
        <f>SUBTOTAL(103,Julio!$N$7)</f>
        <v>0</v>
      </c>
      <c r="O187" s="63">
        <f>SUBTOTAL(103,Julio!$O$7)</f>
        <v>0</v>
      </c>
      <c r="P187" s="63">
        <f>SUBTOTAL(103,Julio!$P$7)</f>
        <v>0</v>
      </c>
      <c r="Q187" s="63">
        <f>SUBTOTAL(103,Julio!$Q$7)</f>
        <v>0</v>
      </c>
      <c r="R187" s="63">
        <f>SUBTOTAL(103,Julio!$R$7)</f>
        <v>0</v>
      </c>
      <c r="S187" s="63">
        <f>SUBTOTAL(103,Julio!$S$7)</f>
        <v>0</v>
      </c>
      <c r="T187" s="63">
        <f>SUBTOTAL(103,Julio!$T$7)</f>
        <v>0</v>
      </c>
      <c r="U187" s="63">
        <f>SUBTOTAL(103,Julio!$U$7)</f>
        <v>0</v>
      </c>
      <c r="V187" s="63"/>
      <c r="W187" s="63">
        <f>SUBTOTAL(103,Julio!$W$7)</f>
        <v>0</v>
      </c>
      <c r="X187" s="63">
        <f>SUBTOTAL(103,Julio!$X$7)</f>
        <v>0</v>
      </c>
      <c r="Y187" s="63">
        <f>SUBTOTAL(103,Julio!$Y$7)</f>
        <v>0</v>
      </c>
      <c r="Z187" s="63">
        <f>SUBTOTAL(103,Julio!$Z$7)</f>
        <v>0</v>
      </c>
      <c r="AA187" s="63">
        <f>SUBTOTAL(103,Julio!$AA$7)</f>
        <v>0</v>
      </c>
      <c r="AB187" s="63">
        <f>SUBTOTAL(103,Julio!$AB$7)</f>
        <v>0</v>
      </c>
      <c r="AC187" s="63">
        <f>SUBTOTAL(103,Julio!$AC$7)</f>
        <v>0</v>
      </c>
      <c r="AD187" s="63">
        <f>SUBTOTAL(103,Julio!$AD$7)</f>
        <v>0</v>
      </c>
      <c r="AE187" s="63">
        <f>SUBTOTAL(103,Julio!$AE$7)</f>
        <v>0</v>
      </c>
      <c r="AF187" s="63">
        <f>SUBTOTAL(103,Julio!$AF$7)</f>
        <v>0</v>
      </c>
      <c r="AG187" s="63">
        <f>SUBTOTAL(103,Julio!$AG$7)</f>
        <v>0</v>
      </c>
      <c r="AH187" s="65"/>
      <c r="AI187" s="65"/>
      <c r="AJ187" s="65"/>
    </row>
    <row r="188" ht="30.0" customHeight="1">
      <c r="AH188" s="5"/>
      <c r="AI188" s="5"/>
      <c r="AJ188" s="5"/>
    </row>
    <row r="189" ht="30.0" customHeight="1">
      <c r="A189" s="50"/>
      <c r="B189" s="30" t="s">
        <v>12</v>
      </c>
      <c r="C189" s="27" t="s">
        <v>183</v>
      </c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39">
        <v>2026.0</v>
      </c>
      <c r="AI189" s="15"/>
      <c r="AJ189" s="15"/>
    </row>
    <row r="190" ht="30.0" customHeight="1">
      <c r="A190" s="50"/>
      <c r="B190" s="56"/>
      <c r="C190" s="16" t="str">
        <f>TEXT(WEEKDAY(DATE(Julio!CalendarioAño,1,1),1),"ddd")</f>
        <v>jue</v>
      </c>
      <c r="D190" s="16" t="str">
        <f>TEXT(WEEKDAY(DATE(Julio!CalendarioAño,1,2),1),"ddd")</f>
        <v>vie</v>
      </c>
      <c r="E190" s="16" t="str">
        <f>TEXT(WEEKDAY(DATE(Julio!CalendarioAño,1,3),1),"ddd")</f>
        <v>sáb</v>
      </c>
      <c r="F190" s="16" t="str">
        <f>TEXT(WEEKDAY(DATE(Julio!CalendarioAño,1,4),1),"ddd")</f>
        <v>dom</v>
      </c>
      <c r="G190" s="16" t="str">
        <f>TEXT(WEEKDAY(DATE(Julio!CalendarioAño,1,5),1),"ddd")</f>
        <v>lun</v>
      </c>
      <c r="H190" s="16" t="str">
        <f>TEXT(WEEKDAY(DATE(Julio!CalendarioAño,1,6),1),"ddd")</f>
        <v>mar</v>
      </c>
      <c r="I190" s="16" t="str">
        <f>TEXT(WEEKDAY(DATE(Julio!CalendarioAño,1,7),1),"ddd")</f>
        <v>mié</v>
      </c>
      <c r="J190" s="16" t="str">
        <f>TEXT(WEEKDAY(DATE(Julio!CalendarioAño,1,8),1),"ddd")</f>
        <v>jue</v>
      </c>
      <c r="K190" s="16" t="str">
        <f>TEXT(WEEKDAY(DATE(Julio!CalendarioAño,1,9),1),"ddd")</f>
        <v>vie</v>
      </c>
      <c r="L190" s="16" t="str">
        <f>TEXT(WEEKDAY(DATE(Julio!CalendarioAño,1,10),1),"ddd")</f>
        <v>sáb</v>
      </c>
      <c r="M190" s="16" t="str">
        <f>TEXT(WEEKDAY(DATE(Julio!CalendarioAño,1,11),1),"ddd")</f>
        <v>dom</v>
      </c>
      <c r="N190" s="16" t="str">
        <f>TEXT(WEEKDAY(DATE(Julio!CalendarioAño,1,12),1),"ddd")</f>
        <v>lun</v>
      </c>
      <c r="O190" s="16" t="str">
        <f>TEXT(WEEKDAY(DATE(Julio!CalendarioAño,1,13),1),"ddd")</f>
        <v>mar</v>
      </c>
      <c r="P190" s="16" t="str">
        <f>TEXT(WEEKDAY(DATE(Julio!CalendarioAño,1,14),1),"ddd")</f>
        <v>mié</v>
      </c>
      <c r="Q190" s="16" t="str">
        <f>TEXT(WEEKDAY(DATE(Julio!CalendarioAño,1,15),1),"ddd")</f>
        <v>jue</v>
      </c>
      <c r="R190" s="16" t="str">
        <f>TEXT(WEEKDAY(DATE(Julio!CalendarioAño,1,16),1),"ddd")</f>
        <v>vie</v>
      </c>
      <c r="S190" s="16" t="str">
        <f>TEXT(WEEKDAY(DATE(Julio!CalendarioAño,1,17),1),"ddd")</f>
        <v>sáb</v>
      </c>
      <c r="T190" s="16" t="str">
        <f>TEXT(WEEKDAY(DATE(Julio!CalendarioAño,1,18),1),"ddd")</f>
        <v>dom</v>
      </c>
      <c r="U190" s="16" t="str">
        <f>TEXT(WEEKDAY(DATE(Julio!CalendarioAño,1,19),1),"ddd")</f>
        <v>lun</v>
      </c>
      <c r="V190" s="16" t="str">
        <f>TEXT(WEEKDAY(DATE(Julio!CalendarioAño,1,20),1),"ddd")</f>
        <v>mar</v>
      </c>
      <c r="W190" s="16" t="str">
        <f>TEXT(WEEKDAY(DATE(Julio!CalendarioAño,1,21),1),"ddd")</f>
        <v>mié</v>
      </c>
      <c r="X190" s="16" t="str">
        <f>TEXT(WEEKDAY(DATE(Julio!CalendarioAño,1,22),1),"ddd")</f>
        <v>jue</v>
      </c>
      <c r="Y190" s="16" t="str">
        <f>TEXT(WEEKDAY(DATE(Julio!CalendarioAño,1,23),1),"ddd")</f>
        <v>vie</v>
      </c>
      <c r="Z190" s="16" t="str">
        <f>TEXT(WEEKDAY(DATE(Julio!CalendarioAño,1,24),1),"ddd")</f>
        <v>sáb</v>
      </c>
      <c r="AA190" s="16" t="str">
        <f>TEXT(WEEKDAY(DATE(Julio!CalendarioAño,1,25),1),"ddd")</f>
        <v>dom</v>
      </c>
      <c r="AB190" s="16" t="str">
        <f>TEXT(WEEKDAY(DATE(Julio!CalendarioAño,1,26),1),"ddd")</f>
        <v>lun</v>
      </c>
      <c r="AC190" s="16" t="str">
        <f>TEXT(WEEKDAY(DATE(Julio!CalendarioAño,1,27),1),"ddd")</f>
        <v>mar</v>
      </c>
      <c r="AD190" s="16" t="str">
        <f>TEXT(WEEKDAY(DATE(Julio!CalendarioAño,1,28),1),"ddd")</f>
        <v>mié</v>
      </c>
      <c r="AE190" s="16" t="str">
        <f>TEXT(WEEKDAY(DATE(Julio!CalendarioAño,1,29),1),"ddd")</f>
        <v>jue</v>
      </c>
      <c r="AF190" s="16" t="str">
        <f>TEXT(WEEKDAY(DATE(Julio!CalendarioAño,1,30),1),"ddd")</f>
        <v>vie</v>
      </c>
      <c r="AG190" s="16" t="str">
        <f>TEXT(WEEKDAY(DATE(Julio!CalendarioAño,1,31),1),"ddd")</f>
        <v>sáb</v>
      </c>
      <c r="AH190" s="57"/>
      <c r="AI190" s="119"/>
      <c r="AJ190" s="119"/>
    </row>
    <row r="191" ht="30.0" customHeight="1">
      <c r="A191" s="18"/>
      <c r="B191" s="66" t="s">
        <v>14</v>
      </c>
      <c r="C191" s="19" t="s">
        <v>15</v>
      </c>
      <c r="D191" s="19" t="s">
        <v>16</v>
      </c>
      <c r="E191" s="19" t="s">
        <v>17</v>
      </c>
      <c r="F191" s="19" t="s">
        <v>18</v>
      </c>
      <c r="G191" s="19" t="s">
        <v>19</v>
      </c>
      <c r="H191" s="19" t="s">
        <v>20</v>
      </c>
      <c r="I191" s="19" t="s">
        <v>21</v>
      </c>
      <c r="J191" s="19" t="s">
        <v>22</v>
      </c>
      <c r="K191" s="19" t="s">
        <v>23</v>
      </c>
      <c r="L191" s="19" t="s">
        <v>24</v>
      </c>
      <c r="M191" s="19" t="s">
        <v>25</v>
      </c>
      <c r="N191" s="19" t="s">
        <v>26</v>
      </c>
      <c r="O191" s="19" t="s">
        <v>27</v>
      </c>
      <c r="P191" s="19" t="s">
        <v>28</v>
      </c>
      <c r="Q191" s="19" t="s">
        <v>29</v>
      </c>
      <c r="R191" s="19" t="s">
        <v>30</v>
      </c>
      <c r="S191" s="19" t="s">
        <v>31</v>
      </c>
      <c r="T191" s="19" t="s">
        <v>32</v>
      </c>
      <c r="U191" s="19" t="s">
        <v>33</v>
      </c>
      <c r="V191" s="19" t="s">
        <v>34</v>
      </c>
      <c r="W191" s="19" t="s">
        <v>35</v>
      </c>
      <c r="X191" s="19" t="s">
        <v>36</v>
      </c>
      <c r="Y191" s="19" t="s">
        <v>37</v>
      </c>
      <c r="Z191" s="19" t="s">
        <v>38</v>
      </c>
      <c r="AA191" s="19" t="s">
        <v>39</v>
      </c>
      <c r="AB191" s="19" t="s">
        <v>40</v>
      </c>
      <c r="AC191" s="19" t="s">
        <v>41</v>
      </c>
      <c r="AD191" s="19" t="s">
        <v>42</v>
      </c>
      <c r="AE191" s="19" t="s">
        <v>43</v>
      </c>
      <c r="AF191" s="19" t="s">
        <v>44</v>
      </c>
      <c r="AG191" s="19" t="s">
        <v>45</v>
      </c>
      <c r="AH191" s="19" t="s">
        <v>46</v>
      </c>
      <c r="AI191" s="19"/>
      <c r="AJ191" s="19"/>
    </row>
    <row r="192" ht="30.0" customHeight="1">
      <c r="A192" s="50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59"/>
      <c r="AI192" s="59"/>
      <c r="AJ192" s="59"/>
    </row>
    <row r="193" ht="30.0" customHeight="1">
      <c r="A193" s="50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7"/>
      <c r="AI193" s="67"/>
      <c r="AJ193" s="67"/>
    </row>
    <row r="194" ht="30.0" customHeight="1">
      <c r="A194" s="50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59"/>
      <c r="AI194" s="59"/>
      <c r="AJ194" s="59"/>
    </row>
    <row r="195" ht="30.0" customHeight="1">
      <c r="A195" s="50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7"/>
      <c r="AI195" s="67"/>
      <c r="AJ195" s="67"/>
    </row>
    <row r="196" ht="30.0" customHeight="1">
      <c r="A196" s="50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59"/>
      <c r="AI196" s="59"/>
      <c r="AJ196" s="59"/>
    </row>
    <row r="197" ht="30.0" customHeight="1">
      <c r="A197" s="50"/>
      <c r="B197" s="62" t="str">
        <f>Julio!MonthName&amp;" Total"</f>
        <v>Enero Total</v>
      </c>
      <c r="C197" s="63">
        <f>SUBTOTAL(103,Julio!$C$7)</f>
        <v>0</v>
      </c>
      <c r="D197" s="63">
        <f>SUBTOTAL(103,Julio!$D$7)</f>
        <v>0</v>
      </c>
      <c r="E197" s="63">
        <f>SUBTOTAL(103,Julio!$E$7)</f>
        <v>0</v>
      </c>
      <c r="F197" s="63"/>
      <c r="G197" s="63"/>
      <c r="H197" s="63">
        <f>SUBTOTAL(103,Julio!$H$7)</f>
        <v>0</v>
      </c>
      <c r="I197" s="63">
        <f>SUBTOTAL(103,Julio!$I$7)</f>
        <v>0</v>
      </c>
      <c r="J197" s="63">
        <f>SUBTOTAL(103,Julio!$J$7)</f>
        <v>0</v>
      </c>
      <c r="K197" s="63">
        <f>SUBTOTAL(103,Julio!$K$7)</f>
        <v>0</v>
      </c>
      <c r="L197" s="63">
        <f>SUBTOTAL(103,Julio!$L$7)</f>
        <v>0</v>
      </c>
      <c r="M197" s="63"/>
      <c r="N197" s="63">
        <f>SUBTOTAL(103,Julio!$N$7)</f>
        <v>0</v>
      </c>
      <c r="O197" s="63">
        <f>SUBTOTAL(103,Julio!$O$7)</f>
        <v>0</v>
      </c>
      <c r="P197" s="63">
        <f>SUBTOTAL(103,Julio!$P$7)</f>
        <v>0</v>
      </c>
      <c r="Q197" s="63">
        <f>SUBTOTAL(103,Julio!$Q$7)</f>
        <v>0</v>
      </c>
      <c r="R197" s="63">
        <f>SUBTOTAL(103,Julio!$R$7)</f>
        <v>0</v>
      </c>
      <c r="S197" s="63">
        <f>SUBTOTAL(103,Julio!$S$7)</f>
        <v>0</v>
      </c>
      <c r="T197" s="63">
        <f>SUBTOTAL(103,Julio!$T$7)</f>
        <v>0</v>
      </c>
      <c r="U197" s="63">
        <f>SUBTOTAL(103,Julio!$U$7)</f>
        <v>0</v>
      </c>
      <c r="V197" s="63"/>
      <c r="W197" s="63">
        <f>SUBTOTAL(103,Julio!$W$7)</f>
        <v>0</v>
      </c>
      <c r="X197" s="63">
        <f>SUBTOTAL(103,Julio!$X$7)</f>
        <v>0</v>
      </c>
      <c r="Y197" s="63">
        <f>SUBTOTAL(103,Julio!$Y$7)</f>
        <v>0</v>
      </c>
      <c r="Z197" s="63">
        <f>SUBTOTAL(103,Julio!$Z$7)</f>
        <v>0</v>
      </c>
      <c r="AA197" s="63">
        <f>SUBTOTAL(103,Julio!$AA$7)</f>
        <v>0</v>
      </c>
      <c r="AB197" s="63">
        <f>SUBTOTAL(103,Julio!$AB$7)</f>
        <v>0</v>
      </c>
      <c r="AC197" s="63">
        <f>SUBTOTAL(103,Julio!$AC$7)</f>
        <v>0</v>
      </c>
      <c r="AD197" s="63">
        <f>SUBTOTAL(103,Julio!$AD$7)</f>
        <v>0</v>
      </c>
      <c r="AE197" s="63">
        <f>SUBTOTAL(103,Julio!$AE$7)</f>
        <v>0</v>
      </c>
      <c r="AF197" s="63">
        <f>SUBTOTAL(103,Julio!$AF$7)</f>
        <v>0</v>
      </c>
      <c r="AG197" s="63">
        <f>SUBTOTAL(103,Julio!$AG$7)</f>
        <v>0</v>
      </c>
      <c r="AH197" s="65">
        <f>SUM(C197:AG197)</f>
        <v>0</v>
      </c>
      <c r="AI197" s="65"/>
      <c r="AJ197" s="65"/>
    </row>
    <row r="198" ht="30.0" customHeight="1">
      <c r="AH198" s="5"/>
      <c r="AI198" s="5"/>
      <c r="AJ198" s="5"/>
    </row>
    <row r="199" ht="30.0" customHeight="1">
      <c r="AH199" s="5"/>
      <c r="AI199" s="5"/>
      <c r="AJ199" s="5"/>
    </row>
    <row r="200" ht="30.0" customHeight="1">
      <c r="AH200" s="5"/>
      <c r="AI200" s="5"/>
      <c r="AJ200" s="5"/>
    </row>
    <row r="201" ht="30.0" customHeight="1">
      <c r="AH201" s="5"/>
      <c r="AI201" s="5"/>
      <c r="AJ201" s="5"/>
    </row>
    <row r="202" ht="30.0" customHeight="1">
      <c r="AH202" s="5"/>
      <c r="AI202" s="5"/>
      <c r="AJ202" s="5"/>
    </row>
    <row r="203" ht="30.0" customHeight="1">
      <c r="AH203" s="5"/>
      <c r="AI203" s="5"/>
      <c r="AJ203" s="5"/>
    </row>
    <row r="204" ht="30.0" customHeight="1">
      <c r="AH204" s="5"/>
      <c r="AI204" s="5"/>
      <c r="AJ204" s="5"/>
    </row>
    <row r="205" ht="30.0" customHeight="1">
      <c r="AH205" s="5"/>
      <c r="AI205" s="5"/>
      <c r="AJ205" s="5"/>
    </row>
    <row r="206" ht="30.0" customHeight="1">
      <c r="AH206" s="5"/>
      <c r="AI206" s="5"/>
      <c r="AJ206" s="5"/>
    </row>
    <row r="207" ht="30.0" customHeight="1">
      <c r="AH207" s="5"/>
      <c r="AI207" s="5"/>
      <c r="AJ207" s="5"/>
    </row>
    <row r="208" ht="30.0" customHeight="1">
      <c r="AH208" s="5"/>
      <c r="AI208" s="5"/>
      <c r="AJ208" s="5"/>
    </row>
    <row r="209" ht="30.0" customHeight="1">
      <c r="AH209" s="5"/>
      <c r="AI209" s="5"/>
      <c r="AJ209" s="5"/>
    </row>
    <row r="210" ht="30.0" customHeight="1">
      <c r="AH210" s="5"/>
      <c r="AI210" s="5"/>
      <c r="AJ210" s="5"/>
    </row>
    <row r="211" ht="30.0" customHeight="1">
      <c r="AH211" s="5"/>
      <c r="AI211" s="5"/>
      <c r="AJ211" s="5"/>
    </row>
    <row r="212" ht="30.0" customHeight="1">
      <c r="AH212" s="5"/>
      <c r="AI212" s="5"/>
      <c r="AJ212" s="5"/>
    </row>
    <row r="213" ht="30.0" customHeight="1">
      <c r="AH213" s="5"/>
      <c r="AI213" s="5"/>
      <c r="AJ213" s="5"/>
    </row>
    <row r="214" ht="30.0" customHeight="1">
      <c r="AH214" s="5"/>
      <c r="AI214" s="5"/>
      <c r="AJ214" s="5"/>
    </row>
    <row r="215" ht="30.0" customHeight="1">
      <c r="AH215" s="5"/>
      <c r="AI215" s="5"/>
      <c r="AJ215" s="5"/>
    </row>
    <row r="216" ht="30.0" customHeight="1">
      <c r="AH216" s="5"/>
      <c r="AI216" s="5"/>
      <c r="AJ216" s="5"/>
    </row>
    <row r="217" ht="30.0" customHeight="1">
      <c r="AH217" s="5"/>
      <c r="AI217" s="5"/>
      <c r="AJ217" s="5"/>
    </row>
    <row r="218" ht="30.0" customHeight="1">
      <c r="AH218" s="5"/>
      <c r="AI218" s="5"/>
      <c r="AJ218" s="5"/>
    </row>
    <row r="219" ht="30.0" customHeight="1">
      <c r="AH219" s="5"/>
      <c r="AI219" s="5"/>
      <c r="AJ219" s="5"/>
    </row>
    <row r="220" ht="30.0" customHeight="1">
      <c r="AH220" s="5"/>
      <c r="AI220" s="5"/>
      <c r="AJ220" s="5"/>
    </row>
    <row r="221" ht="30.0" customHeight="1">
      <c r="AH221" s="5"/>
      <c r="AI221" s="5"/>
      <c r="AJ221" s="5"/>
    </row>
    <row r="222" ht="30.0" customHeight="1">
      <c r="AH222" s="5"/>
      <c r="AI222" s="5"/>
      <c r="AJ222" s="5"/>
    </row>
    <row r="223" ht="30.0" customHeight="1">
      <c r="AH223" s="5"/>
      <c r="AI223" s="5"/>
      <c r="AJ223" s="5"/>
    </row>
    <row r="224" ht="30.0" customHeight="1">
      <c r="AH224" s="5"/>
      <c r="AI224" s="5"/>
      <c r="AJ224" s="5"/>
    </row>
    <row r="225" ht="30.0" customHeight="1">
      <c r="AH225" s="5"/>
      <c r="AI225" s="5"/>
      <c r="AJ225" s="5"/>
    </row>
    <row r="226" ht="30.0" customHeight="1">
      <c r="AH226" s="5"/>
      <c r="AI226" s="5"/>
      <c r="AJ226" s="5"/>
    </row>
    <row r="227" ht="30.0" customHeight="1">
      <c r="AH227" s="5"/>
      <c r="AI227" s="5"/>
      <c r="AJ227" s="5"/>
    </row>
    <row r="228" ht="30.0" customHeight="1">
      <c r="AH228" s="5"/>
      <c r="AI228" s="5"/>
      <c r="AJ228" s="5"/>
    </row>
    <row r="229" ht="30.0" customHeight="1">
      <c r="AH229" s="5"/>
      <c r="AI229" s="5"/>
      <c r="AJ229" s="5"/>
    </row>
    <row r="230" ht="30.0" customHeight="1">
      <c r="AH230" s="5"/>
      <c r="AI230" s="5"/>
      <c r="AJ230" s="5"/>
    </row>
    <row r="231" ht="30.0" customHeight="1">
      <c r="AH231" s="5"/>
      <c r="AI231" s="5"/>
      <c r="AJ231" s="5"/>
    </row>
    <row r="232" ht="30.0" customHeight="1">
      <c r="AH232" s="5"/>
      <c r="AI232" s="5"/>
      <c r="AJ232" s="5"/>
    </row>
    <row r="233" ht="30.0" customHeight="1">
      <c r="AH233" s="5"/>
      <c r="AI233" s="5"/>
      <c r="AJ233" s="5"/>
    </row>
    <row r="234" ht="30.0" customHeight="1">
      <c r="AH234" s="5"/>
      <c r="AI234" s="5"/>
      <c r="AJ234" s="5"/>
    </row>
    <row r="235" ht="30.0" customHeight="1">
      <c r="AH235" s="5"/>
      <c r="AI235" s="5"/>
      <c r="AJ235" s="5"/>
    </row>
    <row r="236" ht="30.0" customHeight="1">
      <c r="AH236" s="5"/>
      <c r="AI236" s="5"/>
      <c r="AJ236" s="5"/>
    </row>
    <row r="237" ht="30.0" customHeight="1">
      <c r="AH237" s="5"/>
      <c r="AI237" s="5"/>
      <c r="AJ237" s="5"/>
    </row>
    <row r="238" ht="30.0" customHeight="1">
      <c r="AH238" s="5"/>
      <c r="AI238" s="5"/>
      <c r="AJ238" s="5"/>
    </row>
    <row r="239" ht="30.0" customHeight="1">
      <c r="AH239" s="5"/>
      <c r="AI239" s="5"/>
      <c r="AJ239" s="5"/>
    </row>
    <row r="240" ht="30.0" customHeight="1">
      <c r="AH240" s="5"/>
      <c r="AI240" s="5"/>
      <c r="AJ240" s="5"/>
    </row>
    <row r="241" ht="30.0" customHeight="1">
      <c r="AH241" s="5"/>
      <c r="AI241" s="5"/>
      <c r="AJ241" s="5"/>
    </row>
    <row r="242" ht="30.0" customHeight="1">
      <c r="AH242" s="5"/>
      <c r="AI242" s="5"/>
      <c r="AJ242" s="5"/>
    </row>
    <row r="243" ht="30.0" customHeight="1">
      <c r="AH243" s="5"/>
      <c r="AI243" s="5"/>
      <c r="AJ243" s="5"/>
    </row>
    <row r="244" ht="30.0" customHeight="1">
      <c r="AH244" s="5"/>
      <c r="AI244" s="5"/>
      <c r="AJ244" s="5"/>
    </row>
    <row r="245" ht="30.0" customHeight="1">
      <c r="AH245" s="5"/>
      <c r="AI245" s="5"/>
      <c r="AJ245" s="5"/>
    </row>
    <row r="246" ht="30.0" customHeight="1">
      <c r="AH246" s="5"/>
      <c r="AI246" s="5"/>
      <c r="AJ246" s="5"/>
    </row>
    <row r="247" ht="30.0" customHeight="1">
      <c r="AH247" s="5"/>
      <c r="AI247" s="5"/>
      <c r="AJ247" s="5"/>
    </row>
    <row r="248" ht="30.0" customHeight="1">
      <c r="AH248" s="5"/>
      <c r="AI248" s="5"/>
      <c r="AJ248" s="5"/>
    </row>
    <row r="249" ht="30.0" customHeight="1">
      <c r="AH249" s="5"/>
      <c r="AI249" s="5"/>
      <c r="AJ249" s="5"/>
    </row>
    <row r="250" ht="30.0" customHeight="1">
      <c r="AH250" s="5"/>
      <c r="AI250" s="5"/>
      <c r="AJ250" s="5"/>
    </row>
    <row r="251" ht="30.0" customHeight="1">
      <c r="AH251" s="5"/>
      <c r="AI251" s="5"/>
      <c r="AJ251" s="5"/>
    </row>
    <row r="252" ht="30.0" customHeight="1">
      <c r="AH252" s="5"/>
      <c r="AI252" s="5"/>
      <c r="AJ252" s="5"/>
    </row>
    <row r="253" ht="30.0" customHeight="1">
      <c r="AH253" s="5"/>
      <c r="AI253" s="5"/>
      <c r="AJ253" s="5"/>
    </row>
    <row r="254" ht="30.0" customHeight="1">
      <c r="AH254" s="5"/>
      <c r="AI254" s="5"/>
      <c r="AJ254" s="5"/>
    </row>
    <row r="255" ht="30.0" customHeight="1">
      <c r="AH255" s="5"/>
      <c r="AI255" s="5"/>
      <c r="AJ255" s="5"/>
    </row>
    <row r="256" ht="30.0" customHeight="1">
      <c r="AH256" s="5"/>
      <c r="AI256" s="5"/>
      <c r="AJ256" s="5"/>
    </row>
    <row r="257" ht="30.0" customHeight="1">
      <c r="AH257" s="5"/>
      <c r="AI257" s="5"/>
      <c r="AJ257" s="5"/>
    </row>
    <row r="258" ht="30.0" customHeight="1">
      <c r="AH258" s="5"/>
      <c r="AI258" s="5"/>
      <c r="AJ258" s="5"/>
    </row>
    <row r="259" ht="30.0" customHeight="1">
      <c r="AH259" s="5"/>
      <c r="AI259" s="5"/>
      <c r="AJ259" s="5"/>
    </row>
    <row r="260" ht="30.0" customHeight="1">
      <c r="AH260" s="5"/>
      <c r="AI260" s="5"/>
      <c r="AJ260" s="5"/>
    </row>
    <row r="261" ht="30.0" customHeight="1">
      <c r="AH261" s="5"/>
      <c r="AI261" s="5"/>
      <c r="AJ261" s="5"/>
    </row>
    <row r="262" ht="30.0" customHeight="1">
      <c r="AH262" s="5"/>
      <c r="AI262" s="5"/>
      <c r="AJ262" s="5"/>
    </row>
    <row r="263" ht="30.0" customHeight="1">
      <c r="AH263" s="5"/>
      <c r="AI263" s="5"/>
      <c r="AJ263" s="5"/>
    </row>
    <row r="264" ht="30.0" customHeight="1">
      <c r="AH264" s="5"/>
      <c r="AI264" s="5"/>
      <c r="AJ264" s="5"/>
    </row>
    <row r="265" ht="30.0" customHeight="1">
      <c r="AH265" s="5"/>
      <c r="AI265" s="5"/>
      <c r="AJ265" s="5"/>
    </row>
    <row r="266" ht="30.0" customHeight="1">
      <c r="AH266" s="5"/>
      <c r="AI266" s="5"/>
      <c r="AJ266" s="5"/>
    </row>
    <row r="267" ht="30.0" customHeight="1">
      <c r="AH267" s="5"/>
      <c r="AI267" s="5"/>
      <c r="AJ267" s="5"/>
    </row>
    <row r="268" ht="30.0" customHeight="1">
      <c r="AH268" s="5"/>
      <c r="AI268" s="5"/>
      <c r="AJ268" s="5"/>
    </row>
    <row r="269" ht="30.0" customHeight="1">
      <c r="AH269" s="5"/>
      <c r="AI269" s="5"/>
      <c r="AJ269" s="5"/>
    </row>
    <row r="270" ht="30.0" customHeight="1">
      <c r="AH270" s="5"/>
      <c r="AI270" s="5"/>
      <c r="AJ270" s="5"/>
    </row>
    <row r="271" ht="30.0" customHeight="1">
      <c r="AH271" s="5"/>
      <c r="AI271" s="5"/>
      <c r="AJ271" s="5"/>
    </row>
    <row r="272" ht="30.0" customHeight="1">
      <c r="AH272" s="5"/>
      <c r="AI272" s="5"/>
      <c r="AJ272" s="5"/>
    </row>
    <row r="273" ht="30.0" customHeight="1">
      <c r="AH273" s="5"/>
      <c r="AI273" s="5"/>
      <c r="AJ273" s="5"/>
    </row>
    <row r="274" ht="30.0" customHeight="1">
      <c r="AH274" s="5"/>
      <c r="AI274" s="5"/>
      <c r="AJ274" s="5"/>
    </row>
    <row r="275" ht="30.0" customHeight="1">
      <c r="AH275" s="5"/>
      <c r="AI275" s="5"/>
      <c r="AJ275" s="5"/>
    </row>
    <row r="276" ht="30.0" customHeight="1">
      <c r="AH276" s="5"/>
      <c r="AI276" s="5"/>
      <c r="AJ276" s="5"/>
    </row>
    <row r="277" ht="30.0" customHeight="1">
      <c r="AH277" s="5"/>
      <c r="AI277" s="5"/>
      <c r="AJ277" s="5"/>
    </row>
    <row r="278" ht="30.0" customHeight="1">
      <c r="AH278" s="5"/>
      <c r="AI278" s="5"/>
      <c r="AJ278" s="5"/>
    </row>
    <row r="279" ht="30.0" customHeight="1">
      <c r="AH279" s="5"/>
      <c r="AI279" s="5"/>
      <c r="AJ279" s="5"/>
    </row>
    <row r="280" ht="30.0" customHeight="1">
      <c r="AH280" s="5"/>
      <c r="AI280" s="5"/>
      <c r="AJ280" s="5"/>
    </row>
    <row r="281" ht="30.0" customHeight="1">
      <c r="AH281" s="5"/>
      <c r="AI281" s="5"/>
      <c r="AJ281" s="5"/>
    </row>
    <row r="282" ht="30.0" customHeight="1">
      <c r="AH282" s="5"/>
      <c r="AI282" s="5"/>
      <c r="AJ282" s="5"/>
    </row>
    <row r="283" ht="30.0" customHeight="1">
      <c r="AH283" s="5"/>
      <c r="AI283" s="5"/>
      <c r="AJ283" s="5"/>
    </row>
    <row r="284" ht="30.0" customHeight="1">
      <c r="AH284" s="5"/>
      <c r="AI284" s="5"/>
      <c r="AJ284" s="5"/>
    </row>
    <row r="285" ht="30.0" customHeight="1">
      <c r="AH285" s="5"/>
      <c r="AI285" s="5"/>
      <c r="AJ285" s="5"/>
    </row>
    <row r="286" ht="30.0" customHeight="1">
      <c r="AH286" s="5"/>
      <c r="AI286" s="5"/>
      <c r="AJ286" s="5"/>
    </row>
    <row r="287" ht="30.0" customHeight="1">
      <c r="AH287" s="5"/>
      <c r="AI287" s="5"/>
      <c r="AJ287" s="5"/>
    </row>
    <row r="288" ht="30.0" customHeight="1">
      <c r="AH288" s="5"/>
      <c r="AI288" s="5"/>
      <c r="AJ288" s="5"/>
    </row>
    <row r="289" ht="30.0" customHeight="1">
      <c r="AH289" s="5"/>
      <c r="AI289" s="5"/>
      <c r="AJ289" s="5"/>
    </row>
    <row r="290" ht="30.0" customHeight="1">
      <c r="AH290" s="5"/>
      <c r="AI290" s="5"/>
      <c r="AJ290" s="5"/>
    </row>
    <row r="291" ht="30.0" customHeight="1">
      <c r="AH291" s="5"/>
      <c r="AI291" s="5"/>
      <c r="AJ291" s="5"/>
    </row>
    <row r="292" ht="30.0" customHeight="1">
      <c r="AH292" s="5"/>
      <c r="AI292" s="5"/>
      <c r="AJ292" s="5"/>
    </row>
    <row r="293" ht="30.0" customHeight="1">
      <c r="AH293" s="5"/>
      <c r="AI293" s="5"/>
      <c r="AJ293" s="5"/>
    </row>
    <row r="294" ht="30.0" customHeight="1">
      <c r="AH294" s="5"/>
      <c r="AI294" s="5"/>
      <c r="AJ294" s="5"/>
    </row>
    <row r="295" ht="30.0" customHeight="1">
      <c r="AH295" s="5"/>
      <c r="AI295" s="5"/>
      <c r="AJ295" s="5"/>
    </row>
    <row r="296" ht="30.0" customHeight="1">
      <c r="AH296" s="5"/>
      <c r="AI296" s="5"/>
      <c r="AJ296" s="5"/>
    </row>
    <row r="297" ht="30.0" customHeight="1">
      <c r="AH297" s="5"/>
      <c r="AI297" s="5"/>
      <c r="AJ297" s="5"/>
    </row>
    <row r="298" ht="30.0" customHeight="1">
      <c r="AH298" s="5"/>
      <c r="AI298" s="5"/>
      <c r="AJ298" s="5"/>
    </row>
    <row r="299" ht="30.0" customHeight="1">
      <c r="AH299" s="5"/>
      <c r="AI299" s="5"/>
      <c r="AJ299" s="5"/>
    </row>
    <row r="300" ht="30.0" customHeight="1">
      <c r="AH300" s="5"/>
      <c r="AI300" s="5"/>
      <c r="AJ300" s="5"/>
    </row>
    <row r="301" ht="30.0" customHeight="1">
      <c r="AH301" s="5"/>
      <c r="AI301" s="5"/>
      <c r="AJ301" s="5"/>
    </row>
    <row r="302" ht="30.0" customHeight="1">
      <c r="AH302" s="5"/>
      <c r="AI302" s="5"/>
      <c r="AJ302" s="5"/>
    </row>
    <row r="303" ht="30.0" customHeight="1">
      <c r="AH303" s="5"/>
      <c r="AI303" s="5"/>
      <c r="AJ303" s="5"/>
    </row>
    <row r="304" ht="30.0" customHeight="1">
      <c r="AH304" s="5"/>
      <c r="AI304" s="5"/>
      <c r="AJ304" s="5"/>
    </row>
    <row r="305" ht="30.0" customHeight="1">
      <c r="AH305" s="5"/>
      <c r="AI305" s="5"/>
      <c r="AJ305" s="5"/>
    </row>
    <row r="306" ht="30.0" customHeight="1">
      <c r="AH306" s="5"/>
      <c r="AI306" s="5"/>
      <c r="AJ306" s="5"/>
    </row>
    <row r="307" ht="30.0" customHeight="1">
      <c r="AH307" s="5"/>
      <c r="AI307" s="5"/>
      <c r="AJ307" s="5"/>
    </row>
    <row r="308" ht="30.0" customHeight="1">
      <c r="AH308" s="5"/>
      <c r="AI308" s="5"/>
      <c r="AJ308" s="5"/>
    </row>
    <row r="309" ht="30.0" customHeight="1">
      <c r="AH309" s="5"/>
      <c r="AI309" s="5"/>
      <c r="AJ309" s="5"/>
    </row>
    <row r="310" ht="30.0" customHeight="1">
      <c r="AH310" s="5"/>
      <c r="AI310" s="5"/>
      <c r="AJ310" s="5"/>
    </row>
    <row r="311" ht="30.0" customHeight="1">
      <c r="AH311" s="5"/>
      <c r="AI311" s="5"/>
      <c r="AJ311" s="5"/>
    </row>
    <row r="312" ht="30.0" customHeight="1">
      <c r="AH312" s="5"/>
      <c r="AI312" s="5"/>
      <c r="AJ312" s="5"/>
    </row>
    <row r="313" ht="30.0" customHeight="1">
      <c r="AH313" s="5"/>
      <c r="AI313" s="5"/>
      <c r="AJ313" s="5"/>
    </row>
    <row r="314" ht="30.0" customHeight="1">
      <c r="AH314" s="5"/>
      <c r="AI314" s="5"/>
      <c r="AJ314" s="5"/>
    </row>
    <row r="315" ht="30.0" customHeight="1">
      <c r="AH315" s="5"/>
      <c r="AI315" s="5"/>
      <c r="AJ315" s="5"/>
    </row>
    <row r="316" ht="30.0" customHeight="1">
      <c r="AH316" s="5"/>
      <c r="AI316" s="5"/>
      <c r="AJ316" s="5"/>
    </row>
    <row r="317" ht="30.0" customHeight="1">
      <c r="AH317" s="5"/>
      <c r="AI317" s="5"/>
      <c r="AJ317" s="5"/>
    </row>
    <row r="318" ht="30.0" customHeight="1">
      <c r="AH318" s="5"/>
      <c r="AI318" s="5"/>
      <c r="AJ318" s="5"/>
    </row>
    <row r="319" ht="30.0" customHeight="1">
      <c r="AH319" s="5"/>
      <c r="AI319" s="5"/>
      <c r="AJ319" s="5"/>
    </row>
    <row r="320" ht="30.0" customHeight="1">
      <c r="AH320" s="5"/>
      <c r="AI320" s="5"/>
      <c r="AJ320" s="5"/>
    </row>
    <row r="321" ht="30.0" customHeight="1">
      <c r="AH321" s="5"/>
      <c r="AI321" s="5"/>
      <c r="AJ321" s="5"/>
    </row>
    <row r="322" ht="30.0" customHeight="1">
      <c r="AH322" s="5"/>
      <c r="AI322" s="5"/>
      <c r="AJ322" s="5"/>
    </row>
    <row r="323" ht="30.0" customHeight="1">
      <c r="AH323" s="5"/>
      <c r="AI323" s="5"/>
      <c r="AJ323" s="5"/>
    </row>
    <row r="324" ht="30.0" customHeight="1">
      <c r="AH324" s="5"/>
      <c r="AI324" s="5"/>
      <c r="AJ324" s="5"/>
    </row>
    <row r="325" ht="30.0" customHeight="1">
      <c r="AH325" s="5"/>
      <c r="AI325" s="5"/>
      <c r="AJ325" s="5"/>
    </row>
    <row r="326" ht="30.0" customHeight="1">
      <c r="AH326" s="5"/>
      <c r="AI326" s="5"/>
      <c r="AJ326" s="5"/>
    </row>
    <row r="327" ht="30.0" customHeight="1">
      <c r="AH327" s="5"/>
      <c r="AI327" s="5"/>
      <c r="AJ327" s="5"/>
    </row>
    <row r="328" ht="30.0" customHeight="1">
      <c r="AH328" s="5"/>
      <c r="AI328" s="5"/>
      <c r="AJ328" s="5"/>
    </row>
    <row r="329" ht="30.0" customHeight="1">
      <c r="AH329" s="5"/>
      <c r="AI329" s="5"/>
      <c r="AJ329" s="5"/>
    </row>
    <row r="330" ht="30.0" customHeight="1">
      <c r="AH330" s="5"/>
      <c r="AI330" s="5"/>
      <c r="AJ330" s="5"/>
    </row>
    <row r="331" ht="30.0" customHeight="1">
      <c r="AH331" s="5"/>
      <c r="AI331" s="5"/>
      <c r="AJ331" s="5"/>
    </row>
    <row r="332" ht="30.0" customHeight="1">
      <c r="AH332" s="5"/>
      <c r="AI332" s="5"/>
      <c r="AJ332" s="5"/>
    </row>
    <row r="333" ht="30.0" customHeight="1">
      <c r="AH333" s="5"/>
      <c r="AI333" s="5"/>
      <c r="AJ333" s="5"/>
    </row>
    <row r="334" ht="30.0" customHeight="1">
      <c r="AH334" s="5"/>
      <c r="AI334" s="5"/>
      <c r="AJ334" s="5"/>
    </row>
    <row r="335" ht="30.0" customHeight="1">
      <c r="AH335" s="5"/>
      <c r="AI335" s="5"/>
      <c r="AJ335" s="5"/>
    </row>
    <row r="336" ht="30.0" customHeight="1">
      <c r="AH336" s="5"/>
      <c r="AI336" s="5"/>
      <c r="AJ336" s="5"/>
    </row>
    <row r="337" ht="30.0" customHeight="1">
      <c r="AH337" s="5"/>
      <c r="AI337" s="5"/>
      <c r="AJ337" s="5"/>
    </row>
    <row r="338" ht="30.0" customHeight="1">
      <c r="AH338" s="5"/>
      <c r="AI338" s="5"/>
      <c r="AJ338" s="5"/>
    </row>
    <row r="339" ht="30.0" customHeight="1">
      <c r="AH339" s="5"/>
      <c r="AI339" s="5"/>
      <c r="AJ339" s="5"/>
    </row>
    <row r="340" ht="30.0" customHeight="1">
      <c r="AH340" s="5"/>
      <c r="AI340" s="5"/>
      <c r="AJ340" s="5"/>
    </row>
    <row r="341" ht="30.0" customHeight="1">
      <c r="AH341" s="5"/>
      <c r="AI341" s="5"/>
      <c r="AJ341" s="5"/>
    </row>
    <row r="342" ht="30.0" customHeight="1">
      <c r="AH342" s="5"/>
      <c r="AI342" s="5"/>
      <c r="AJ342" s="5"/>
    </row>
    <row r="343" ht="30.0" customHeight="1">
      <c r="AH343" s="5"/>
      <c r="AI343" s="5"/>
      <c r="AJ343" s="5"/>
    </row>
    <row r="344" ht="30.0" customHeight="1">
      <c r="AH344" s="5"/>
      <c r="AI344" s="5"/>
      <c r="AJ344" s="5"/>
    </row>
    <row r="345" ht="30.0" customHeight="1">
      <c r="AH345" s="5"/>
      <c r="AI345" s="5"/>
      <c r="AJ345" s="5"/>
    </row>
    <row r="346" ht="30.0" customHeight="1">
      <c r="AH346" s="5"/>
      <c r="AI346" s="5"/>
      <c r="AJ346" s="5"/>
    </row>
    <row r="347" ht="30.0" customHeight="1">
      <c r="AH347" s="5"/>
      <c r="AI347" s="5"/>
      <c r="AJ347" s="5"/>
    </row>
    <row r="348" ht="30.0" customHeight="1">
      <c r="AH348" s="5"/>
      <c r="AI348" s="5"/>
      <c r="AJ348" s="5"/>
    </row>
    <row r="349" ht="30.0" customHeight="1">
      <c r="AH349" s="5"/>
      <c r="AI349" s="5"/>
      <c r="AJ349" s="5"/>
    </row>
    <row r="350" ht="30.0" customHeight="1">
      <c r="AH350" s="5"/>
      <c r="AI350" s="5"/>
      <c r="AJ350" s="5"/>
    </row>
    <row r="351" ht="30.0" customHeight="1">
      <c r="AH351" s="5"/>
      <c r="AI351" s="5"/>
      <c r="AJ351" s="5"/>
    </row>
    <row r="352" ht="30.0" customHeight="1">
      <c r="AH352" s="5"/>
      <c r="AI352" s="5"/>
      <c r="AJ352" s="5"/>
    </row>
    <row r="353" ht="30.0" customHeight="1">
      <c r="AH353" s="5"/>
      <c r="AI353" s="5"/>
      <c r="AJ353" s="5"/>
    </row>
    <row r="354" ht="30.0" customHeight="1">
      <c r="AH354" s="5"/>
      <c r="AI354" s="5"/>
      <c r="AJ354" s="5"/>
    </row>
    <row r="355" ht="30.0" customHeight="1">
      <c r="AH355" s="5"/>
      <c r="AI355" s="5"/>
      <c r="AJ355" s="5"/>
    </row>
    <row r="356" ht="30.0" customHeight="1">
      <c r="AH356" s="5"/>
      <c r="AI356" s="5"/>
      <c r="AJ356" s="5"/>
    </row>
    <row r="357" ht="30.0" customHeight="1">
      <c r="AH357" s="5"/>
      <c r="AI357" s="5"/>
      <c r="AJ357" s="5"/>
    </row>
    <row r="358" ht="30.0" customHeight="1">
      <c r="AH358" s="5"/>
      <c r="AI358" s="5"/>
      <c r="AJ358" s="5"/>
    </row>
    <row r="359" ht="30.0" customHeight="1">
      <c r="AH359" s="5"/>
      <c r="AI359" s="5"/>
      <c r="AJ359" s="5"/>
    </row>
    <row r="360" ht="30.0" customHeight="1">
      <c r="AH360" s="5"/>
      <c r="AI360" s="5"/>
      <c r="AJ360" s="5"/>
    </row>
    <row r="361" ht="30.0" customHeight="1">
      <c r="AH361" s="5"/>
      <c r="AI361" s="5"/>
      <c r="AJ361" s="5"/>
    </row>
    <row r="362" ht="30.0" customHeight="1">
      <c r="AH362" s="5"/>
      <c r="AI362" s="5"/>
      <c r="AJ362" s="5"/>
    </row>
    <row r="363" ht="30.0" customHeight="1">
      <c r="AH363" s="5"/>
      <c r="AI363" s="5"/>
      <c r="AJ363" s="5"/>
    </row>
    <row r="364" ht="30.0" customHeight="1">
      <c r="AH364" s="5"/>
      <c r="AI364" s="5"/>
      <c r="AJ364" s="5"/>
    </row>
    <row r="365" ht="30.0" customHeight="1">
      <c r="AH365" s="5"/>
      <c r="AI365" s="5"/>
      <c r="AJ365" s="5"/>
    </row>
    <row r="366" ht="30.0" customHeight="1">
      <c r="AH366" s="5"/>
      <c r="AI366" s="5"/>
      <c r="AJ366" s="5"/>
    </row>
    <row r="367" ht="30.0" customHeight="1">
      <c r="AH367" s="5"/>
      <c r="AI367" s="5"/>
      <c r="AJ367" s="5"/>
    </row>
    <row r="368" ht="30.0" customHeight="1">
      <c r="AH368" s="5"/>
      <c r="AI368" s="5"/>
      <c r="AJ368" s="5"/>
    </row>
    <row r="369" ht="30.0" customHeight="1">
      <c r="AH369" s="5"/>
      <c r="AI369" s="5"/>
      <c r="AJ369" s="5"/>
    </row>
    <row r="370" ht="30.0" customHeight="1">
      <c r="AH370" s="5"/>
      <c r="AI370" s="5"/>
      <c r="AJ370" s="5"/>
    </row>
    <row r="371" ht="30.0" customHeight="1">
      <c r="AH371" s="5"/>
      <c r="AI371" s="5"/>
      <c r="AJ371" s="5"/>
    </row>
    <row r="372" ht="30.0" customHeight="1">
      <c r="AH372" s="5"/>
      <c r="AI372" s="5"/>
      <c r="AJ372" s="5"/>
    </row>
    <row r="373" ht="30.0" customHeight="1">
      <c r="AH373" s="5"/>
      <c r="AI373" s="5"/>
      <c r="AJ373" s="5"/>
    </row>
    <row r="374" ht="30.0" customHeight="1">
      <c r="AH374" s="5"/>
      <c r="AI374" s="5"/>
      <c r="AJ374" s="5"/>
    </row>
    <row r="375" ht="30.0" customHeight="1">
      <c r="AH375" s="5"/>
      <c r="AI375" s="5"/>
      <c r="AJ375" s="5"/>
    </row>
    <row r="376" ht="30.0" customHeight="1">
      <c r="AH376" s="5"/>
      <c r="AI376" s="5"/>
      <c r="AJ376" s="5"/>
    </row>
    <row r="377" ht="30.0" customHeight="1">
      <c r="AH377" s="5"/>
      <c r="AI377" s="5"/>
      <c r="AJ377" s="5"/>
    </row>
    <row r="378" ht="30.0" customHeight="1">
      <c r="AH378" s="5"/>
      <c r="AI378" s="5"/>
      <c r="AJ378" s="5"/>
    </row>
    <row r="379" ht="30.0" customHeight="1">
      <c r="AH379" s="5"/>
      <c r="AI379" s="5"/>
      <c r="AJ379" s="5"/>
    </row>
    <row r="380" ht="30.0" customHeight="1">
      <c r="AH380" s="5"/>
      <c r="AI380" s="5"/>
      <c r="AJ380" s="5"/>
    </row>
    <row r="381" ht="30.0" customHeight="1">
      <c r="AH381" s="5"/>
      <c r="AI381" s="5"/>
      <c r="AJ381" s="5"/>
    </row>
    <row r="382" ht="30.0" customHeight="1">
      <c r="AH382" s="5"/>
      <c r="AI382" s="5"/>
      <c r="AJ382" s="5"/>
    </row>
    <row r="383" ht="30.0" customHeight="1">
      <c r="AH383" s="5"/>
      <c r="AI383" s="5"/>
      <c r="AJ383" s="5"/>
    </row>
    <row r="384" ht="30.0" customHeight="1">
      <c r="AH384" s="5"/>
      <c r="AI384" s="5"/>
      <c r="AJ384" s="5"/>
    </row>
    <row r="385" ht="30.0" customHeight="1">
      <c r="AH385" s="5"/>
      <c r="AI385" s="5"/>
      <c r="AJ385" s="5"/>
    </row>
    <row r="386" ht="30.0" customHeight="1">
      <c r="AH386" s="5"/>
      <c r="AI386" s="5"/>
      <c r="AJ386" s="5"/>
    </row>
    <row r="387" ht="30.0" customHeight="1">
      <c r="AH387" s="5"/>
      <c r="AI387" s="5"/>
      <c r="AJ387" s="5"/>
    </row>
    <row r="388" ht="30.0" customHeight="1">
      <c r="AH388" s="5"/>
      <c r="AI388" s="5"/>
      <c r="AJ388" s="5"/>
    </row>
    <row r="389" ht="30.0" customHeight="1">
      <c r="AH389" s="5"/>
      <c r="AI389" s="5"/>
      <c r="AJ389" s="5"/>
    </row>
    <row r="390" ht="30.0" customHeight="1">
      <c r="AH390" s="5"/>
      <c r="AI390" s="5"/>
      <c r="AJ390" s="5"/>
    </row>
    <row r="391" ht="30.0" customHeight="1">
      <c r="AH391" s="5"/>
      <c r="AI391" s="5"/>
      <c r="AJ391" s="5"/>
    </row>
    <row r="392" ht="30.0" customHeight="1">
      <c r="AH392" s="5"/>
      <c r="AI392" s="5"/>
      <c r="AJ392" s="5"/>
    </row>
    <row r="393" ht="30.0" customHeight="1">
      <c r="AH393" s="5"/>
      <c r="AI393" s="5"/>
      <c r="AJ393" s="5"/>
    </row>
    <row r="394" ht="30.0" customHeight="1">
      <c r="AH394" s="5"/>
      <c r="AI394" s="5"/>
      <c r="AJ394" s="5"/>
    </row>
    <row r="395" ht="30.0" customHeight="1">
      <c r="AH395" s="5"/>
      <c r="AI395" s="5"/>
      <c r="AJ395" s="5"/>
    </row>
    <row r="396" ht="30.0" customHeight="1">
      <c r="AH396" s="5"/>
      <c r="AI396" s="5"/>
      <c r="AJ396" s="5"/>
    </row>
    <row r="397" ht="30.0" customHeight="1">
      <c r="AH397" s="5"/>
      <c r="AI397" s="5"/>
      <c r="AJ397" s="5"/>
    </row>
    <row r="398" ht="30.0" customHeight="1">
      <c r="AH398" s="5"/>
      <c r="AI398" s="5"/>
      <c r="AJ398" s="5"/>
    </row>
    <row r="399" ht="30.0" customHeight="1">
      <c r="AH399" s="5"/>
      <c r="AI399" s="5"/>
      <c r="AJ399" s="5"/>
    </row>
    <row r="400" ht="30.0" customHeight="1">
      <c r="AH400" s="5"/>
      <c r="AI400" s="5"/>
      <c r="AJ400" s="5"/>
    </row>
    <row r="401" ht="30.0" customHeight="1">
      <c r="AH401" s="5"/>
      <c r="AI401" s="5"/>
      <c r="AJ401" s="5"/>
    </row>
    <row r="402" ht="30.0" customHeight="1">
      <c r="AH402" s="5"/>
      <c r="AI402" s="5"/>
      <c r="AJ402" s="5"/>
    </row>
    <row r="403" ht="30.0" customHeight="1">
      <c r="AH403" s="5"/>
      <c r="AI403" s="5"/>
      <c r="AJ403" s="5"/>
    </row>
    <row r="404" ht="30.0" customHeight="1">
      <c r="AH404" s="5"/>
      <c r="AI404" s="5"/>
      <c r="AJ404" s="5"/>
    </row>
    <row r="405" ht="30.0" customHeight="1">
      <c r="AH405" s="5"/>
      <c r="AI405" s="5"/>
      <c r="AJ405" s="5"/>
    </row>
    <row r="406" ht="30.0" customHeight="1">
      <c r="AH406" s="5"/>
      <c r="AI406" s="5"/>
      <c r="AJ406" s="5"/>
    </row>
    <row r="407" ht="30.0" customHeight="1">
      <c r="AH407" s="5"/>
      <c r="AI407" s="5"/>
      <c r="AJ407" s="5"/>
    </row>
    <row r="408" ht="30.0" customHeight="1">
      <c r="AH408" s="5"/>
      <c r="AI408" s="5"/>
      <c r="AJ408" s="5"/>
    </row>
    <row r="409" ht="30.0" customHeight="1">
      <c r="AH409" s="5"/>
      <c r="AI409" s="5"/>
      <c r="AJ409" s="5"/>
    </row>
    <row r="410" ht="30.0" customHeight="1">
      <c r="AH410" s="5"/>
      <c r="AI410" s="5"/>
      <c r="AJ410" s="5"/>
    </row>
    <row r="411" ht="30.0" customHeight="1">
      <c r="AH411" s="5"/>
      <c r="AI411" s="5"/>
      <c r="AJ411" s="5"/>
    </row>
    <row r="412" ht="30.0" customHeight="1">
      <c r="AH412" s="5"/>
      <c r="AI412" s="5"/>
      <c r="AJ412" s="5"/>
    </row>
    <row r="413" ht="30.0" customHeight="1">
      <c r="AH413" s="5"/>
      <c r="AI413" s="5"/>
      <c r="AJ413" s="5"/>
    </row>
    <row r="414" ht="30.0" customHeight="1">
      <c r="AH414" s="5"/>
      <c r="AI414" s="5"/>
      <c r="AJ414" s="5"/>
    </row>
    <row r="415" ht="30.0" customHeight="1">
      <c r="AH415" s="5"/>
      <c r="AI415" s="5"/>
      <c r="AJ415" s="5"/>
    </row>
    <row r="416" ht="30.0" customHeight="1">
      <c r="AH416" s="5"/>
      <c r="AI416" s="5"/>
      <c r="AJ416" s="5"/>
    </row>
    <row r="417" ht="30.0" customHeight="1">
      <c r="AH417" s="5"/>
      <c r="AI417" s="5"/>
      <c r="AJ417" s="5"/>
    </row>
    <row r="418" ht="30.0" customHeight="1">
      <c r="AH418" s="5"/>
      <c r="AI418" s="5"/>
      <c r="AJ418" s="5"/>
    </row>
    <row r="419" ht="30.0" customHeight="1">
      <c r="AH419" s="5"/>
      <c r="AI419" s="5"/>
      <c r="AJ419" s="5"/>
    </row>
    <row r="420" ht="30.0" customHeight="1">
      <c r="AH420" s="5"/>
      <c r="AI420" s="5"/>
      <c r="AJ420" s="5"/>
    </row>
    <row r="421" ht="30.0" customHeight="1">
      <c r="AH421" s="5"/>
      <c r="AI421" s="5"/>
      <c r="AJ421" s="5"/>
    </row>
    <row r="422" ht="30.0" customHeight="1">
      <c r="AH422" s="5"/>
      <c r="AI422" s="5"/>
      <c r="AJ422" s="5"/>
    </row>
    <row r="423" ht="30.0" customHeight="1">
      <c r="AH423" s="5"/>
      <c r="AI423" s="5"/>
      <c r="AJ423" s="5"/>
    </row>
    <row r="424" ht="30.0" customHeight="1">
      <c r="AH424" s="5"/>
      <c r="AI424" s="5"/>
      <c r="AJ424" s="5"/>
    </row>
    <row r="425" ht="30.0" customHeight="1">
      <c r="AH425" s="5"/>
      <c r="AI425" s="5"/>
      <c r="AJ425" s="5"/>
    </row>
    <row r="426" ht="30.0" customHeight="1">
      <c r="AH426" s="5"/>
      <c r="AI426" s="5"/>
      <c r="AJ426" s="5"/>
    </row>
    <row r="427" ht="30.0" customHeight="1">
      <c r="AH427" s="5"/>
      <c r="AI427" s="5"/>
      <c r="AJ427" s="5"/>
    </row>
    <row r="428" ht="30.0" customHeight="1">
      <c r="AH428" s="5"/>
      <c r="AI428" s="5"/>
      <c r="AJ428" s="5"/>
    </row>
    <row r="429" ht="30.0" customHeight="1">
      <c r="AH429" s="5"/>
      <c r="AI429" s="5"/>
      <c r="AJ429" s="5"/>
    </row>
    <row r="430" ht="30.0" customHeight="1">
      <c r="AH430" s="5"/>
      <c r="AI430" s="5"/>
      <c r="AJ430" s="5"/>
    </row>
    <row r="431" ht="30.0" customHeight="1">
      <c r="AH431" s="5"/>
      <c r="AI431" s="5"/>
      <c r="AJ431" s="5"/>
    </row>
    <row r="432" ht="30.0" customHeight="1">
      <c r="AH432" s="5"/>
      <c r="AI432" s="5"/>
      <c r="AJ432" s="5"/>
    </row>
    <row r="433" ht="30.0" customHeight="1">
      <c r="AH433" s="5"/>
      <c r="AI433" s="5"/>
      <c r="AJ433" s="5"/>
    </row>
    <row r="434" ht="30.0" customHeight="1">
      <c r="AH434" s="5"/>
      <c r="AI434" s="5"/>
      <c r="AJ434" s="5"/>
    </row>
    <row r="435" ht="30.0" customHeight="1">
      <c r="AH435" s="5"/>
      <c r="AI435" s="5"/>
      <c r="AJ435" s="5"/>
    </row>
    <row r="436" ht="30.0" customHeight="1">
      <c r="AH436" s="5"/>
      <c r="AI436" s="5"/>
      <c r="AJ436" s="5"/>
    </row>
    <row r="437" ht="30.0" customHeight="1">
      <c r="AH437" s="5"/>
      <c r="AI437" s="5"/>
      <c r="AJ437" s="5"/>
    </row>
    <row r="438" ht="30.0" customHeight="1">
      <c r="AH438" s="5"/>
      <c r="AI438" s="5"/>
      <c r="AJ438" s="5"/>
    </row>
    <row r="439" ht="30.0" customHeight="1">
      <c r="AH439" s="5"/>
      <c r="AI439" s="5"/>
      <c r="AJ439" s="5"/>
    </row>
    <row r="440" ht="30.0" customHeight="1">
      <c r="AH440" s="5"/>
      <c r="AI440" s="5"/>
      <c r="AJ440" s="5"/>
    </row>
    <row r="441" ht="30.0" customHeight="1">
      <c r="AH441" s="5"/>
      <c r="AI441" s="5"/>
      <c r="AJ441" s="5"/>
    </row>
    <row r="442" ht="30.0" customHeight="1">
      <c r="AH442" s="5"/>
      <c r="AI442" s="5"/>
      <c r="AJ442" s="5"/>
    </row>
    <row r="443" ht="30.0" customHeight="1">
      <c r="AH443" s="5"/>
      <c r="AI443" s="5"/>
      <c r="AJ443" s="5"/>
    </row>
    <row r="444" ht="30.0" customHeight="1">
      <c r="AH444" s="5"/>
      <c r="AI444" s="5"/>
      <c r="AJ444" s="5"/>
    </row>
    <row r="445" ht="30.0" customHeight="1">
      <c r="AH445" s="5"/>
      <c r="AI445" s="5"/>
      <c r="AJ445" s="5"/>
    </row>
    <row r="446" ht="30.0" customHeight="1">
      <c r="AH446" s="5"/>
      <c r="AI446" s="5"/>
      <c r="AJ446" s="5"/>
    </row>
    <row r="447" ht="30.0" customHeight="1">
      <c r="AH447" s="5"/>
      <c r="AI447" s="5"/>
      <c r="AJ447" s="5"/>
    </row>
    <row r="448" ht="30.0" customHeight="1">
      <c r="AH448" s="5"/>
      <c r="AI448" s="5"/>
      <c r="AJ448" s="5"/>
    </row>
    <row r="449" ht="30.0" customHeight="1">
      <c r="AH449" s="5"/>
      <c r="AI449" s="5"/>
      <c r="AJ449" s="5"/>
    </row>
    <row r="450" ht="30.0" customHeight="1">
      <c r="AH450" s="5"/>
      <c r="AI450" s="5"/>
      <c r="AJ450" s="5"/>
    </row>
    <row r="451" ht="30.0" customHeight="1">
      <c r="AH451" s="5"/>
      <c r="AI451" s="5"/>
      <c r="AJ451" s="5"/>
    </row>
    <row r="452" ht="30.0" customHeight="1">
      <c r="AH452" s="5"/>
      <c r="AI452" s="5"/>
      <c r="AJ452" s="5"/>
    </row>
    <row r="453" ht="30.0" customHeight="1">
      <c r="AH453" s="5"/>
      <c r="AI453" s="5"/>
      <c r="AJ453" s="5"/>
    </row>
    <row r="454" ht="30.0" customHeight="1">
      <c r="AH454" s="5"/>
      <c r="AI454" s="5"/>
      <c r="AJ454" s="5"/>
    </row>
    <row r="455" ht="30.0" customHeight="1">
      <c r="AH455" s="5"/>
      <c r="AI455" s="5"/>
      <c r="AJ455" s="5"/>
    </row>
    <row r="456" ht="30.0" customHeight="1">
      <c r="AH456" s="5"/>
      <c r="AI456" s="5"/>
      <c r="AJ456" s="5"/>
    </row>
    <row r="457" ht="30.0" customHeight="1">
      <c r="AH457" s="5"/>
      <c r="AI457" s="5"/>
      <c r="AJ457" s="5"/>
    </row>
    <row r="458" ht="30.0" customHeight="1">
      <c r="AH458" s="5"/>
      <c r="AI458" s="5"/>
      <c r="AJ458" s="5"/>
    </row>
    <row r="459" ht="30.0" customHeight="1">
      <c r="AH459" s="5"/>
      <c r="AI459" s="5"/>
      <c r="AJ459" s="5"/>
    </row>
    <row r="460" ht="30.0" customHeight="1">
      <c r="AH460" s="5"/>
      <c r="AI460" s="5"/>
      <c r="AJ460" s="5"/>
    </row>
    <row r="461" ht="30.0" customHeight="1">
      <c r="AH461" s="5"/>
      <c r="AI461" s="5"/>
      <c r="AJ461" s="5"/>
    </row>
    <row r="462" ht="30.0" customHeight="1">
      <c r="AH462" s="5"/>
      <c r="AI462" s="5"/>
      <c r="AJ462" s="5"/>
    </row>
    <row r="463" ht="30.0" customHeight="1">
      <c r="AH463" s="5"/>
      <c r="AI463" s="5"/>
      <c r="AJ463" s="5"/>
    </row>
    <row r="464" ht="30.0" customHeight="1">
      <c r="AH464" s="5"/>
      <c r="AI464" s="5"/>
      <c r="AJ464" s="5"/>
    </row>
    <row r="465" ht="30.0" customHeight="1">
      <c r="AH465" s="5"/>
      <c r="AI465" s="5"/>
      <c r="AJ465" s="5"/>
    </row>
    <row r="466" ht="30.0" customHeight="1">
      <c r="AH466" s="5"/>
      <c r="AI466" s="5"/>
      <c r="AJ466" s="5"/>
    </row>
    <row r="467" ht="30.0" customHeight="1">
      <c r="AH467" s="5"/>
      <c r="AI467" s="5"/>
      <c r="AJ467" s="5"/>
    </row>
    <row r="468" ht="30.0" customHeight="1">
      <c r="AH468" s="5"/>
      <c r="AI468" s="5"/>
      <c r="AJ468" s="5"/>
    </row>
    <row r="469" ht="30.0" customHeight="1">
      <c r="AH469" s="5"/>
      <c r="AI469" s="5"/>
      <c r="AJ469" s="5"/>
    </row>
    <row r="470" ht="30.0" customHeight="1">
      <c r="AH470" s="5"/>
      <c r="AI470" s="5"/>
      <c r="AJ470" s="5"/>
    </row>
    <row r="471" ht="30.0" customHeight="1">
      <c r="AH471" s="5"/>
      <c r="AI471" s="5"/>
      <c r="AJ471" s="5"/>
    </row>
    <row r="472" ht="30.0" customHeight="1">
      <c r="AH472" s="5"/>
      <c r="AI472" s="5"/>
      <c r="AJ472" s="5"/>
    </row>
    <row r="473" ht="30.0" customHeight="1">
      <c r="AH473" s="5"/>
      <c r="AI473" s="5"/>
      <c r="AJ473" s="5"/>
    </row>
    <row r="474" ht="30.0" customHeight="1">
      <c r="AH474" s="5"/>
      <c r="AI474" s="5"/>
      <c r="AJ474" s="5"/>
    </row>
    <row r="475" ht="30.0" customHeight="1">
      <c r="AH475" s="5"/>
      <c r="AI475" s="5"/>
      <c r="AJ475" s="5"/>
    </row>
    <row r="476" ht="30.0" customHeight="1">
      <c r="AH476" s="5"/>
      <c r="AI476" s="5"/>
      <c r="AJ476" s="5"/>
    </row>
    <row r="477" ht="30.0" customHeight="1">
      <c r="AH477" s="5"/>
      <c r="AI477" s="5"/>
      <c r="AJ477" s="5"/>
    </row>
    <row r="478" ht="30.0" customHeight="1">
      <c r="AH478" s="5"/>
      <c r="AI478" s="5"/>
      <c r="AJ478" s="5"/>
    </row>
    <row r="479" ht="30.0" customHeight="1">
      <c r="AH479" s="5"/>
      <c r="AI479" s="5"/>
      <c r="AJ479" s="5"/>
    </row>
    <row r="480" ht="30.0" customHeight="1">
      <c r="AH480" s="5"/>
      <c r="AI480" s="5"/>
      <c r="AJ480" s="5"/>
    </row>
    <row r="481" ht="30.0" customHeight="1">
      <c r="AH481" s="5"/>
      <c r="AI481" s="5"/>
      <c r="AJ481" s="5"/>
    </row>
    <row r="482" ht="30.0" customHeight="1">
      <c r="AH482" s="5"/>
      <c r="AI482" s="5"/>
      <c r="AJ482" s="5"/>
    </row>
    <row r="483" ht="30.0" customHeight="1">
      <c r="AH483" s="5"/>
      <c r="AI483" s="5"/>
      <c r="AJ483" s="5"/>
    </row>
    <row r="484" ht="30.0" customHeight="1">
      <c r="AH484" s="5"/>
      <c r="AI484" s="5"/>
      <c r="AJ484" s="5"/>
    </row>
    <row r="485" ht="30.0" customHeight="1">
      <c r="AH485" s="5"/>
      <c r="AI485" s="5"/>
      <c r="AJ485" s="5"/>
    </row>
    <row r="486" ht="30.0" customHeight="1">
      <c r="AH486" s="5"/>
      <c r="AI486" s="5"/>
      <c r="AJ486" s="5"/>
    </row>
    <row r="487" ht="30.0" customHeight="1">
      <c r="AH487" s="5"/>
      <c r="AI487" s="5"/>
      <c r="AJ487" s="5"/>
    </row>
    <row r="488" ht="30.0" customHeight="1">
      <c r="AH488" s="5"/>
      <c r="AI488" s="5"/>
      <c r="AJ488" s="5"/>
    </row>
    <row r="489" ht="30.0" customHeight="1">
      <c r="AH489" s="5"/>
      <c r="AI489" s="5"/>
      <c r="AJ489" s="5"/>
    </row>
    <row r="490" ht="30.0" customHeight="1">
      <c r="AH490" s="5"/>
      <c r="AI490" s="5"/>
      <c r="AJ490" s="5"/>
    </row>
    <row r="491" ht="30.0" customHeight="1">
      <c r="AH491" s="5"/>
      <c r="AI491" s="5"/>
      <c r="AJ491" s="5"/>
    </row>
    <row r="492" ht="30.0" customHeight="1">
      <c r="AH492" s="5"/>
      <c r="AI492" s="5"/>
      <c r="AJ492" s="5"/>
    </row>
    <row r="493" ht="30.0" customHeight="1">
      <c r="AH493" s="5"/>
      <c r="AI493" s="5"/>
      <c r="AJ493" s="5"/>
    </row>
    <row r="494" ht="30.0" customHeight="1">
      <c r="AH494" s="5"/>
      <c r="AI494" s="5"/>
      <c r="AJ494" s="5"/>
    </row>
    <row r="495" ht="30.0" customHeight="1">
      <c r="AH495" s="5"/>
      <c r="AI495" s="5"/>
      <c r="AJ495" s="5"/>
    </row>
    <row r="496" ht="30.0" customHeight="1">
      <c r="AH496" s="5"/>
      <c r="AI496" s="5"/>
      <c r="AJ496" s="5"/>
    </row>
    <row r="497" ht="30.0" customHeight="1">
      <c r="AH497" s="5"/>
      <c r="AI497" s="5"/>
      <c r="AJ497" s="5"/>
    </row>
    <row r="498" ht="30.0" customHeight="1">
      <c r="AH498" s="5"/>
      <c r="AI498" s="5"/>
      <c r="AJ498" s="5"/>
    </row>
    <row r="499" ht="30.0" customHeight="1">
      <c r="AH499" s="5"/>
      <c r="AI499" s="5"/>
      <c r="AJ499" s="5"/>
    </row>
    <row r="500" ht="30.0" customHeight="1">
      <c r="AH500" s="5"/>
      <c r="AI500" s="5"/>
      <c r="AJ500" s="5"/>
    </row>
    <row r="501" ht="30.0" customHeight="1">
      <c r="AH501" s="5"/>
      <c r="AI501" s="5"/>
      <c r="AJ501" s="5"/>
    </row>
    <row r="502" ht="30.0" customHeight="1">
      <c r="AH502" s="5"/>
      <c r="AI502" s="5"/>
      <c r="AJ502" s="5"/>
    </row>
    <row r="503" ht="30.0" customHeight="1">
      <c r="AH503" s="5"/>
      <c r="AI503" s="5"/>
      <c r="AJ503" s="5"/>
    </row>
    <row r="504" ht="30.0" customHeight="1">
      <c r="AH504" s="5"/>
      <c r="AI504" s="5"/>
      <c r="AJ504" s="5"/>
    </row>
    <row r="505" ht="30.0" customHeight="1">
      <c r="AH505" s="5"/>
      <c r="AI505" s="5"/>
      <c r="AJ505" s="5"/>
    </row>
    <row r="506" ht="30.0" customHeight="1">
      <c r="AH506" s="5"/>
      <c r="AI506" s="5"/>
      <c r="AJ506" s="5"/>
    </row>
    <row r="507" ht="30.0" customHeight="1">
      <c r="AH507" s="5"/>
      <c r="AI507" s="5"/>
      <c r="AJ507" s="5"/>
    </row>
    <row r="508" ht="30.0" customHeight="1">
      <c r="AH508" s="5"/>
      <c r="AI508" s="5"/>
      <c r="AJ508" s="5"/>
    </row>
    <row r="509" ht="30.0" customHeight="1">
      <c r="AH509" s="5"/>
      <c r="AI509" s="5"/>
      <c r="AJ509" s="5"/>
    </row>
    <row r="510" ht="30.0" customHeight="1">
      <c r="AH510" s="5"/>
      <c r="AI510" s="5"/>
      <c r="AJ510" s="5"/>
    </row>
    <row r="511" ht="30.0" customHeight="1">
      <c r="AH511" s="5"/>
      <c r="AI511" s="5"/>
      <c r="AJ511" s="5"/>
    </row>
    <row r="512" ht="30.0" customHeight="1">
      <c r="AH512" s="5"/>
      <c r="AI512" s="5"/>
      <c r="AJ512" s="5"/>
    </row>
    <row r="513" ht="30.0" customHeight="1">
      <c r="AH513" s="5"/>
      <c r="AI513" s="5"/>
      <c r="AJ513" s="5"/>
    </row>
    <row r="514" ht="30.0" customHeight="1">
      <c r="AH514" s="5"/>
      <c r="AI514" s="5"/>
      <c r="AJ514" s="5"/>
    </row>
    <row r="515" ht="30.0" customHeight="1">
      <c r="AH515" s="5"/>
      <c r="AI515" s="5"/>
      <c r="AJ515" s="5"/>
    </row>
    <row r="516" ht="30.0" customHeight="1">
      <c r="AH516" s="5"/>
      <c r="AI516" s="5"/>
      <c r="AJ516" s="5"/>
    </row>
    <row r="517" ht="30.0" customHeight="1">
      <c r="AH517" s="5"/>
      <c r="AI517" s="5"/>
      <c r="AJ517" s="5"/>
    </row>
    <row r="518" ht="30.0" customHeight="1">
      <c r="AH518" s="5"/>
      <c r="AI518" s="5"/>
      <c r="AJ518" s="5"/>
    </row>
    <row r="519" ht="30.0" customHeight="1">
      <c r="AH519" s="5"/>
      <c r="AI519" s="5"/>
      <c r="AJ519" s="5"/>
    </row>
    <row r="520" ht="30.0" customHeight="1">
      <c r="AH520" s="5"/>
      <c r="AI520" s="5"/>
      <c r="AJ520" s="5"/>
    </row>
    <row r="521" ht="30.0" customHeight="1">
      <c r="AH521" s="5"/>
      <c r="AI521" s="5"/>
      <c r="AJ521" s="5"/>
    </row>
    <row r="522" ht="30.0" customHeight="1">
      <c r="AH522" s="5"/>
      <c r="AI522" s="5"/>
      <c r="AJ522" s="5"/>
    </row>
    <row r="523" ht="30.0" customHeight="1">
      <c r="AH523" s="5"/>
      <c r="AI523" s="5"/>
      <c r="AJ523" s="5"/>
    </row>
    <row r="524" ht="30.0" customHeight="1">
      <c r="AH524" s="5"/>
      <c r="AI524" s="5"/>
      <c r="AJ524" s="5"/>
    </row>
    <row r="525" ht="30.0" customHeight="1">
      <c r="AH525" s="5"/>
      <c r="AI525" s="5"/>
      <c r="AJ525" s="5"/>
    </row>
    <row r="526" ht="30.0" customHeight="1">
      <c r="AH526" s="5"/>
      <c r="AI526" s="5"/>
      <c r="AJ526" s="5"/>
    </row>
    <row r="527" ht="30.0" customHeight="1">
      <c r="AH527" s="5"/>
      <c r="AI527" s="5"/>
      <c r="AJ527" s="5"/>
    </row>
    <row r="528" ht="30.0" customHeight="1">
      <c r="AH528" s="5"/>
      <c r="AI528" s="5"/>
      <c r="AJ528" s="5"/>
    </row>
    <row r="529" ht="30.0" customHeight="1">
      <c r="AH529" s="5"/>
      <c r="AI529" s="5"/>
      <c r="AJ529" s="5"/>
    </row>
    <row r="530" ht="30.0" customHeight="1">
      <c r="AH530" s="5"/>
      <c r="AI530" s="5"/>
      <c r="AJ530" s="5"/>
    </row>
    <row r="531" ht="30.0" customHeight="1">
      <c r="AH531" s="5"/>
      <c r="AI531" s="5"/>
      <c r="AJ531" s="5"/>
    </row>
    <row r="532" ht="30.0" customHeight="1">
      <c r="AH532" s="5"/>
      <c r="AI532" s="5"/>
      <c r="AJ532" s="5"/>
    </row>
    <row r="533" ht="30.0" customHeight="1">
      <c r="AH533" s="5"/>
      <c r="AI533" s="5"/>
      <c r="AJ533" s="5"/>
    </row>
    <row r="534" ht="30.0" customHeight="1">
      <c r="AH534" s="5"/>
      <c r="AI534" s="5"/>
      <c r="AJ534" s="5"/>
    </row>
    <row r="535" ht="30.0" customHeight="1">
      <c r="AH535" s="5"/>
      <c r="AI535" s="5"/>
      <c r="AJ535" s="5"/>
    </row>
    <row r="536" ht="30.0" customHeight="1">
      <c r="AH536" s="5"/>
      <c r="AI536" s="5"/>
      <c r="AJ536" s="5"/>
    </row>
    <row r="537" ht="30.0" customHeight="1">
      <c r="AH537" s="5"/>
      <c r="AI537" s="5"/>
      <c r="AJ537" s="5"/>
    </row>
    <row r="538" ht="30.0" customHeight="1">
      <c r="AH538" s="5"/>
      <c r="AI538" s="5"/>
      <c r="AJ538" s="5"/>
    </row>
    <row r="539" ht="30.0" customHeight="1">
      <c r="AH539" s="5"/>
      <c r="AI539" s="5"/>
      <c r="AJ539" s="5"/>
    </row>
    <row r="540" ht="30.0" customHeight="1">
      <c r="AH540" s="5"/>
      <c r="AI540" s="5"/>
      <c r="AJ540" s="5"/>
    </row>
    <row r="541" ht="30.0" customHeight="1">
      <c r="AH541" s="5"/>
      <c r="AI541" s="5"/>
      <c r="AJ541" s="5"/>
    </row>
    <row r="542" ht="30.0" customHeight="1">
      <c r="AH542" s="5"/>
      <c r="AI542" s="5"/>
      <c r="AJ542" s="5"/>
    </row>
    <row r="543" ht="30.0" customHeight="1">
      <c r="AH543" s="5"/>
      <c r="AI543" s="5"/>
      <c r="AJ543" s="5"/>
    </row>
    <row r="544" ht="30.0" customHeight="1">
      <c r="AH544" s="5"/>
      <c r="AI544" s="5"/>
      <c r="AJ544" s="5"/>
    </row>
    <row r="545" ht="30.0" customHeight="1">
      <c r="AH545" s="5"/>
      <c r="AI545" s="5"/>
      <c r="AJ545" s="5"/>
    </row>
    <row r="546" ht="30.0" customHeight="1">
      <c r="AH546" s="5"/>
      <c r="AI546" s="5"/>
      <c r="AJ546" s="5"/>
    </row>
    <row r="547" ht="30.0" customHeight="1">
      <c r="AH547" s="5"/>
      <c r="AI547" s="5"/>
      <c r="AJ547" s="5"/>
    </row>
    <row r="548" ht="30.0" customHeight="1">
      <c r="AH548" s="5"/>
      <c r="AI548" s="5"/>
      <c r="AJ548" s="5"/>
    </row>
    <row r="549" ht="30.0" customHeight="1">
      <c r="AH549" s="5"/>
      <c r="AI549" s="5"/>
      <c r="AJ549" s="5"/>
    </row>
    <row r="550" ht="30.0" customHeight="1">
      <c r="AH550" s="5"/>
      <c r="AI550" s="5"/>
      <c r="AJ550" s="5"/>
    </row>
    <row r="551" ht="30.0" customHeight="1">
      <c r="AH551" s="5"/>
      <c r="AI551" s="5"/>
      <c r="AJ551" s="5"/>
    </row>
    <row r="552" ht="30.0" customHeight="1">
      <c r="AH552" s="5"/>
      <c r="AI552" s="5"/>
      <c r="AJ552" s="5"/>
    </row>
    <row r="553" ht="30.0" customHeight="1">
      <c r="AH553" s="5"/>
      <c r="AI553" s="5"/>
      <c r="AJ553" s="5"/>
    </row>
    <row r="554" ht="30.0" customHeight="1">
      <c r="AH554" s="5"/>
      <c r="AI554" s="5"/>
      <c r="AJ554" s="5"/>
    </row>
    <row r="555" ht="30.0" customHeight="1">
      <c r="AH555" s="5"/>
      <c r="AI555" s="5"/>
      <c r="AJ555" s="5"/>
    </row>
    <row r="556" ht="30.0" customHeight="1">
      <c r="AH556" s="5"/>
      <c r="AI556" s="5"/>
      <c r="AJ556" s="5"/>
    </row>
    <row r="557" ht="30.0" customHeight="1">
      <c r="AH557" s="5"/>
      <c r="AI557" s="5"/>
      <c r="AJ557" s="5"/>
    </row>
    <row r="558" ht="30.0" customHeight="1">
      <c r="AH558" s="5"/>
      <c r="AI558" s="5"/>
      <c r="AJ558" s="5"/>
    </row>
    <row r="559" ht="30.0" customHeight="1">
      <c r="AH559" s="5"/>
      <c r="AI559" s="5"/>
      <c r="AJ559" s="5"/>
    </row>
    <row r="560" ht="30.0" customHeight="1">
      <c r="AH560" s="5"/>
      <c r="AI560" s="5"/>
      <c r="AJ560" s="5"/>
    </row>
    <row r="561" ht="30.0" customHeight="1">
      <c r="AH561" s="5"/>
      <c r="AI561" s="5"/>
      <c r="AJ561" s="5"/>
    </row>
    <row r="562" ht="30.0" customHeight="1">
      <c r="AH562" s="5"/>
      <c r="AI562" s="5"/>
      <c r="AJ562" s="5"/>
    </row>
    <row r="563" ht="30.0" customHeight="1">
      <c r="AH563" s="5"/>
      <c r="AI563" s="5"/>
      <c r="AJ563" s="5"/>
    </row>
    <row r="564" ht="30.0" customHeight="1">
      <c r="AH564" s="5"/>
      <c r="AI564" s="5"/>
      <c r="AJ564" s="5"/>
    </row>
    <row r="565" ht="30.0" customHeight="1">
      <c r="AH565" s="5"/>
      <c r="AI565" s="5"/>
      <c r="AJ565" s="5"/>
    </row>
    <row r="566" ht="30.0" customHeight="1">
      <c r="AH566" s="5"/>
      <c r="AI566" s="5"/>
      <c r="AJ566" s="5"/>
    </row>
    <row r="567" ht="30.0" customHeight="1">
      <c r="AH567" s="5"/>
      <c r="AI567" s="5"/>
      <c r="AJ567" s="5"/>
    </row>
    <row r="568" ht="30.0" customHeight="1">
      <c r="AH568" s="5"/>
      <c r="AI568" s="5"/>
      <c r="AJ568" s="5"/>
    </row>
    <row r="569" ht="30.0" customHeight="1">
      <c r="AH569" s="5"/>
      <c r="AI569" s="5"/>
      <c r="AJ569" s="5"/>
    </row>
    <row r="570" ht="30.0" customHeight="1">
      <c r="AH570" s="5"/>
      <c r="AI570" s="5"/>
      <c r="AJ570" s="5"/>
    </row>
    <row r="571" ht="30.0" customHeight="1">
      <c r="AH571" s="5"/>
      <c r="AI571" s="5"/>
      <c r="AJ571" s="5"/>
    </row>
    <row r="572" ht="30.0" customHeight="1">
      <c r="AH572" s="5"/>
      <c r="AI572" s="5"/>
      <c r="AJ572" s="5"/>
    </row>
    <row r="573" ht="30.0" customHeight="1">
      <c r="AH573" s="5"/>
      <c r="AI573" s="5"/>
      <c r="AJ573" s="5"/>
    </row>
    <row r="574" ht="30.0" customHeight="1">
      <c r="AH574" s="5"/>
      <c r="AI574" s="5"/>
      <c r="AJ574" s="5"/>
    </row>
    <row r="575" ht="30.0" customHeight="1">
      <c r="AH575" s="5"/>
      <c r="AI575" s="5"/>
      <c r="AJ575" s="5"/>
    </row>
    <row r="576" ht="30.0" customHeight="1">
      <c r="AH576" s="5"/>
      <c r="AI576" s="5"/>
      <c r="AJ576" s="5"/>
    </row>
    <row r="577" ht="30.0" customHeight="1">
      <c r="AH577" s="5"/>
      <c r="AI577" s="5"/>
      <c r="AJ577" s="5"/>
    </row>
    <row r="578" ht="30.0" customHeight="1">
      <c r="AH578" s="5"/>
      <c r="AI578" s="5"/>
      <c r="AJ578" s="5"/>
    </row>
    <row r="579" ht="30.0" customHeight="1">
      <c r="AH579" s="5"/>
      <c r="AI579" s="5"/>
      <c r="AJ579" s="5"/>
    </row>
    <row r="580" ht="30.0" customHeight="1">
      <c r="AH580" s="5"/>
      <c r="AI580" s="5"/>
      <c r="AJ580" s="5"/>
    </row>
    <row r="581" ht="30.0" customHeight="1">
      <c r="AH581" s="5"/>
      <c r="AI581" s="5"/>
      <c r="AJ581" s="5"/>
    </row>
    <row r="582" ht="30.0" customHeight="1">
      <c r="AH582" s="5"/>
      <c r="AI582" s="5"/>
      <c r="AJ582" s="5"/>
    </row>
    <row r="583" ht="30.0" customHeight="1">
      <c r="AH583" s="5"/>
      <c r="AI583" s="5"/>
      <c r="AJ583" s="5"/>
    </row>
    <row r="584" ht="30.0" customHeight="1">
      <c r="AH584" s="5"/>
      <c r="AI584" s="5"/>
      <c r="AJ584" s="5"/>
    </row>
    <row r="585" ht="30.0" customHeight="1">
      <c r="AH585" s="5"/>
      <c r="AI585" s="5"/>
      <c r="AJ585" s="5"/>
    </row>
    <row r="586" ht="30.0" customHeight="1">
      <c r="AH586" s="5"/>
      <c r="AI586" s="5"/>
      <c r="AJ586" s="5"/>
    </row>
    <row r="587" ht="30.0" customHeight="1">
      <c r="AH587" s="5"/>
      <c r="AI587" s="5"/>
      <c r="AJ587" s="5"/>
    </row>
    <row r="588" ht="30.0" customHeight="1">
      <c r="AH588" s="5"/>
      <c r="AI588" s="5"/>
      <c r="AJ588" s="5"/>
    </row>
    <row r="589" ht="30.0" customHeight="1">
      <c r="AH589" s="5"/>
      <c r="AI589" s="5"/>
      <c r="AJ589" s="5"/>
    </row>
    <row r="590" ht="30.0" customHeight="1">
      <c r="AH590" s="5"/>
      <c r="AI590" s="5"/>
      <c r="AJ590" s="5"/>
    </row>
    <row r="591" ht="30.0" customHeight="1">
      <c r="AH591" s="5"/>
      <c r="AI591" s="5"/>
      <c r="AJ591" s="5"/>
    </row>
    <row r="592" ht="30.0" customHeight="1">
      <c r="AH592" s="5"/>
      <c r="AI592" s="5"/>
      <c r="AJ592" s="5"/>
    </row>
    <row r="593" ht="30.0" customHeight="1">
      <c r="AH593" s="5"/>
      <c r="AI593" s="5"/>
      <c r="AJ593" s="5"/>
    </row>
    <row r="594" ht="30.0" customHeight="1">
      <c r="AH594" s="5"/>
      <c r="AI594" s="5"/>
      <c r="AJ594" s="5"/>
    </row>
    <row r="595" ht="30.0" customHeight="1">
      <c r="AH595" s="5"/>
      <c r="AI595" s="5"/>
      <c r="AJ595" s="5"/>
    </row>
    <row r="596" ht="30.0" customHeight="1">
      <c r="AH596" s="5"/>
      <c r="AI596" s="5"/>
      <c r="AJ596" s="5"/>
    </row>
    <row r="597" ht="30.0" customHeight="1">
      <c r="AH597" s="5"/>
      <c r="AI597" s="5"/>
      <c r="AJ597" s="5"/>
    </row>
    <row r="598" ht="30.0" customHeight="1">
      <c r="AH598" s="5"/>
      <c r="AI598" s="5"/>
      <c r="AJ598" s="5"/>
    </row>
    <row r="599" ht="30.0" customHeight="1">
      <c r="AH599" s="5"/>
      <c r="AI599" s="5"/>
      <c r="AJ599" s="5"/>
    </row>
    <row r="600" ht="30.0" customHeight="1">
      <c r="AH600" s="5"/>
      <c r="AI600" s="5"/>
      <c r="AJ600" s="5"/>
    </row>
    <row r="601" ht="30.0" customHeight="1">
      <c r="AH601" s="5"/>
      <c r="AI601" s="5"/>
      <c r="AJ601" s="5"/>
    </row>
    <row r="602" ht="30.0" customHeight="1">
      <c r="AH602" s="5"/>
      <c r="AI602" s="5"/>
      <c r="AJ602" s="5"/>
    </row>
    <row r="603" ht="30.0" customHeight="1">
      <c r="AH603" s="5"/>
      <c r="AI603" s="5"/>
      <c r="AJ603" s="5"/>
    </row>
    <row r="604" ht="30.0" customHeight="1">
      <c r="AH604" s="5"/>
      <c r="AI604" s="5"/>
      <c r="AJ604" s="5"/>
    </row>
    <row r="605" ht="30.0" customHeight="1">
      <c r="AH605" s="5"/>
      <c r="AI605" s="5"/>
      <c r="AJ605" s="5"/>
    </row>
    <row r="606" ht="30.0" customHeight="1">
      <c r="AH606" s="5"/>
      <c r="AI606" s="5"/>
      <c r="AJ606" s="5"/>
    </row>
    <row r="607" ht="30.0" customHeight="1">
      <c r="AH607" s="5"/>
      <c r="AI607" s="5"/>
      <c r="AJ607" s="5"/>
    </row>
    <row r="608" ht="30.0" customHeight="1">
      <c r="AH608" s="5"/>
      <c r="AI608" s="5"/>
      <c r="AJ608" s="5"/>
    </row>
    <row r="609" ht="30.0" customHeight="1">
      <c r="AH609" s="5"/>
      <c r="AI609" s="5"/>
      <c r="AJ609" s="5"/>
    </row>
    <row r="610" ht="30.0" customHeight="1">
      <c r="AH610" s="5"/>
      <c r="AI610" s="5"/>
      <c r="AJ610" s="5"/>
    </row>
    <row r="611" ht="30.0" customHeight="1">
      <c r="AH611" s="5"/>
      <c r="AI611" s="5"/>
      <c r="AJ611" s="5"/>
    </row>
    <row r="612" ht="30.0" customHeight="1">
      <c r="AH612" s="5"/>
      <c r="AI612" s="5"/>
      <c r="AJ612" s="5"/>
    </row>
    <row r="613" ht="30.0" customHeight="1">
      <c r="AH613" s="5"/>
      <c r="AI613" s="5"/>
      <c r="AJ613" s="5"/>
    </row>
    <row r="614" ht="30.0" customHeight="1">
      <c r="AH614" s="5"/>
      <c r="AI614" s="5"/>
      <c r="AJ614" s="5"/>
    </row>
    <row r="615" ht="30.0" customHeight="1">
      <c r="AH615" s="5"/>
      <c r="AI615" s="5"/>
      <c r="AJ615" s="5"/>
    </row>
    <row r="616" ht="30.0" customHeight="1">
      <c r="AH616" s="5"/>
      <c r="AI616" s="5"/>
      <c r="AJ616" s="5"/>
    </row>
    <row r="617" ht="30.0" customHeight="1">
      <c r="AH617" s="5"/>
      <c r="AI617" s="5"/>
      <c r="AJ617" s="5"/>
    </row>
    <row r="618" ht="30.0" customHeight="1">
      <c r="AH618" s="5"/>
      <c r="AI618" s="5"/>
      <c r="AJ618" s="5"/>
    </row>
    <row r="619" ht="30.0" customHeight="1">
      <c r="AH619" s="5"/>
      <c r="AI619" s="5"/>
      <c r="AJ619" s="5"/>
    </row>
    <row r="620" ht="30.0" customHeight="1">
      <c r="AH620" s="5"/>
      <c r="AI620" s="5"/>
      <c r="AJ620" s="5"/>
    </row>
    <row r="621" ht="30.0" customHeight="1">
      <c r="AH621" s="5"/>
      <c r="AI621" s="5"/>
      <c r="AJ621" s="5"/>
    </row>
    <row r="622" ht="30.0" customHeight="1">
      <c r="AH622" s="5"/>
      <c r="AI622" s="5"/>
      <c r="AJ622" s="5"/>
    </row>
    <row r="623" ht="30.0" customHeight="1">
      <c r="AH623" s="5"/>
      <c r="AI623" s="5"/>
      <c r="AJ623" s="5"/>
    </row>
    <row r="624" ht="30.0" customHeight="1">
      <c r="AH624" s="5"/>
      <c r="AI624" s="5"/>
      <c r="AJ624" s="5"/>
    </row>
    <row r="625" ht="30.0" customHeight="1">
      <c r="AH625" s="5"/>
      <c r="AI625" s="5"/>
      <c r="AJ625" s="5"/>
    </row>
    <row r="626" ht="30.0" customHeight="1">
      <c r="AH626" s="5"/>
      <c r="AI626" s="5"/>
      <c r="AJ626" s="5"/>
    </row>
    <row r="627" ht="30.0" customHeight="1">
      <c r="AH627" s="5"/>
      <c r="AI627" s="5"/>
      <c r="AJ627" s="5"/>
    </row>
    <row r="628" ht="30.0" customHeight="1">
      <c r="AH628" s="5"/>
      <c r="AI628" s="5"/>
      <c r="AJ628" s="5"/>
    </row>
    <row r="629" ht="30.0" customHeight="1">
      <c r="AH629" s="5"/>
      <c r="AI629" s="5"/>
      <c r="AJ629" s="5"/>
    </row>
    <row r="630" ht="30.0" customHeight="1">
      <c r="AH630" s="5"/>
      <c r="AI630" s="5"/>
      <c r="AJ630" s="5"/>
    </row>
    <row r="631" ht="30.0" customHeight="1">
      <c r="AH631" s="5"/>
      <c r="AI631" s="5"/>
      <c r="AJ631" s="5"/>
    </row>
    <row r="632" ht="30.0" customHeight="1">
      <c r="AH632" s="5"/>
      <c r="AI632" s="5"/>
      <c r="AJ632" s="5"/>
    </row>
    <row r="633" ht="30.0" customHeight="1">
      <c r="AH633" s="5"/>
      <c r="AI633" s="5"/>
      <c r="AJ633" s="5"/>
    </row>
    <row r="634" ht="30.0" customHeight="1">
      <c r="AH634" s="5"/>
      <c r="AI634" s="5"/>
      <c r="AJ634" s="5"/>
    </row>
    <row r="635" ht="30.0" customHeight="1">
      <c r="AH635" s="5"/>
      <c r="AI635" s="5"/>
      <c r="AJ635" s="5"/>
    </row>
    <row r="636" ht="30.0" customHeight="1">
      <c r="AH636" s="5"/>
      <c r="AI636" s="5"/>
      <c r="AJ636" s="5"/>
    </row>
    <row r="637" ht="30.0" customHeight="1">
      <c r="AH637" s="5"/>
      <c r="AI637" s="5"/>
      <c r="AJ637" s="5"/>
    </row>
    <row r="638" ht="30.0" customHeight="1">
      <c r="AH638" s="5"/>
      <c r="AI638" s="5"/>
      <c r="AJ638" s="5"/>
    </row>
    <row r="639" ht="30.0" customHeight="1">
      <c r="AH639" s="5"/>
      <c r="AI639" s="5"/>
      <c r="AJ639" s="5"/>
    </row>
    <row r="640" ht="30.0" customHeight="1">
      <c r="AH640" s="5"/>
      <c r="AI640" s="5"/>
      <c r="AJ640" s="5"/>
    </row>
    <row r="641" ht="30.0" customHeight="1">
      <c r="AH641" s="5"/>
      <c r="AI641" s="5"/>
      <c r="AJ641" s="5"/>
    </row>
    <row r="642" ht="30.0" customHeight="1">
      <c r="AH642" s="5"/>
      <c r="AI642" s="5"/>
      <c r="AJ642" s="5"/>
    </row>
    <row r="643" ht="30.0" customHeight="1">
      <c r="AH643" s="5"/>
      <c r="AI643" s="5"/>
      <c r="AJ643" s="5"/>
    </row>
    <row r="644" ht="30.0" customHeight="1">
      <c r="AH644" s="5"/>
      <c r="AI644" s="5"/>
      <c r="AJ644" s="5"/>
    </row>
    <row r="645" ht="30.0" customHeight="1">
      <c r="AH645" s="5"/>
      <c r="AI645" s="5"/>
      <c r="AJ645" s="5"/>
    </row>
    <row r="646" ht="30.0" customHeight="1">
      <c r="AH646" s="5"/>
      <c r="AI646" s="5"/>
      <c r="AJ646" s="5"/>
    </row>
    <row r="647" ht="30.0" customHeight="1">
      <c r="AH647" s="5"/>
      <c r="AI647" s="5"/>
      <c r="AJ647" s="5"/>
    </row>
    <row r="648" ht="30.0" customHeight="1">
      <c r="AH648" s="5"/>
      <c r="AI648" s="5"/>
      <c r="AJ648" s="5"/>
    </row>
    <row r="649" ht="30.0" customHeight="1">
      <c r="AH649" s="5"/>
      <c r="AI649" s="5"/>
      <c r="AJ649" s="5"/>
    </row>
    <row r="650" ht="30.0" customHeight="1">
      <c r="AH650" s="5"/>
      <c r="AI650" s="5"/>
      <c r="AJ650" s="5"/>
    </row>
    <row r="651" ht="30.0" customHeight="1">
      <c r="AH651" s="5"/>
      <c r="AI651" s="5"/>
      <c r="AJ651" s="5"/>
    </row>
    <row r="652" ht="30.0" customHeight="1">
      <c r="AH652" s="5"/>
      <c r="AI652" s="5"/>
      <c r="AJ652" s="5"/>
    </row>
    <row r="653" ht="30.0" customHeight="1">
      <c r="AH653" s="5"/>
      <c r="AI653" s="5"/>
      <c r="AJ653" s="5"/>
    </row>
    <row r="654" ht="30.0" customHeight="1">
      <c r="AH654" s="5"/>
      <c r="AI654" s="5"/>
      <c r="AJ654" s="5"/>
    </row>
    <row r="655" ht="30.0" customHeight="1">
      <c r="AH655" s="5"/>
      <c r="AI655" s="5"/>
      <c r="AJ655" s="5"/>
    </row>
    <row r="656" ht="30.0" customHeight="1">
      <c r="AH656" s="5"/>
      <c r="AI656" s="5"/>
      <c r="AJ656" s="5"/>
    </row>
    <row r="657" ht="30.0" customHeight="1">
      <c r="AH657" s="5"/>
      <c r="AI657" s="5"/>
      <c r="AJ657" s="5"/>
    </row>
    <row r="658" ht="30.0" customHeight="1">
      <c r="AH658" s="5"/>
      <c r="AI658" s="5"/>
      <c r="AJ658" s="5"/>
    </row>
    <row r="659" ht="30.0" customHeight="1">
      <c r="AH659" s="5"/>
      <c r="AI659" s="5"/>
      <c r="AJ659" s="5"/>
    </row>
    <row r="660" ht="30.0" customHeight="1">
      <c r="AH660" s="5"/>
      <c r="AI660" s="5"/>
      <c r="AJ660" s="5"/>
    </row>
    <row r="661" ht="30.0" customHeight="1">
      <c r="AH661" s="5"/>
      <c r="AI661" s="5"/>
      <c r="AJ661" s="5"/>
    </row>
    <row r="662" ht="30.0" customHeight="1">
      <c r="AH662" s="5"/>
      <c r="AI662" s="5"/>
      <c r="AJ662" s="5"/>
    </row>
    <row r="663" ht="30.0" customHeight="1">
      <c r="AH663" s="5"/>
      <c r="AI663" s="5"/>
      <c r="AJ663" s="5"/>
    </row>
    <row r="664" ht="30.0" customHeight="1">
      <c r="AH664" s="5"/>
      <c r="AI664" s="5"/>
      <c r="AJ664" s="5"/>
    </row>
    <row r="665" ht="30.0" customHeight="1">
      <c r="AH665" s="5"/>
      <c r="AI665" s="5"/>
      <c r="AJ665" s="5"/>
    </row>
    <row r="666" ht="30.0" customHeight="1">
      <c r="AH666" s="5"/>
      <c r="AI666" s="5"/>
      <c r="AJ666" s="5"/>
    </row>
    <row r="667" ht="30.0" customHeight="1">
      <c r="AH667" s="5"/>
      <c r="AI667" s="5"/>
      <c r="AJ667" s="5"/>
    </row>
    <row r="668" ht="30.0" customHeight="1">
      <c r="AH668" s="5"/>
      <c r="AI668" s="5"/>
      <c r="AJ668" s="5"/>
    </row>
    <row r="669" ht="30.0" customHeight="1">
      <c r="AH669" s="5"/>
      <c r="AI669" s="5"/>
      <c r="AJ669" s="5"/>
    </row>
    <row r="670" ht="30.0" customHeight="1">
      <c r="AH670" s="5"/>
      <c r="AI670" s="5"/>
      <c r="AJ670" s="5"/>
    </row>
    <row r="671" ht="30.0" customHeight="1">
      <c r="AH671" s="5"/>
      <c r="AI671" s="5"/>
      <c r="AJ671" s="5"/>
    </row>
    <row r="672" ht="30.0" customHeight="1">
      <c r="AH672" s="5"/>
      <c r="AI672" s="5"/>
      <c r="AJ672" s="5"/>
    </row>
    <row r="673" ht="30.0" customHeight="1">
      <c r="AH673" s="5"/>
      <c r="AI673" s="5"/>
      <c r="AJ673" s="5"/>
    </row>
    <row r="674" ht="30.0" customHeight="1">
      <c r="AH674" s="5"/>
      <c r="AI674" s="5"/>
      <c r="AJ674" s="5"/>
    </row>
    <row r="675" ht="30.0" customHeight="1">
      <c r="AH675" s="5"/>
      <c r="AI675" s="5"/>
      <c r="AJ675" s="5"/>
    </row>
    <row r="676" ht="30.0" customHeight="1">
      <c r="AH676" s="5"/>
      <c r="AI676" s="5"/>
      <c r="AJ676" s="5"/>
    </row>
    <row r="677" ht="30.0" customHeight="1">
      <c r="AH677" s="5"/>
      <c r="AI677" s="5"/>
      <c r="AJ677" s="5"/>
    </row>
    <row r="678" ht="30.0" customHeight="1">
      <c r="AH678" s="5"/>
      <c r="AI678" s="5"/>
      <c r="AJ678" s="5"/>
    </row>
    <row r="679" ht="30.0" customHeight="1">
      <c r="AH679" s="5"/>
      <c r="AI679" s="5"/>
      <c r="AJ679" s="5"/>
    </row>
    <row r="680" ht="30.0" customHeight="1">
      <c r="AH680" s="5"/>
      <c r="AI680" s="5"/>
      <c r="AJ680" s="5"/>
    </row>
    <row r="681" ht="30.0" customHeight="1">
      <c r="AH681" s="5"/>
      <c r="AI681" s="5"/>
      <c r="AJ681" s="5"/>
    </row>
    <row r="682" ht="30.0" customHeight="1">
      <c r="AH682" s="5"/>
      <c r="AI682" s="5"/>
      <c r="AJ682" s="5"/>
    </row>
    <row r="683" ht="30.0" customHeight="1">
      <c r="AH683" s="5"/>
      <c r="AI683" s="5"/>
      <c r="AJ683" s="5"/>
    </row>
    <row r="684" ht="30.0" customHeight="1">
      <c r="AH684" s="5"/>
      <c r="AI684" s="5"/>
      <c r="AJ684" s="5"/>
    </row>
    <row r="685" ht="30.0" customHeight="1">
      <c r="AH685" s="5"/>
      <c r="AI685" s="5"/>
      <c r="AJ685" s="5"/>
    </row>
    <row r="686" ht="30.0" customHeight="1">
      <c r="AH686" s="5"/>
      <c r="AI686" s="5"/>
      <c r="AJ686" s="5"/>
    </row>
    <row r="687" ht="30.0" customHeight="1">
      <c r="AH687" s="5"/>
      <c r="AI687" s="5"/>
      <c r="AJ687" s="5"/>
    </row>
    <row r="688" ht="30.0" customHeight="1">
      <c r="AH688" s="5"/>
      <c r="AI688" s="5"/>
      <c r="AJ688" s="5"/>
    </row>
    <row r="689" ht="30.0" customHeight="1">
      <c r="AH689" s="5"/>
      <c r="AI689" s="5"/>
      <c r="AJ689" s="5"/>
    </row>
    <row r="690" ht="30.0" customHeight="1">
      <c r="AH690" s="5"/>
      <c r="AI690" s="5"/>
      <c r="AJ690" s="5"/>
    </row>
    <row r="691" ht="30.0" customHeight="1">
      <c r="AH691" s="5"/>
      <c r="AI691" s="5"/>
      <c r="AJ691" s="5"/>
    </row>
    <row r="692" ht="30.0" customHeight="1">
      <c r="AH692" s="5"/>
      <c r="AI692" s="5"/>
      <c r="AJ692" s="5"/>
    </row>
    <row r="693" ht="30.0" customHeight="1">
      <c r="AH693" s="5"/>
      <c r="AI693" s="5"/>
      <c r="AJ693" s="5"/>
    </row>
    <row r="694" ht="30.0" customHeight="1">
      <c r="AH694" s="5"/>
      <c r="AI694" s="5"/>
      <c r="AJ694" s="5"/>
    </row>
    <row r="695" ht="30.0" customHeight="1">
      <c r="AH695" s="5"/>
      <c r="AI695" s="5"/>
      <c r="AJ695" s="5"/>
    </row>
    <row r="696" ht="30.0" customHeight="1">
      <c r="AH696" s="5"/>
      <c r="AI696" s="5"/>
      <c r="AJ696" s="5"/>
    </row>
    <row r="697" ht="30.0" customHeight="1">
      <c r="AH697" s="5"/>
      <c r="AI697" s="5"/>
      <c r="AJ697" s="5"/>
    </row>
    <row r="698" ht="30.0" customHeight="1">
      <c r="AH698" s="5"/>
      <c r="AI698" s="5"/>
      <c r="AJ698" s="5"/>
    </row>
    <row r="699" ht="30.0" customHeight="1">
      <c r="AH699" s="5"/>
      <c r="AI699" s="5"/>
      <c r="AJ699" s="5"/>
    </row>
    <row r="700" ht="30.0" customHeight="1">
      <c r="AH700" s="5"/>
      <c r="AI700" s="5"/>
      <c r="AJ700" s="5"/>
    </row>
    <row r="701" ht="30.0" customHeight="1">
      <c r="AH701" s="5"/>
      <c r="AI701" s="5"/>
      <c r="AJ701" s="5"/>
    </row>
    <row r="702" ht="30.0" customHeight="1">
      <c r="AH702" s="5"/>
      <c r="AI702" s="5"/>
      <c r="AJ702" s="5"/>
    </row>
    <row r="703" ht="30.0" customHeight="1">
      <c r="AH703" s="5"/>
      <c r="AI703" s="5"/>
      <c r="AJ703" s="5"/>
    </row>
    <row r="704" ht="30.0" customHeight="1">
      <c r="AH704" s="5"/>
      <c r="AI704" s="5"/>
      <c r="AJ704" s="5"/>
    </row>
    <row r="705" ht="30.0" customHeight="1">
      <c r="AH705" s="5"/>
      <c r="AI705" s="5"/>
      <c r="AJ705" s="5"/>
    </row>
    <row r="706" ht="30.0" customHeight="1">
      <c r="AH706" s="5"/>
      <c r="AI706" s="5"/>
      <c r="AJ706" s="5"/>
    </row>
    <row r="707" ht="30.0" customHeight="1">
      <c r="AH707" s="5"/>
      <c r="AI707" s="5"/>
      <c r="AJ707" s="5"/>
    </row>
    <row r="708" ht="30.0" customHeight="1">
      <c r="AH708" s="5"/>
      <c r="AI708" s="5"/>
      <c r="AJ708" s="5"/>
    </row>
    <row r="709" ht="30.0" customHeight="1">
      <c r="AH709" s="5"/>
      <c r="AI709" s="5"/>
      <c r="AJ709" s="5"/>
    </row>
    <row r="710" ht="30.0" customHeight="1">
      <c r="AH710" s="5"/>
      <c r="AI710" s="5"/>
      <c r="AJ710" s="5"/>
    </row>
    <row r="711" ht="30.0" customHeight="1">
      <c r="AH711" s="5"/>
      <c r="AI711" s="5"/>
      <c r="AJ711" s="5"/>
    </row>
    <row r="712" ht="30.0" customHeight="1">
      <c r="AH712" s="5"/>
      <c r="AI712" s="5"/>
      <c r="AJ712" s="5"/>
    </row>
    <row r="713" ht="30.0" customHeight="1">
      <c r="AH713" s="5"/>
      <c r="AI713" s="5"/>
      <c r="AJ713" s="5"/>
    </row>
    <row r="714" ht="30.0" customHeight="1">
      <c r="AH714" s="5"/>
      <c r="AI714" s="5"/>
      <c r="AJ714" s="5"/>
    </row>
    <row r="715" ht="30.0" customHeight="1">
      <c r="AH715" s="5"/>
      <c r="AI715" s="5"/>
      <c r="AJ715" s="5"/>
    </row>
    <row r="716" ht="30.0" customHeight="1">
      <c r="AH716" s="5"/>
      <c r="AI716" s="5"/>
      <c r="AJ716" s="5"/>
    </row>
    <row r="717" ht="30.0" customHeight="1">
      <c r="AH717" s="5"/>
      <c r="AI717" s="5"/>
      <c r="AJ717" s="5"/>
    </row>
    <row r="718" ht="30.0" customHeight="1">
      <c r="AH718" s="5"/>
      <c r="AI718" s="5"/>
      <c r="AJ718" s="5"/>
    </row>
    <row r="719" ht="30.0" customHeight="1">
      <c r="AH719" s="5"/>
      <c r="AI719" s="5"/>
      <c r="AJ719" s="5"/>
    </row>
    <row r="720" ht="30.0" customHeight="1">
      <c r="AH720" s="5"/>
      <c r="AI720" s="5"/>
      <c r="AJ720" s="5"/>
    </row>
    <row r="721" ht="30.0" customHeight="1">
      <c r="AH721" s="5"/>
      <c r="AI721" s="5"/>
      <c r="AJ721" s="5"/>
    </row>
    <row r="722" ht="30.0" customHeight="1">
      <c r="AH722" s="5"/>
      <c r="AI722" s="5"/>
      <c r="AJ722" s="5"/>
    </row>
    <row r="723" ht="30.0" customHeight="1">
      <c r="AH723" s="5"/>
      <c r="AI723" s="5"/>
      <c r="AJ723" s="5"/>
    </row>
    <row r="724" ht="30.0" customHeight="1">
      <c r="AH724" s="5"/>
      <c r="AI724" s="5"/>
      <c r="AJ724" s="5"/>
    </row>
    <row r="725" ht="30.0" customHeight="1">
      <c r="AH725" s="5"/>
      <c r="AI725" s="5"/>
      <c r="AJ725" s="5"/>
    </row>
    <row r="726" ht="30.0" customHeight="1">
      <c r="AH726" s="5"/>
      <c r="AI726" s="5"/>
      <c r="AJ726" s="5"/>
    </row>
    <row r="727" ht="30.0" customHeight="1">
      <c r="AH727" s="5"/>
      <c r="AI727" s="5"/>
      <c r="AJ727" s="5"/>
    </row>
    <row r="728" ht="30.0" customHeight="1">
      <c r="AH728" s="5"/>
      <c r="AI728" s="5"/>
      <c r="AJ728" s="5"/>
    </row>
    <row r="729" ht="30.0" customHeight="1">
      <c r="AH729" s="5"/>
      <c r="AI729" s="5"/>
      <c r="AJ729" s="5"/>
    </row>
    <row r="730" ht="30.0" customHeight="1">
      <c r="AH730" s="5"/>
      <c r="AI730" s="5"/>
      <c r="AJ730" s="5"/>
    </row>
    <row r="731" ht="30.0" customHeight="1">
      <c r="AH731" s="5"/>
      <c r="AI731" s="5"/>
      <c r="AJ731" s="5"/>
    </row>
    <row r="732" ht="30.0" customHeight="1">
      <c r="AH732" s="5"/>
      <c r="AI732" s="5"/>
      <c r="AJ732" s="5"/>
    </row>
    <row r="733" ht="30.0" customHeight="1">
      <c r="AH733" s="5"/>
      <c r="AI733" s="5"/>
      <c r="AJ733" s="5"/>
    </row>
    <row r="734" ht="30.0" customHeight="1">
      <c r="AH734" s="5"/>
      <c r="AI734" s="5"/>
      <c r="AJ734" s="5"/>
    </row>
    <row r="735" ht="30.0" customHeight="1">
      <c r="AH735" s="5"/>
      <c r="AI735" s="5"/>
      <c r="AJ735" s="5"/>
    </row>
    <row r="736" ht="30.0" customHeight="1">
      <c r="AH736" s="5"/>
      <c r="AI736" s="5"/>
      <c r="AJ736" s="5"/>
    </row>
    <row r="737" ht="30.0" customHeight="1">
      <c r="AH737" s="5"/>
      <c r="AI737" s="5"/>
      <c r="AJ737" s="5"/>
    </row>
    <row r="738" ht="30.0" customHeight="1">
      <c r="AH738" s="5"/>
      <c r="AI738" s="5"/>
      <c r="AJ738" s="5"/>
    </row>
    <row r="739" ht="30.0" customHeight="1">
      <c r="AH739" s="5"/>
      <c r="AI739" s="5"/>
      <c r="AJ739" s="5"/>
    </row>
    <row r="740" ht="30.0" customHeight="1">
      <c r="AH740" s="5"/>
      <c r="AI740" s="5"/>
      <c r="AJ740" s="5"/>
    </row>
    <row r="741" ht="30.0" customHeight="1">
      <c r="AH741" s="5"/>
      <c r="AI741" s="5"/>
      <c r="AJ741" s="5"/>
    </row>
    <row r="742" ht="30.0" customHeight="1">
      <c r="AH742" s="5"/>
      <c r="AI742" s="5"/>
      <c r="AJ742" s="5"/>
    </row>
    <row r="743" ht="30.0" customHeight="1">
      <c r="AH743" s="5"/>
      <c r="AI743" s="5"/>
      <c r="AJ743" s="5"/>
    </row>
    <row r="744" ht="30.0" customHeight="1">
      <c r="AH744" s="5"/>
      <c r="AI744" s="5"/>
      <c r="AJ744" s="5"/>
    </row>
    <row r="745" ht="30.0" customHeight="1">
      <c r="AH745" s="5"/>
      <c r="AI745" s="5"/>
      <c r="AJ745" s="5"/>
    </row>
    <row r="746" ht="30.0" customHeight="1">
      <c r="AH746" s="5"/>
      <c r="AI746" s="5"/>
      <c r="AJ746" s="5"/>
    </row>
    <row r="747" ht="30.0" customHeight="1">
      <c r="AH747" s="5"/>
      <c r="AI747" s="5"/>
      <c r="AJ747" s="5"/>
    </row>
    <row r="748" ht="30.0" customHeight="1">
      <c r="AH748" s="5"/>
      <c r="AI748" s="5"/>
      <c r="AJ748" s="5"/>
    </row>
    <row r="749" ht="30.0" customHeight="1">
      <c r="AH749" s="5"/>
      <c r="AI749" s="5"/>
      <c r="AJ749" s="5"/>
    </row>
    <row r="750" ht="30.0" customHeight="1">
      <c r="AH750" s="5"/>
      <c r="AI750" s="5"/>
      <c r="AJ750" s="5"/>
    </row>
    <row r="751" ht="30.0" customHeight="1">
      <c r="AH751" s="5"/>
      <c r="AI751" s="5"/>
      <c r="AJ751" s="5"/>
    </row>
    <row r="752" ht="30.0" customHeight="1">
      <c r="AH752" s="5"/>
      <c r="AI752" s="5"/>
      <c r="AJ752" s="5"/>
    </row>
    <row r="753" ht="30.0" customHeight="1">
      <c r="AH753" s="5"/>
      <c r="AI753" s="5"/>
      <c r="AJ753" s="5"/>
    </row>
    <row r="754" ht="30.0" customHeight="1">
      <c r="AH754" s="5"/>
      <c r="AI754" s="5"/>
      <c r="AJ754" s="5"/>
    </row>
    <row r="755" ht="30.0" customHeight="1">
      <c r="AH755" s="5"/>
      <c r="AI755" s="5"/>
      <c r="AJ755" s="5"/>
    </row>
    <row r="756" ht="30.0" customHeight="1">
      <c r="AH756" s="5"/>
      <c r="AI756" s="5"/>
      <c r="AJ756" s="5"/>
    </row>
    <row r="757" ht="30.0" customHeight="1">
      <c r="AH757" s="5"/>
      <c r="AI757" s="5"/>
      <c r="AJ757" s="5"/>
    </row>
    <row r="758" ht="30.0" customHeight="1">
      <c r="AH758" s="5"/>
      <c r="AI758" s="5"/>
      <c r="AJ758" s="5"/>
    </row>
    <row r="759" ht="30.0" customHeight="1">
      <c r="AH759" s="5"/>
      <c r="AI759" s="5"/>
      <c r="AJ759" s="5"/>
    </row>
    <row r="760" ht="30.0" customHeight="1">
      <c r="AH760" s="5"/>
      <c r="AI760" s="5"/>
      <c r="AJ760" s="5"/>
    </row>
    <row r="761" ht="30.0" customHeight="1">
      <c r="AH761" s="5"/>
      <c r="AI761" s="5"/>
      <c r="AJ761" s="5"/>
    </row>
    <row r="762" ht="30.0" customHeight="1">
      <c r="AH762" s="5"/>
      <c r="AI762" s="5"/>
      <c r="AJ762" s="5"/>
    </row>
    <row r="763" ht="30.0" customHeight="1">
      <c r="AH763" s="5"/>
      <c r="AI763" s="5"/>
      <c r="AJ763" s="5"/>
    </row>
    <row r="764" ht="30.0" customHeight="1">
      <c r="AH764" s="5"/>
      <c r="AI764" s="5"/>
      <c r="AJ764" s="5"/>
    </row>
    <row r="765" ht="30.0" customHeight="1">
      <c r="AH765" s="5"/>
      <c r="AI765" s="5"/>
      <c r="AJ765" s="5"/>
    </row>
    <row r="766" ht="30.0" customHeight="1">
      <c r="AH766" s="5"/>
      <c r="AI766" s="5"/>
      <c r="AJ766" s="5"/>
    </row>
    <row r="767" ht="30.0" customHeight="1">
      <c r="AH767" s="5"/>
      <c r="AI767" s="5"/>
      <c r="AJ767" s="5"/>
    </row>
    <row r="768" ht="30.0" customHeight="1">
      <c r="AH768" s="5"/>
      <c r="AI768" s="5"/>
      <c r="AJ768" s="5"/>
    </row>
    <row r="769" ht="30.0" customHeight="1">
      <c r="AH769" s="5"/>
      <c r="AI769" s="5"/>
      <c r="AJ769" s="5"/>
    </row>
    <row r="770" ht="30.0" customHeight="1">
      <c r="AH770" s="5"/>
      <c r="AI770" s="5"/>
      <c r="AJ770" s="5"/>
    </row>
    <row r="771" ht="30.0" customHeight="1">
      <c r="AH771" s="5"/>
      <c r="AI771" s="5"/>
      <c r="AJ771" s="5"/>
    </row>
    <row r="772" ht="30.0" customHeight="1">
      <c r="AH772" s="5"/>
      <c r="AI772" s="5"/>
      <c r="AJ772" s="5"/>
    </row>
    <row r="773" ht="30.0" customHeight="1">
      <c r="AH773" s="5"/>
      <c r="AI773" s="5"/>
      <c r="AJ773" s="5"/>
    </row>
    <row r="774" ht="30.0" customHeight="1">
      <c r="AH774" s="5"/>
      <c r="AI774" s="5"/>
      <c r="AJ774" s="5"/>
    </row>
    <row r="775" ht="30.0" customHeight="1">
      <c r="AH775" s="5"/>
      <c r="AI775" s="5"/>
      <c r="AJ775" s="5"/>
    </row>
    <row r="776" ht="30.0" customHeight="1">
      <c r="AH776" s="5"/>
      <c r="AI776" s="5"/>
      <c r="AJ776" s="5"/>
    </row>
    <row r="777" ht="30.0" customHeight="1">
      <c r="AH777" s="5"/>
      <c r="AI777" s="5"/>
      <c r="AJ777" s="5"/>
    </row>
    <row r="778" ht="30.0" customHeight="1">
      <c r="AH778" s="5"/>
      <c r="AI778" s="5"/>
      <c r="AJ778" s="5"/>
    </row>
    <row r="779" ht="30.0" customHeight="1">
      <c r="AH779" s="5"/>
      <c r="AI779" s="5"/>
      <c r="AJ779" s="5"/>
    </row>
    <row r="780" ht="30.0" customHeight="1">
      <c r="AH780" s="5"/>
      <c r="AI780" s="5"/>
      <c r="AJ780" s="5"/>
    </row>
    <row r="781" ht="30.0" customHeight="1">
      <c r="AH781" s="5"/>
      <c r="AI781" s="5"/>
      <c r="AJ781" s="5"/>
    </row>
    <row r="782" ht="30.0" customHeight="1">
      <c r="AH782" s="5"/>
      <c r="AI782" s="5"/>
      <c r="AJ782" s="5"/>
    </row>
    <row r="783" ht="30.0" customHeight="1">
      <c r="AH783" s="5"/>
      <c r="AI783" s="5"/>
      <c r="AJ783" s="5"/>
    </row>
    <row r="784" ht="30.0" customHeight="1">
      <c r="AH784" s="5"/>
      <c r="AI784" s="5"/>
      <c r="AJ784" s="5"/>
    </row>
    <row r="785" ht="30.0" customHeight="1">
      <c r="AH785" s="5"/>
      <c r="AI785" s="5"/>
      <c r="AJ785" s="5"/>
    </row>
    <row r="786" ht="30.0" customHeight="1">
      <c r="AH786" s="5"/>
      <c r="AI786" s="5"/>
      <c r="AJ786" s="5"/>
    </row>
    <row r="787" ht="30.0" customHeight="1">
      <c r="AH787" s="5"/>
      <c r="AI787" s="5"/>
      <c r="AJ787" s="5"/>
    </row>
    <row r="788" ht="30.0" customHeight="1">
      <c r="AH788" s="5"/>
      <c r="AI788" s="5"/>
      <c r="AJ788" s="5"/>
    </row>
    <row r="789" ht="30.0" customHeight="1">
      <c r="AH789" s="5"/>
      <c r="AI789" s="5"/>
      <c r="AJ789" s="5"/>
    </row>
    <row r="790" ht="30.0" customHeight="1">
      <c r="AH790" s="5"/>
      <c r="AI790" s="5"/>
      <c r="AJ790" s="5"/>
    </row>
    <row r="791" ht="30.0" customHeight="1">
      <c r="AH791" s="5"/>
      <c r="AI791" s="5"/>
      <c r="AJ791" s="5"/>
    </row>
    <row r="792" ht="30.0" customHeight="1">
      <c r="AH792" s="5"/>
      <c r="AI792" s="5"/>
      <c r="AJ792" s="5"/>
    </row>
    <row r="793" ht="30.0" customHeight="1">
      <c r="AH793" s="5"/>
      <c r="AI793" s="5"/>
      <c r="AJ793" s="5"/>
    </row>
    <row r="794" ht="30.0" customHeight="1">
      <c r="AH794" s="5"/>
      <c r="AI794" s="5"/>
      <c r="AJ794" s="5"/>
    </row>
    <row r="795" ht="30.0" customHeight="1">
      <c r="AH795" s="5"/>
      <c r="AI795" s="5"/>
      <c r="AJ795" s="5"/>
    </row>
    <row r="796" ht="30.0" customHeight="1">
      <c r="AH796" s="5"/>
      <c r="AI796" s="5"/>
      <c r="AJ796" s="5"/>
    </row>
    <row r="797" ht="30.0" customHeight="1">
      <c r="AH797" s="5"/>
      <c r="AI797" s="5"/>
      <c r="AJ797" s="5"/>
    </row>
    <row r="798" ht="30.0" customHeight="1">
      <c r="AH798" s="5"/>
      <c r="AI798" s="5"/>
      <c r="AJ798" s="5"/>
    </row>
    <row r="799" ht="30.0" customHeight="1">
      <c r="AH799" s="5"/>
      <c r="AI799" s="5"/>
      <c r="AJ799" s="5"/>
    </row>
    <row r="800" ht="30.0" customHeight="1">
      <c r="AH800" s="5"/>
      <c r="AI800" s="5"/>
      <c r="AJ800" s="5"/>
    </row>
    <row r="801" ht="30.0" customHeight="1">
      <c r="AH801" s="5"/>
      <c r="AI801" s="5"/>
      <c r="AJ801" s="5"/>
    </row>
    <row r="802" ht="30.0" customHeight="1">
      <c r="AH802" s="5"/>
      <c r="AI802" s="5"/>
      <c r="AJ802" s="5"/>
    </row>
    <row r="803" ht="30.0" customHeight="1">
      <c r="AH803" s="5"/>
      <c r="AI803" s="5"/>
      <c r="AJ803" s="5"/>
    </row>
    <row r="804" ht="30.0" customHeight="1">
      <c r="AH804" s="5"/>
      <c r="AI804" s="5"/>
      <c r="AJ804" s="5"/>
    </row>
    <row r="805" ht="30.0" customHeight="1">
      <c r="AH805" s="5"/>
      <c r="AI805" s="5"/>
      <c r="AJ805" s="5"/>
    </row>
    <row r="806" ht="30.0" customHeight="1">
      <c r="AH806" s="5"/>
      <c r="AI806" s="5"/>
      <c r="AJ806" s="5"/>
    </row>
    <row r="807" ht="30.0" customHeight="1">
      <c r="AH807" s="5"/>
      <c r="AI807" s="5"/>
      <c r="AJ807" s="5"/>
    </row>
    <row r="808" ht="30.0" customHeight="1">
      <c r="AH808" s="5"/>
      <c r="AI808" s="5"/>
      <c r="AJ808" s="5"/>
    </row>
    <row r="809" ht="30.0" customHeight="1">
      <c r="AH809" s="5"/>
      <c r="AI809" s="5"/>
      <c r="AJ809" s="5"/>
    </row>
    <row r="810" ht="30.0" customHeight="1">
      <c r="AH810" s="5"/>
      <c r="AI810" s="5"/>
      <c r="AJ810" s="5"/>
    </row>
    <row r="811" ht="30.0" customHeight="1">
      <c r="AH811" s="5"/>
      <c r="AI811" s="5"/>
      <c r="AJ811" s="5"/>
    </row>
    <row r="812" ht="30.0" customHeight="1">
      <c r="AH812" s="5"/>
      <c r="AI812" s="5"/>
      <c r="AJ812" s="5"/>
    </row>
    <row r="813" ht="30.0" customHeight="1">
      <c r="AH813" s="5"/>
      <c r="AI813" s="5"/>
      <c r="AJ813" s="5"/>
    </row>
    <row r="814" ht="30.0" customHeight="1">
      <c r="AH814" s="5"/>
      <c r="AI814" s="5"/>
      <c r="AJ814" s="5"/>
    </row>
    <row r="815" ht="30.0" customHeight="1">
      <c r="AH815" s="5"/>
      <c r="AI815" s="5"/>
      <c r="AJ815" s="5"/>
    </row>
    <row r="816" ht="30.0" customHeight="1">
      <c r="AH816" s="5"/>
      <c r="AI816" s="5"/>
      <c r="AJ816" s="5"/>
    </row>
    <row r="817" ht="30.0" customHeight="1">
      <c r="AH817" s="5"/>
      <c r="AI817" s="5"/>
      <c r="AJ817" s="5"/>
    </row>
    <row r="818" ht="30.0" customHeight="1">
      <c r="AH818" s="5"/>
      <c r="AI818" s="5"/>
      <c r="AJ818" s="5"/>
    </row>
    <row r="819" ht="30.0" customHeight="1">
      <c r="AH819" s="5"/>
      <c r="AI819" s="5"/>
      <c r="AJ819" s="5"/>
    </row>
    <row r="820" ht="30.0" customHeight="1">
      <c r="AH820" s="5"/>
      <c r="AI820" s="5"/>
      <c r="AJ820" s="5"/>
    </row>
    <row r="821" ht="30.0" customHeight="1">
      <c r="AH821" s="5"/>
      <c r="AI821" s="5"/>
      <c r="AJ821" s="5"/>
    </row>
    <row r="822" ht="30.0" customHeight="1">
      <c r="AH822" s="5"/>
      <c r="AI822" s="5"/>
      <c r="AJ822" s="5"/>
    </row>
    <row r="823" ht="30.0" customHeight="1">
      <c r="AH823" s="5"/>
      <c r="AI823" s="5"/>
      <c r="AJ823" s="5"/>
    </row>
    <row r="824" ht="30.0" customHeight="1">
      <c r="AH824" s="5"/>
      <c r="AI824" s="5"/>
      <c r="AJ824" s="5"/>
    </row>
    <row r="825" ht="30.0" customHeight="1">
      <c r="AH825" s="5"/>
      <c r="AI825" s="5"/>
      <c r="AJ825" s="5"/>
    </row>
    <row r="826" ht="30.0" customHeight="1">
      <c r="AH826" s="5"/>
      <c r="AI826" s="5"/>
      <c r="AJ826" s="5"/>
    </row>
    <row r="827" ht="30.0" customHeight="1">
      <c r="AH827" s="5"/>
      <c r="AI827" s="5"/>
      <c r="AJ827" s="5"/>
    </row>
    <row r="828" ht="30.0" customHeight="1">
      <c r="AH828" s="5"/>
      <c r="AI828" s="5"/>
      <c r="AJ828" s="5"/>
    </row>
    <row r="829" ht="30.0" customHeight="1">
      <c r="AH829" s="5"/>
      <c r="AI829" s="5"/>
      <c r="AJ829" s="5"/>
    </row>
    <row r="830" ht="30.0" customHeight="1">
      <c r="AH830" s="5"/>
      <c r="AI830" s="5"/>
      <c r="AJ830" s="5"/>
    </row>
    <row r="831" ht="30.0" customHeight="1">
      <c r="AH831" s="5"/>
      <c r="AI831" s="5"/>
      <c r="AJ831" s="5"/>
    </row>
    <row r="832" ht="30.0" customHeight="1">
      <c r="AH832" s="5"/>
      <c r="AI832" s="5"/>
      <c r="AJ832" s="5"/>
    </row>
    <row r="833" ht="30.0" customHeight="1">
      <c r="AH833" s="5"/>
      <c r="AI833" s="5"/>
      <c r="AJ833" s="5"/>
    </row>
    <row r="834" ht="30.0" customHeight="1">
      <c r="AH834" s="5"/>
      <c r="AI834" s="5"/>
      <c r="AJ834" s="5"/>
    </row>
    <row r="835" ht="30.0" customHeight="1">
      <c r="AH835" s="5"/>
      <c r="AI835" s="5"/>
      <c r="AJ835" s="5"/>
    </row>
    <row r="836" ht="30.0" customHeight="1">
      <c r="AH836" s="5"/>
      <c r="AI836" s="5"/>
      <c r="AJ836" s="5"/>
    </row>
    <row r="837" ht="30.0" customHeight="1">
      <c r="AH837" s="5"/>
      <c r="AI837" s="5"/>
      <c r="AJ837" s="5"/>
    </row>
    <row r="838" ht="30.0" customHeight="1">
      <c r="AH838" s="5"/>
      <c r="AI838" s="5"/>
      <c r="AJ838" s="5"/>
    </row>
    <row r="839" ht="30.0" customHeight="1">
      <c r="AH839" s="5"/>
      <c r="AI839" s="5"/>
      <c r="AJ839" s="5"/>
    </row>
    <row r="840" ht="30.0" customHeight="1">
      <c r="AH840" s="5"/>
      <c r="AI840" s="5"/>
      <c r="AJ840" s="5"/>
    </row>
    <row r="841" ht="30.0" customHeight="1">
      <c r="AH841" s="5"/>
      <c r="AI841" s="5"/>
      <c r="AJ841" s="5"/>
    </row>
    <row r="842" ht="30.0" customHeight="1">
      <c r="AH842" s="5"/>
      <c r="AI842" s="5"/>
      <c r="AJ842" s="5"/>
    </row>
    <row r="843" ht="30.0" customHeight="1">
      <c r="AH843" s="5"/>
      <c r="AI843" s="5"/>
      <c r="AJ843" s="5"/>
    </row>
    <row r="844" ht="30.0" customHeight="1">
      <c r="AH844" s="5"/>
      <c r="AI844" s="5"/>
      <c r="AJ844" s="5"/>
    </row>
    <row r="845" ht="30.0" customHeight="1">
      <c r="AH845" s="5"/>
      <c r="AI845" s="5"/>
      <c r="AJ845" s="5"/>
    </row>
    <row r="846" ht="30.0" customHeight="1">
      <c r="AH846" s="5"/>
      <c r="AI846" s="5"/>
      <c r="AJ846" s="5"/>
    </row>
    <row r="847" ht="30.0" customHeight="1">
      <c r="AH847" s="5"/>
      <c r="AI847" s="5"/>
      <c r="AJ847" s="5"/>
    </row>
    <row r="848" ht="30.0" customHeight="1">
      <c r="AH848" s="5"/>
      <c r="AI848" s="5"/>
      <c r="AJ848" s="5"/>
    </row>
    <row r="849" ht="30.0" customHeight="1">
      <c r="AH849" s="5"/>
      <c r="AI849" s="5"/>
      <c r="AJ849" s="5"/>
    </row>
    <row r="850" ht="30.0" customHeight="1">
      <c r="AH850" s="5"/>
      <c r="AI850" s="5"/>
      <c r="AJ850" s="5"/>
    </row>
    <row r="851" ht="30.0" customHeight="1">
      <c r="AH851" s="5"/>
      <c r="AI851" s="5"/>
      <c r="AJ851" s="5"/>
    </row>
    <row r="852" ht="30.0" customHeight="1">
      <c r="AH852" s="5"/>
      <c r="AI852" s="5"/>
      <c r="AJ852" s="5"/>
    </row>
    <row r="853" ht="30.0" customHeight="1">
      <c r="AH853" s="5"/>
      <c r="AI853" s="5"/>
      <c r="AJ853" s="5"/>
    </row>
    <row r="854" ht="30.0" customHeight="1">
      <c r="AH854" s="5"/>
      <c r="AI854" s="5"/>
      <c r="AJ854" s="5"/>
    </row>
    <row r="855" ht="30.0" customHeight="1">
      <c r="AH855" s="5"/>
      <c r="AI855" s="5"/>
      <c r="AJ855" s="5"/>
    </row>
    <row r="856" ht="30.0" customHeight="1">
      <c r="AH856" s="5"/>
      <c r="AI856" s="5"/>
      <c r="AJ856" s="5"/>
    </row>
    <row r="857" ht="30.0" customHeight="1">
      <c r="AH857" s="5"/>
      <c r="AI857" s="5"/>
      <c r="AJ857" s="5"/>
    </row>
    <row r="858" ht="30.0" customHeight="1">
      <c r="AH858" s="5"/>
      <c r="AI858" s="5"/>
      <c r="AJ858" s="5"/>
    </row>
    <row r="859" ht="30.0" customHeight="1">
      <c r="AH859" s="5"/>
      <c r="AI859" s="5"/>
      <c r="AJ859" s="5"/>
    </row>
    <row r="860" ht="30.0" customHeight="1">
      <c r="AH860" s="5"/>
      <c r="AI860" s="5"/>
      <c r="AJ860" s="5"/>
    </row>
    <row r="861" ht="30.0" customHeight="1">
      <c r="AH861" s="5"/>
      <c r="AI861" s="5"/>
      <c r="AJ861" s="5"/>
    </row>
    <row r="862" ht="30.0" customHeight="1">
      <c r="AH862" s="5"/>
      <c r="AI862" s="5"/>
      <c r="AJ862" s="5"/>
    </row>
    <row r="863" ht="30.0" customHeight="1">
      <c r="AH863" s="5"/>
      <c r="AI863" s="5"/>
      <c r="AJ863" s="5"/>
    </row>
    <row r="864" ht="30.0" customHeight="1">
      <c r="AH864" s="5"/>
      <c r="AI864" s="5"/>
      <c r="AJ864" s="5"/>
    </row>
    <row r="865" ht="30.0" customHeight="1">
      <c r="AH865" s="5"/>
      <c r="AI865" s="5"/>
      <c r="AJ865" s="5"/>
    </row>
    <row r="866" ht="30.0" customHeight="1">
      <c r="AH866" s="5"/>
      <c r="AI866" s="5"/>
      <c r="AJ866" s="5"/>
    </row>
    <row r="867" ht="30.0" customHeight="1">
      <c r="AH867" s="5"/>
      <c r="AI867" s="5"/>
      <c r="AJ867" s="5"/>
    </row>
    <row r="868" ht="30.0" customHeight="1">
      <c r="AH868" s="5"/>
      <c r="AI868" s="5"/>
      <c r="AJ868" s="5"/>
    </row>
    <row r="869" ht="30.0" customHeight="1">
      <c r="AH869" s="5"/>
      <c r="AI869" s="5"/>
      <c r="AJ869" s="5"/>
    </row>
    <row r="870" ht="30.0" customHeight="1">
      <c r="AH870" s="5"/>
      <c r="AI870" s="5"/>
      <c r="AJ870" s="5"/>
    </row>
    <row r="871" ht="30.0" customHeight="1">
      <c r="AH871" s="5"/>
      <c r="AI871" s="5"/>
      <c r="AJ871" s="5"/>
    </row>
    <row r="872" ht="30.0" customHeight="1">
      <c r="AH872" s="5"/>
      <c r="AI872" s="5"/>
      <c r="AJ872" s="5"/>
    </row>
    <row r="873" ht="30.0" customHeight="1">
      <c r="AH873" s="5"/>
      <c r="AI873" s="5"/>
      <c r="AJ873" s="5"/>
    </row>
    <row r="874" ht="30.0" customHeight="1">
      <c r="AH874" s="5"/>
      <c r="AI874" s="5"/>
      <c r="AJ874" s="5"/>
    </row>
    <row r="875" ht="30.0" customHeight="1">
      <c r="AH875" s="5"/>
      <c r="AI875" s="5"/>
      <c r="AJ875" s="5"/>
    </row>
    <row r="876" ht="30.0" customHeight="1">
      <c r="AH876" s="5"/>
      <c r="AI876" s="5"/>
      <c r="AJ876" s="5"/>
    </row>
    <row r="877" ht="30.0" customHeight="1">
      <c r="AH877" s="5"/>
      <c r="AI877" s="5"/>
      <c r="AJ877" s="5"/>
    </row>
    <row r="878" ht="30.0" customHeight="1">
      <c r="AH878" s="5"/>
      <c r="AI878" s="5"/>
      <c r="AJ878" s="5"/>
    </row>
    <row r="879" ht="30.0" customHeight="1">
      <c r="AH879" s="5"/>
      <c r="AI879" s="5"/>
      <c r="AJ879" s="5"/>
    </row>
    <row r="880" ht="30.0" customHeight="1">
      <c r="AH880" s="5"/>
      <c r="AI880" s="5"/>
      <c r="AJ880" s="5"/>
    </row>
    <row r="881" ht="30.0" customHeight="1">
      <c r="AH881" s="5"/>
      <c r="AI881" s="5"/>
      <c r="AJ881" s="5"/>
    </row>
    <row r="882" ht="30.0" customHeight="1">
      <c r="AH882" s="5"/>
      <c r="AI882" s="5"/>
      <c r="AJ882" s="5"/>
    </row>
    <row r="883" ht="30.0" customHeight="1">
      <c r="AH883" s="5"/>
      <c r="AI883" s="5"/>
      <c r="AJ883" s="5"/>
    </row>
    <row r="884" ht="30.0" customHeight="1">
      <c r="AH884" s="5"/>
      <c r="AI884" s="5"/>
      <c r="AJ884" s="5"/>
    </row>
    <row r="885" ht="30.0" customHeight="1">
      <c r="AH885" s="5"/>
      <c r="AI885" s="5"/>
      <c r="AJ885" s="5"/>
    </row>
    <row r="886" ht="30.0" customHeight="1">
      <c r="AH886" s="5"/>
      <c r="AI886" s="5"/>
      <c r="AJ886" s="5"/>
    </row>
    <row r="887" ht="30.0" customHeight="1">
      <c r="AH887" s="5"/>
      <c r="AI887" s="5"/>
      <c r="AJ887" s="5"/>
    </row>
    <row r="888" ht="30.0" customHeight="1">
      <c r="AH888" s="5"/>
      <c r="AI888" s="5"/>
      <c r="AJ888" s="5"/>
    </row>
    <row r="889" ht="30.0" customHeight="1">
      <c r="AH889" s="5"/>
      <c r="AI889" s="5"/>
      <c r="AJ889" s="5"/>
    </row>
    <row r="890" ht="30.0" customHeight="1">
      <c r="AH890" s="5"/>
      <c r="AI890" s="5"/>
      <c r="AJ890" s="5"/>
    </row>
    <row r="891" ht="30.0" customHeight="1">
      <c r="AH891" s="5"/>
      <c r="AI891" s="5"/>
      <c r="AJ891" s="5"/>
    </row>
    <row r="892" ht="30.0" customHeight="1">
      <c r="AH892" s="5"/>
      <c r="AI892" s="5"/>
      <c r="AJ892" s="5"/>
    </row>
    <row r="893" ht="30.0" customHeight="1">
      <c r="AH893" s="5"/>
      <c r="AI893" s="5"/>
      <c r="AJ893" s="5"/>
    </row>
    <row r="894" ht="30.0" customHeight="1">
      <c r="AH894" s="5"/>
      <c r="AI894" s="5"/>
      <c r="AJ894" s="5"/>
    </row>
    <row r="895" ht="30.0" customHeight="1">
      <c r="AH895" s="5"/>
      <c r="AI895" s="5"/>
      <c r="AJ895" s="5"/>
    </row>
    <row r="896" ht="30.0" customHeight="1">
      <c r="AH896" s="5"/>
      <c r="AI896" s="5"/>
      <c r="AJ896" s="5"/>
    </row>
    <row r="897" ht="30.0" customHeight="1">
      <c r="AH897" s="5"/>
      <c r="AI897" s="5"/>
      <c r="AJ897" s="5"/>
    </row>
    <row r="898" ht="30.0" customHeight="1">
      <c r="AH898" s="5"/>
      <c r="AI898" s="5"/>
      <c r="AJ898" s="5"/>
    </row>
    <row r="899" ht="30.0" customHeight="1">
      <c r="AH899" s="5"/>
      <c r="AI899" s="5"/>
      <c r="AJ899" s="5"/>
    </row>
    <row r="900" ht="30.0" customHeight="1">
      <c r="AH900" s="5"/>
      <c r="AI900" s="5"/>
      <c r="AJ900" s="5"/>
    </row>
    <row r="901" ht="30.0" customHeight="1">
      <c r="AH901" s="5"/>
      <c r="AI901" s="5"/>
      <c r="AJ901" s="5"/>
    </row>
    <row r="902" ht="30.0" customHeight="1">
      <c r="AH902" s="5"/>
      <c r="AI902" s="5"/>
      <c r="AJ902" s="5"/>
    </row>
    <row r="903" ht="30.0" customHeight="1">
      <c r="AH903" s="5"/>
      <c r="AI903" s="5"/>
      <c r="AJ903" s="5"/>
    </row>
    <row r="904" ht="30.0" customHeight="1">
      <c r="AH904" s="5"/>
      <c r="AI904" s="5"/>
      <c r="AJ904" s="5"/>
    </row>
    <row r="905" ht="30.0" customHeight="1">
      <c r="AH905" s="5"/>
      <c r="AI905" s="5"/>
      <c r="AJ905" s="5"/>
    </row>
    <row r="906" ht="30.0" customHeight="1">
      <c r="AH906" s="5"/>
      <c r="AI906" s="5"/>
      <c r="AJ906" s="5"/>
    </row>
    <row r="907" ht="30.0" customHeight="1">
      <c r="AH907" s="5"/>
      <c r="AI907" s="5"/>
      <c r="AJ907" s="5"/>
    </row>
    <row r="908" ht="30.0" customHeight="1">
      <c r="AH908" s="5"/>
      <c r="AI908" s="5"/>
      <c r="AJ908" s="5"/>
    </row>
    <row r="909" ht="30.0" customHeight="1">
      <c r="AH909" s="5"/>
      <c r="AI909" s="5"/>
      <c r="AJ909" s="5"/>
    </row>
    <row r="910" ht="30.0" customHeight="1">
      <c r="AH910" s="5"/>
      <c r="AI910" s="5"/>
      <c r="AJ910" s="5"/>
    </row>
    <row r="911" ht="30.0" customHeight="1">
      <c r="AH911" s="5"/>
      <c r="AI911" s="5"/>
      <c r="AJ911" s="5"/>
    </row>
    <row r="912" ht="30.0" customHeight="1">
      <c r="AH912" s="5"/>
      <c r="AI912" s="5"/>
      <c r="AJ912" s="5"/>
    </row>
    <row r="913" ht="30.0" customHeight="1">
      <c r="AH913" s="5"/>
      <c r="AI913" s="5"/>
      <c r="AJ913" s="5"/>
    </row>
    <row r="914" ht="30.0" customHeight="1">
      <c r="AH914" s="5"/>
      <c r="AI914" s="5"/>
      <c r="AJ914" s="5"/>
    </row>
    <row r="915" ht="30.0" customHeight="1">
      <c r="AH915" s="5"/>
      <c r="AI915" s="5"/>
      <c r="AJ915" s="5"/>
    </row>
    <row r="916" ht="30.0" customHeight="1">
      <c r="AH916" s="5"/>
      <c r="AI916" s="5"/>
      <c r="AJ916" s="5"/>
    </row>
    <row r="917" ht="30.0" customHeight="1">
      <c r="AH917" s="5"/>
      <c r="AI917" s="5"/>
      <c r="AJ917" s="5"/>
    </row>
    <row r="918" ht="30.0" customHeight="1">
      <c r="AH918" s="5"/>
      <c r="AI918" s="5"/>
      <c r="AJ918" s="5"/>
    </row>
    <row r="919" ht="30.0" customHeight="1">
      <c r="AH919" s="5"/>
      <c r="AI919" s="5"/>
      <c r="AJ919" s="5"/>
    </row>
    <row r="920" ht="30.0" customHeight="1">
      <c r="AH920" s="5"/>
      <c r="AI920" s="5"/>
      <c r="AJ920" s="5"/>
    </row>
    <row r="921" ht="30.0" customHeight="1">
      <c r="AH921" s="5"/>
      <c r="AI921" s="5"/>
      <c r="AJ921" s="5"/>
    </row>
    <row r="922" ht="30.0" customHeight="1">
      <c r="AH922" s="5"/>
      <c r="AI922" s="5"/>
      <c r="AJ922" s="5"/>
    </row>
    <row r="923" ht="30.0" customHeight="1">
      <c r="AH923" s="5"/>
      <c r="AI923" s="5"/>
      <c r="AJ923" s="5"/>
    </row>
    <row r="924" ht="30.0" customHeight="1">
      <c r="AH924" s="5"/>
      <c r="AI924" s="5"/>
      <c r="AJ924" s="5"/>
    </row>
    <row r="925" ht="30.0" customHeight="1">
      <c r="AH925" s="5"/>
      <c r="AI925" s="5"/>
      <c r="AJ925" s="5"/>
    </row>
    <row r="926" ht="30.0" customHeight="1">
      <c r="AH926" s="5"/>
      <c r="AI926" s="5"/>
      <c r="AJ926" s="5"/>
    </row>
    <row r="927" ht="30.0" customHeight="1">
      <c r="AH927" s="5"/>
      <c r="AI927" s="5"/>
      <c r="AJ927" s="5"/>
    </row>
    <row r="928" ht="30.0" customHeight="1">
      <c r="AH928" s="5"/>
      <c r="AI928" s="5"/>
      <c r="AJ928" s="5"/>
    </row>
    <row r="929" ht="30.0" customHeight="1">
      <c r="AH929" s="5"/>
      <c r="AI929" s="5"/>
      <c r="AJ929" s="5"/>
    </row>
    <row r="930" ht="30.0" customHeight="1">
      <c r="AH930" s="5"/>
      <c r="AI930" s="5"/>
      <c r="AJ930" s="5"/>
    </row>
    <row r="931" ht="30.0" customHeight="1">
      <c r="AH931" s="5"/>
      <c r="AI931" s="5"/>
      <c r="AJ931" s="5"/>
    </row>
    <row r="932" ht="30.0" customHeight="1">
      <c r="AH932" s="5"/>
      <c r="AI932" s="5"/>
      <c r="AJ932" s="5"/>
    </row>
    <row r="933" ht="30.0" customHeight="1">
      <c r="AH933" s="5"/>
      <c r="AI933" s="5"/>
      <c r="AJ933" s="5"/>
    </row>
    <row r="934" ht="30.0" customHeight="1">
      <c r="AH934" s="5"/>
      <c r="AI934" s="5"/>
      <c r="AJ934" s="5"/>
    </row>
    <row r="935" ht="30.0" customHeight="1">
      <c r="AH935" s="5"/>
      <c r="AI935" s="5"/>
      <c r="AJ935" s="5"/>
    </row>
    <row r="936" ht="30.0" customHeight="1">
      <c r="AH936" s="5"/>
      <c r="AI936" s="5"/>
      <c r="AJ936" s="5"/>
    </row>
    <row r="937" ht="30.0" customHeight="1">
      <c r="AH937" s="5"/>
      <c r="AI937" s="5"/>
      <c r="AJ937" s="5"/>
    </row>
    <row r="938" ht="30.0" customHeight="1">
      <c r="AH938" s="5"/>
      <c r="AI938" s="5"/>
      <c r="AJ938" s="5"/>
    </row>
    <row r="939" ht="30.0" customHeight="1">
      <c r="AH939" s="5"/>
      <c r="AI939" s="5"/>
      <c r="AJ939" s="5"/>
    </row>
    <row r="940" ht="30.0" customHeight="1">
      <c r="AH940" s="5"/>
      <c r="AI940" s="5"/>
      <c r="AJ940" s="5"/>
    </row>
    <row r="941" ht="30.0" customHeight="1">
      <c r="AH941" s="5"/>
      <c r="AI941" s="5"/>
      <c r="AJ941" s="5"/>
    </row>
    <row r="942" ht="30.0" customHeight="1">
      <c r="AH942" s="5"/>
      <c r="AI942" s="5"/>
      <c r="AJ942" s="5"/>
    </row>
    <row r="943" ht="30.0" customHeight="1">
      <c r="AH943" s="5"/>
      <c r="AI943" s="5"/>
      <c r="AJ943" s="5"/>
    </row>
    <row r="944" ht="30.0" customHeight="1">
      <c r="AH944" s="5"/>
      <c r="AI944" s="5"/>
      <c r="AJ944" s="5"/>
    </row>
    <row r="945" ht="30.0" customHeight="1">
      <c r="AH945" s="5"/>
      <c r="AI945" s="5"/>
      <c r="AJ945" s="5"/>
    </row>
    <row r="946" ht="30.0" customHeight="1">
      <c r="AH946" s="5"/>
      <c r="AI946" s="5"/>
      <c r="AJ946" s="5"/>
    </row>
    <row r="947" ht="30.0" customHeight="1">
      <c r="AH947" s="5"/>
      <c r="AI947" s="5"/>
      <c r="AJ947" s="5"/>
    </row>
    <row r="948" ht="30.0" customHeight="1">
      <c r="AH948" s="5"/>
      <c r="AI948" s="5"/>
      <c r="AJ948" s="5"/>
    </row>
    <row r="949" ht="30.0" customHeight="1">
      <c r="AH949" s="5"/>
      <c r="AI949" s="5"/>
      <c r="AJ949" s="5"/>
    </row>
    <row r="950" ht="30.0" customHeight="1">
      <c r="AH950" s="5"/>
      <c r="AI950" s="5"/>
      <c r="AJ950" s="5"/>
    </row>
    <row r="951" ht="30.0" customHeight="1">
      <c r="AH951" s="5"/>
      <c r="AI951" s="5"/>
      <c r="AJ951" s="5"/>
    </row>
    <row r="952" ht="30.0" customHeight="1">
      <c r="AH952" s="5"/>
      <c r="AI952" s="5"/>
      <c r="AJ952" s="5"/>
    </row>
    <row r="953" ht="30.0" customHeight="1">
      <c r="AH953" s="5"/>
      <c r="AI953" s="5"/>
      <c r="AJ953" s="5"/>
    </row>
    <row r="954" ht="30.0" customHeight="1">
      <c r="AH954" s="5"/>
      <c r="AI954" s="5"/>
      <c r="AJ954" s="5"/>
    </row>
    <row r="955" ht="30.0" customHeight="1">
      <c r="AH955" s="5"/>
      <c r="AI955" s="5"/>
      <c r="AJ955" s="5"/>
    </row>
    <row r="956" ht="30.0" customHeight="1">
      <c r="AH956" s="5"/>
      <c r="AI956" s="5"/>
      <c r="AJ956" s="5"/>
    </row>
    <row r="957" ht="30.0" customHeight="1">
      <c r="AH957" s="5"/>
      <c r="AI957" s="5"/>
      <c r="AJ957" s="5"/>
    </row>
    <row r="958" ht="30.0" customHeight="1">
      <c r="AH958" s="5"/>
      <c r="AI958" s="5"/>
      <c r="AJ958" s="5"/>
    </row>
    <row r="959" ht="30.0" customHeight="1">
      <c r="AH959" s="5"/>
      <c r="AI959" s="5"/>
      <c r="AJ959" s="5"/>
    </row>
    <row r="960" ht="30.0" customHeight="1">
      <c r="AH960" s="5"/>
      <c r="AI960" s="5"/>
      <c r="AJ960" s="5"/>
    </row>
    <row r="961" ht="30.0" customHeight="1">
      <c r="AH961" s="5"/>
      <c r="AI961" s="5"/>
      <c r="AJ961" s="5"/>
    </row>
    <row r="962" ht="30.0" customHeight="1">
      <c r="AH962" s="5"/>
      <c r="AI962" s="5"/>
      <c r="AJ962" s="5"/>
    </row>
    <row r="963" ht="30.0" customHeight="1">
      <c r="AH963" s="5"/>
      <c r="AI963" s="5"/>
      <c r="AJ963" s="5"/>
    </row>
    <row r="964" ht="30.0" customHeight="1">
      <c r="AH964" s="5"/>
      <c r="AI964" s="5"/>
      <c r="AJ964" s="5"/>
    </row>
    <row r="965" ht="30.0" customHeight="1">
      <c r="AH965" s="5"/>
      <c r="AI965" s="5"/>
      <c r="AJ965" s="5"/>
    </row>
    <row r="966" ht="30.0" customHeight="1">
      <c r="AH966" s="5"/>
      <c r="AI966" s="5"/>
      <c r="AJ966" s="5"/>
    </row>
    <row r="967" ht="30.0" customHeight="1">
      <c r="AH967" s="5"/>
      <c r="AI967" s="5"/>
      <c r="AJ967" s="5"/>
    </row>
    <row r="968" ht="30.0" customHeight="1">
      <c r="AH968" s="5"/>
      <c r="AI968" s="5"/>
      <c r="AJ968" s="5"/>
    </row>
    <row r="969" ht="30.0" customHeight="1">
      <c r="AH969" s="5"/>
      <c r="AI969" s="5"/>
      <c r="AJ969" s="5"/>
    </row>
    <row r="970" ht="30.0" customHeight="1">
      <c r="AH970" s="5"/>
      <c r="AI970" s="5"/>
      <c r="AJ970" s="5"/>
    </row>
    <row r="971" ht="30.0" customHeight="1">
      <c r="AH971" s="5"/>
      <c r="AI971" s="5"/>
      <c r="AJ971" s="5"/>
    </row>
    <row r="972" ht="30.0" customHeight="1">
      <c r="AH972" s="5"/>
      <c r="AI972" s="5"/>
      <c r="AJ972" s="5"/>
    </row>
    <row r="973" ht="30.0" customHeight="1">
      <c r="AH973" s="5"/>
      <c r="AI973" s="5"/>
      <c r="AJ973" s="5"/>
    </row>
    <row r="974" ht="30.0" customHeight="1">
      <c r="AH974" s="5"/>
      <c r="AI974" s="5"/>
      <c r="AJ974" s="5"/>
    </row>
    <row r="975" ht="30.0" customHeight="1">
      <c r="AH975" s="5"/>
      <c r="AI975" s="5"/>
      <c r="AJ975" s="5"/>
    </row>
    <row r="976" ht="30.0" customHeight="1">
      <c r="AH976" s="5"/>
      <c r="AI976" s="5"/>
      <c r="AJ976" s="5"/>
    </row>
    <row r="977" ht="30.0" customHeight="1">
      <c r="AH977" s="5"/>
      <c r="AI977" s="5"/>
      <c r="AJ977" s="5"/>
    </row>
    <row r="978" ht="30.0" customHeight="1">
      <c r="AH978" s="5"/>
      <c r="AI978" s="5"/>
      <c r="AJ978" s="5"/>
    </row>
    <row r="979" ht="30.0" customHeight="1">
      <c r="AH979" s="5"/>
      <c r="AI979" s="5"/>
      <c r="AJ979" s="5"/>
    </row>
    <row r="980" ht="30.0" customHeight="1">
      <c r="AH980" s="5"/>
      <c r="AI980" s="5"/>
      <c r="AJ980" s="5"/>
    </row>
    <row r="981" ht="30.0" customHeight="1">
      <c r="AH981" s="5"/>
      <c r="AI981" s="5"/>
      <c r="AJ981" s="5"/>
    </row>
    <row r="982" ht="30.0" customHeight="1">
      <c r="AH982" s="5"/>
      <c r="AI982" s="5"/>
      <c r="AJ982" s="5"/>
    </row>
    <row r="983" ht="30.0" customHeight="1">
      <c r="AH983" s="5"/>
      <c r="AI983" s="5"/>
      <c r="AJ983" s="5"/>
    </row>
    <row r="984" ht="30.0" customHeight="1">
      <c r="AH984" s="5"/>
      <c r="AI984" s="5"/>
      <c r="AJ984" s="5"/>
    </row>
    <row r="985" ht="30.0" customHeight="1">
      <c r="AH985" s="5"/>
      <c r="AI985" s="5"/>
      <c r="AJ985" s="5"/>
    </row>
    <row r="986" ht="30.0" customHeight="1">
      <c r="AH986" s="5"/>
      <c r="AI986" s="5"/>
      <c r="AJ986" s="5"/>
    </row>
    <row r="987" ht="30.0" customHeight="1">
      <c r="AH987" s="5"/>
      <c r="AI987" s="5"/>
      <c r="AJ987" s="5"/>
    </row>
    <row r="988" ht="30.0" customHeight="1">
      <c r="AH988" s="5"/>
      <c r="AI988" s="5"/>
      <c r="AJ988" s="5"/>
    </row>
    <row r="989" ht="30.0" customHeight="1">
      <c r="AH989" s="5"/>
      <c r="AI989" s="5"/>
      <c r="AJ989" s="5"/>
    </row>
    <row r="990" ht="30.0" customHeight="1">
      <c r="AH990" s="5"/>
      <c r="AI990" s="5"/>
      <c r="AJ990" s="5"/>
    </row>
    <row r="991" ht="30.0" customHeight="1">
      <c r="AH991" s="5"/>
      <c r="AI991" s="5"/>
      <c r="AJ991" s="5"/>
    </row>
    <row r="992" ht="30.0" customHeight="1">
      <c r="AH992" s="5"/>
      <c r="AI992" s="5"/>
      <c r="AJ992" s="5"/>
    </row>
    <row r="993" ht="30.0" customHeight="1">
      <c r="AH993" s="5"/>
      <c r="AI993" s="5"/>
      <c r="AJ993" s="5"/>
    </row>
    <row r="994" ht="30.0" customHeight="1">
      <c r="AH994" s="5"/>
      <c r="AI994" s="5"/>
      <c r="AJ994" s="5"/>
    </row>
    <row r="995" ht="30.0" customHeight="1">
      <c r="AH995" s="5"/>
      <c r="AI995" s="5"/>
      <c r="AJ995" s="5"/>
    </row>
    <row r="996" ht="30.0" customHeight="1">
      <c r="AH996" s="5"/>
      <c r="AI996" s="5"/>
      <c r="AJ996" s="5"/>
    </row>
    <row r="997" ht="30.0" customHeight="1">
      <c r="AH997" s="5"/>
      <c r="AI997" s="5"/>
      <c r="AJ997" s="5"/>
    </row>
    <row r="998" ht="30.0" customHeight="1">
      <c r="AH998" s="5"/>
      <c r="AI998" s="5"/>
      <c r="AJ998" s="5"/>
    </row>
    <row r="999" ht="30.0" customHeight="1">
      <c r="AH999" s="5"/>
      <c r="AI999" s="5"/>
      <c r="AJ999" s="5"/>
    </row>
    <row r="1000" ht="30.0" customHeight="1">
      <c r="AH1000" s="5"/>
      <c r="AI1000" s="5"/>
      <c r="AJ1000" s="5"/>
    </row>
    <row r="1001" ht="30.0" customHeight="1">
      <c r="AH1001" s="5"/>
      <c r="AI1001" s="5"/>
      <c r="AJ1001" s="5"/>
    </row>
    <row r="1002" ht="30.0" customHeight="1">
      <c r="AH1002" s="5"/>
      <c r="AI1002" s="5"/>
      <c r="AJ1002" s="5"/>
    </row>
    <row r="1003" ht="30.0" customHeight="1">
      <c r="AH1003" s="5"/>
      <c r="AI1003" s="5"/>
      <c r="AJ1003" s="5"/>
    </row>
    <row r="1004" ht="30.0" customHeight="1">
      <c r="AH1004" s="5"/>
      <c r="AI1004" s="5"/>
      <c r="AJ1004" s="5"/>
    </row>
    <row r="1005" ht="30.0" customHeight="1">
      <c r="AH1005" s="5"/>
      <c r="AI1005" s="5"/>
      <c r="AJ1005" s="5"/>
    </row>
    <row r="1006" ht="30.0" customHeight="1">
      <c r="AH1006" s="5"/>
      <c r="AI1006" s="5"/>
      <c r="AJ1006" s="5"/>
    </row>
    <row r="1007" ht="30.0" customHeight="1">
      <c r="AH1007" s="5"/>
      <c r="AI1007" s="5"/>
      <c r="AJ1007" s="5"/>
    </row>
    <row r="1008" ht="30.0" customHeight="1">
      <c r="AH1008" s="5"/>
      <c r="AI1008" s="5"/>
      <c r="AJ1008" s="5"/>
    </row>
    <row r="1009" ht="30.0" customHeight="1">
      <c r="AH1009" s="5"/>
      <c r="AI1009" s="5"/>
      <c r="AJ1009" s="5"/>
    </row>
    <row r="1010" ht="30.0" customHeight="1">
      <c r="AH1010" s="5"/>
      <c r="AI1010" s="5"/>
      <c r="AJ1010" s="5"/>
    </row>
    <row r="1011" ht="30.0" customHeight="1">
      <c r="AH1011" s="5"/>
      <c r="AI1011" s="5"/>
      <c r="AJ1011" s="5"/>
    </row>
    <row r="1012" ht="30.0" customHeight="1">
      <c r="AH1012" s="5"/>
      <c r="AI1012" s="5"/>
      <c r="AJ1012" s="5"/>
    </row>
    <row r="1013" ht="30.0" customHeight="1">
      <c r="AH1013" s="5"/>
      <c r="AI1013" s="5"/>
      <c r="AJ1013" s="5"/>
    </row>
    <row r="1014" ht="30.0" customHeight="1">
      <c r="AH1014" s="5"/>
      <c r="AI1014" s="5"/>
      <c r="AJ1014" s="5"/>
    </row>
    <row r="1015" ht="30.0" customHeight="1">
      <c r="AH1015" s="5"/>
      <c r="AI1015" s="5"/>
      <c r="AJ1015" s="5"/>
    </row>
    <row r="1016" ht="30.0" customHeight="1">
      <c r="AH1016" s="5"/>
      <c r="AI1016" s="5"/>
      <c r="AJ1016" s="5"/>
    </row>
    <row r="1017" ht="30.0" customHeight="1">
      <c r="AH1017" s="5"/>
      <c r="AI1017" s="5"/>
      <c r="AJ1017" s="5"/>
    </row>
    <row r="1018" ht="30.0" customHeight="1">
      <c r="AH1018" s="5"/>
      <c r="AI1018" s="5"/>
      <c r="AJ1018" s="5"/>
    </row>
    <row r="1019" ht="30.0" customHeight="1">
      <c r="AH1019" s="5"/>
      <c r="AI1019" s="5"/>
      <c r="AJ1019" s="5"/>
    </row>
    <row r="1020" ht="30.0" customHeight="1">
      <c r="AH1020" s="5"/>
      <c r="AI1020" s="5"/>
      <c r="AJ1020" s="5"/>
    </row>
    <row r="1021" ht="30.0" customHeight="1">
      <c r="AH1021" s="5"/>
      <c r="AI1021" s="5"/>
      <c r="AJ1021" s="5"/>
    </row>
    <row r="1022" ht="30.0" customHeight="1">
      <c r="AH1022" s="5"/>
      <c r="AI1022" s="5"/>
      <c r="AJ1022" s="5"/>
    </row>
    <row r="1023" ht="30.0" customHeight="1">
      <c r="AH1023" s="5"/>
      <c r="AI1023" s="5"/>
      <c r="AJ1023" s="5"/>
    </row>
    <row r="1024" ht="30.0" customHeight="1">
      <c r="AH1024" s="5"/>
      <c r="AI1024" s="5"/>
      <c r="AJ1024" s="5"/>
    </row>
    <row r="1025" ht="30.0" customHeight="1">
      <c r="AH1025" s="5"/>
      <c r="AI1025" s="5"/>
      <c r="AJ1025" s="5"/>
    </row>
    <row r="1026" ht="30.0" customHeight="1">
      <c r="AH1026" s="5"/>
      <c r="AI1026" s="5"/>
      <c r="AJ1026" s="5"/>
    </row>
    <row r="1027" ht="30.0" customHeight="1">
      <c r="AH1027" s="5"/>
      <c r="AI1027" s="5"/>
      <c r="AJ1027" s="5"/>
    </row>
    <row r="1028" ht="30.0" customHeight="1">
      <c r="AH1028" s="5"/>
      <c r="AI1028" s="5"/>
      <c r="AJ1028" s="5"/>
    </row>
    <row r="1029" ht="30.0" customHeight="1">
      <c r="AH1029" s="5"/>
      <c r="AI1029" s="5"/>
      <c r="AJ1029" s="5"/>
    </row>
    <row r="1030" ht="30.0" customHeight="1">
      <c r="AH1030" s="5"/>
      <c r="AI1030" s="5"/>
      <c r="AJ1030" s="5"/>
    </row>
    <row r="1031" ht="30.0" customHeight="1">
      <c r="AH1031" s="5"/>
      <c r="AI1031" s="5"/>
      <c r="AJ1031" s="5"/>
    </row>
    <row r="1032" ht="30.0" customHeight="1">
      <c r="AH1032" s="5"/>
      <c r="AI1032" s="5"/>
      <c r="AJ1032" s="5"/>
    </row>
    <row r="1033" ht="30.0" customHeight="1">
      <c r="AH1033" s="5"/>
      <c r="AI1033" s="5"/>
      <c r="AJ1033" s="5"/>
    </row>
    <row r="1034" ht="30.0" customHeight="1">
      <c r="AH1034" s="5"/>
      <c r="AI1034" s="5"/>
      <c r="AJ1034" s="5"/>
    </row>
    <row r="1035" ht="30.0" customHeight="1">
      <c r="AH1035" s="5"/>
      <c r="AI1035" s="5"/>
      <c r="AJ1035" s="5"/>
    </row>
    <row r="1036" ht="30.0" customHeight="1">
      <c r="AH1036" s="5"/>
      <c r="AI1036" s="5"/>
      <c r="AJ1036" s="5"/>
    </row>
    <row r="1037" ht="30.0" customHeight="1">
      <c r="AH1037" s="5"/>
      <c r="AI1037" s="5"/>
      <c r="AJ1037" s="5"/>
    </row>
  </sheetData>
  <mergeCells count="16">
    <mergeCell ref="B1:X1"/>
    <mergeCell ref="D2:F2"/>
    <mergeCell ref="H2:J2"/>
    <mergeCell ref="L2:N2"/>
    <mergeCell ref="P2:S2"/>
    <mergeCell ref="U2:X2"/>
    <mergeCell ref="C4:AG4"/>
    <mergeCell ref="C179:AG179"/>
    <mergeCell ref="C189:AG189"/>
    <mergeCell ref="C10:AG10"/>
    <mergeCell ref="C37:AG37"/>
    <mergeCell ref="C64:AG64"/>
    <mergeCell ref="C97:AG97"/>
    <mergeCell ref="C123:AG123"/>
    <mergeCell ref="C149:AG149"/>
    <mergeCell ref="C166:AG166"/>
  </mergeCells>
  <conditionalFormatting sqref="C7:AG7 N33 Q33 X33:Y33">
    <cfRule type="expression" dxfId="5" priority="1" stopIfTrue="1">
      <formula>C7=""</formula>
    </cfRule>
  </conditionalFormatting>
  <conditionalFormatting sqref="K7 N7 R7 T7 C33:AC33 AE33:AG33">
    <cfRule type="expression" dxfId="5" priority="2" stopIfTrue="1">
      <formula>#REF!=""</formula>
    </cfRule>
  </conditionalFormatting>
  <conditionalFormatting sqref="AH42:AI42">
    <cfRule type="expression" dxfId="5" priority="3" stopIfTrue="1">
      <formula>AH42=""</formula>
    </cfRule>
  </conditionalFormatting>
  <conditionalFormatting sqref="C94:H94 J94:K94 M94:W94 Y94:AD94 AF94:AG94">
    <cfRule type="expression" dxfId="5" priority="4" stopIfTrue="1">
      <formula>#REF!=""</formula>
    </cfRule>
  </conditionalFormatting>
  <conditionalFormatting sqref="C120:K120 N120:AG120 C162:L163 N162:AG163">
    <cfRule type="expression" dxfId="5" priority="5" stopIfTrue="1">
      <formula>#REF!=""</formula>
    </cfRule>
  </conditionalFormatting>
  <dataValidations>
    <dataValidation type="list" allowBlank="1" showErrorMessage="1" sqref="B7 B13:B33 B40:B59 B67:B94 B102:B120 B128:B144 B153:B163 B171:B176 B184:B186 B194:B196">
      <formula1>'Nombres de los alumnos '!$B$4:$B$1016</formula1>
    </dataValidation>
    <dataValidation type="list" allowBlank="1" showErrorMessage="1" sqref="B100:B101 B126:B127 B152 B169:B170 B182:B183 B192:B193">
      <formula1>'Nombres de los alumnos '!$B$4:$B$999999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1E11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3" width="4.71"/>
    <col customWidth="1" min="34" max="36" width="20.86"/>
  </cols>
  <sheetData>
    <row r="1" ht="49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AH1" s="5"/>
      <c r="AI1" s="5"/>
      <c r="AJ1" s="5"/>
    </row>
    <row r="2" ht="15.0" customHeight="1">
      <c r="B2" s="6" t="s">
        <v>1</v>
      </c>
      <c r="C2" s="7" t="s">
        <v>2</v>
      </c>
      <c r="D2" s="8" t="s">
        <v>3</v>
      </c>
      <c r="E2" s="3"/>
      <c r="F2" s="4"/>
      <c r="G2" s="9" t="s">
        <v>4</v>
      </c>
      <c r="H2" s="8" t="s">
        <v>5</v>
      </c>
      <c r="I2" s="3"/>
      <c r="J2" s="4"/>
      <c r="K2" s="10" t="s">
        <v>6</v>
      </c>
      <c r="L2" s="8" t="s">
        <v>7</v>
      </c>
      <c r="M2" s="3"/>
      <c r="N2" s="4"/>
      <c r="O2" s="11" t="s">
        <v>8</v>
      </c>
      <c r="P2" s="8" t="s">
        <v>9</v>
      </c>
      <c r="Q2" s="3"/>
      <c r="R2" s="3"/>
      <c r="S2" s="4"/>
      <c r="T2" s="12" t="s">
        <v>10</v>
      </c>
      <c r="U2" s="8" t="s">
        <v>11</v>
      </c>
      <c r="V2" s="3"/>
      <c r="W2" s="3"/>
      <c r="X2" s="4"/>
      <c r="AH2" s="5"/>
      <c r="AI2" s="5"/>
      <c r="AJ2" s="5"/>
    </row>
    <row r="3" ht="15.0" customHeight="1">
      <c r="AH3" s="13"/>
      <c r="AI3" s="13"/>
      <c r="AJ3" s="13"/>
    </row>
    <row r="4" ht="30.0" customHeight="1">
      <c r="B4" s="14" t="s">
        <v>12</v>
      </c>
      <c r="C4" s="15" t="s">
        <v>13</v>
      </c>
      <c r="AH4" s="15">
        <v>2026.0</v>
      </c>
      <c r="AI4" s="15"/>
      <c r="AJ4" s="15"/>
    </row>
    <row r="5" ht="15.0" customHeight="1">
      <c r="B5" s="14"/>
      <c r="C5" s="16" t="str">
        <f>TEXT(WEEKDAY(DATE(Agosto!CalendarioAño,1,1),1),"ddd")</f>
        <v>jue</v>
      </c>
      <c r="D5" s="16" t="str">
        <f>TEXT(WEEKDAY(DATE(Agosto!CalendarioAño,1,2),1),"ddd")</f>
        <v>vie</v>
      </c>
      <c r="E5" s="16" t="str">
        <f>TEXT(WEEKDAY(DATE(Agosto!CalendarioAño,1,3),1),"ddd")</f>
        <v>sáb</v>
      </c>
      <c r="F5" s="16" t="str">
        <f>TEXT(WEEKDAY(DATE(Agosto!CalendarioAño,1,4),1),"ddd")</f>
        <v>dom</v>
      </c>
      <c r="G5" s="16" t="str">
        <f>TEXT(WEEKDAY(DATE(Agosto!CalendarioAño,1,5),1),"ddd")</f>
        <v>lun</v>
      </c>
      <c r="H5" s="16" t="str">
        <f>TEXT(WEEKDAY(DATE(Agosto!CalendarioAño,1,6),1),"ddd")</f>
        <v>mar</v>
      </c>
      <c r="I5" s="16" t="str">
        <f>TEXT(WEEKDAY(DATE(Agosto!CalendarioAño,1,7),1),"ddd")</f>
        <v>mié</v>
      </c>
      <c r="J5" s="16" t="str">
        <f>TEXT(WEEKDAY(DATE(Agosto!CalendarioAño,1,8),1),"ddd")</f>
        <v>jue</v>
      </c>
      <c r="K5" s="16" t="str">
        <f>TEXT(WEEKDAY(DATE(Agosto!CalendarioAño,1,9),1),"ddd")</f>
        <v>vie</v>
      </c>
      <c r="L5" s="16" t="str">
        <f>TEXT(WEEKDAY(DATE(Agosto!CalendarioAño,1,10),1),"ddd")</f>
        <v>sáb</v>
      </c>
      <c r="M5" s="16" t="str">
        <f>TEXT(WEEKDAY(DATE(Agosto!CalendarioAño,1,11),1),"ddd")</f>
        <v>dom</v>
      </c>
      <c r="N5" s="16" t="str">
        <f>TEXT(WEEKDAY(DATE(Agosto!CalendarioAño,1,12),1),"ddd")</f>
        <v>lun</v>
      </c>
      <c r="O5" s="16" t="str">
        <f>TEXT(WEEKDAY(DATE(Agosto!CalendarioAño,1,13),1),"ddd")</f>
        <v>mar</v>
      </c>
      <c r="P5" s="16" t="str">
        <f>TEXT(WEEKDAY(DATE(Agosto!CalendarioAño,1,14),1),"ddd")</f>
        <v>mié</v>
      </c>
      <c r="Q5" s="16" t="str">
        <f>TEXT(WEEKDAY(DATE(Agosto!CalendarioAño,1,15),1),"ddd")</f>
        <v>jue</v>
      </c>
      <c r="R5" s="16" t="str">
        <f>TEXT(WEEKDAY(DATE(Agosto!CalendarioAño,1,16),1),"ddd")</f>
        <v>vie</v>
      </c>
      <c r="S5" s="16" t="str">
        <f>TEXT(WEEKDAY(DATE(Agosto!CalendarioAño,1,17),1),"ddd")</f>
        <v>sáb</v>
      </c>
      <c r="T5" s="16" t="str">
        <f>TEXT(WEEKDAY(DATE(Agosto!CalendarioAño,1,18),1),"ddd")</f>
        <v>dom</v>
      </c>
      <c r="U5" s="16" t="str">
        <f>TEXT(WEEKDAY(DATE(Agosto!CalendarioAño,1,19),1),"ddd")</f>
        <v>lun</v>
      </c>
      <c r="V5" s="16" t="str">
        <f>TEXT(WEEKDAY(DATE(Agosto!CalendarioAño,1,20),1),"ddd")</f>
        <v>mar</v>
      </c>
      <c r="W5" s="16" t="str">
        <f>TEXT(WEEKDAY(DATE(Agosto!CalendarioAño,1,21),1),"ddd")</f>
        <v>mié</v>
      </c>
      <c r="X5" s="16" t="str">
        <f>TEXT(WEEKDAY(DATE(Agosto!CalendarioAño,1,22),1),"ddd")</f>
        <v>jue</v>
      </c>
      <c r="Y5" s="16" t="str">
        <f>TEXT(WEEKDAY(DATE(Agosto!CalendarioAño,1,23),1),"ddd")</f>
        <v>vie</v>
      </c>
      <c r="Z5" s="16" t="str">
        <f>TEXT(WEEKDAY(DATE(Agosto!CalendarioAño,1,24),1),"ddd")</f>
        <v>sáb</v>
      </c>
      <c r="AA5" s="16" t="str">
        <f>TEXT(WEEKDAY(DATE(Agosto!CalendarioAño,1,25),1),"ddd")</f>
        <v>dom</v>
      </c>
      <c r="AB5" s="16" t="str">
        <f>TEXT(WEEKDAY(DATE(Agosto!CalendarioAño,1,26),1),"ddd")</f>
        <v>lun</v>
      </c>
      <c r="AC5" s="16" t="str">
        <f>TEXT(WEEKDAY(DATE(Agosto!CalendarioAño,1,27),1),"ddd")</f>
        <v>mar</v>
      </c>
      <c r="AD5" s="16" t="str">
        <f>TEXT(WEEKDAY(DATE(Agosto!CalendarioAño,1,28),1),"ddd")</f>
        <v>mié</v>
      </c>
      <c r="AE5" s="16" t="str">
        <f>TEXT(WEEKDAY(DATE(Agosto!CalendarioAño,1,29),1),"ddd")</f>
        <v>jue</v>
      </c>
      <c r="AF5" s="16" t="str">
        <f>TEXT(WEEKDAY(DATE(Agosto!CalendarioAño,1,30),1),"ddd")</f>
        <v>vie</v>
      </c>
      <c r="AG5" s="16" t="str">
        <f>TEXT(WEEKDAY(DATE(Agosto!CalendarioAño,1,31),1),"ddd")</f>
        <v>sáb</v>
      </c>
      <c r="AH5" s="14"/>
      <c r="AI5" s="14"/>
      <c r="AJ5" s="14"/>
    </row>
    <row r="6" ht="15.0" customHeight="1">
      <c r="A6" s="17"/>
      <c r="B6" s="18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  <c r="I6" s="19" t="s">
        <v>21</v>
      </c>
      <c r="J6" s="19" t="s">
        <v>22</v>
      </c>
      <c r="K6" s="19" t="s">
        <v>23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19" t="s">
        <v>36</v>
      </c>
      <c r="Y6" s="19" t="s">
        <v>37</v>
      </c>
      <c r="Z6" s="19" t="s">
        <v>38</v>
      </c>
      <c r="AA6" s="19" t="s">
        <v>39</v>
      </c>
      <c r="AB6" s="19" t="s">
        <v>40</v>
      </c>
      <c r="AC6" s="19" t="s">
        <v>41</v>
      </c>
      <c r="AD6" s="19" t="s">
        <v>42</v>
      </c>
      <c r="AE6" s="19" t="s">
        <v>43</v>
      </c>
      <c r="AF6" s="19" t="s">
        <v>44</v>
      </c>
      <c r="AG6" s="19" t="s">
        <v>45</v>
      </c>
      <c r="AH6" s="19" t="s">
        <v>46</v>
      </c>
      <c r="AI6" s="19"/>
      <c r="AJ6" s="19"/>
    </row>
    <row r="7" ht="30.0" customHeight="1">
      <c r="B7" s="20"/>
      <c r="C7" s="21"/>
      <c r="D7" s="21"/>
      <c r="E7" s="21"/>
      <c r="F7" s="22"/>
      <c r="G7" s="22"/>
      <c r="H7" s="21"/>
      <c r="I7" s="21"/>
      <c r="J7" s="21"/>
      <c r="K7" s="22"/>
      <c r="L7" s="21"/>
      <c r="M7" s="21"/>
      <c r="N7" s="22"/>
      <c r="O7" s="21"/>
      <c r="P7" s="21"/>
      <c r="Q7" s="21"/>
      <c r="R7" s="22"/>
      <c r="S7" s="21"/>
      <c r="T7" s="22"/>
      <c r="U7" s="22"/>
      <c r="V7" s="21"/>
      <c r="W7" s="21"/>
      <c r="X7" s="21"/>
      <c r="Y7" s="22"/>
      <c r="Z7" s="21"/>
      <c r="AA7" s="22"/>
      <c r="AB7" s="22"/>
      <c r="AC7" s="21"/>
      <c r="AD7" s="21"/>
      <c r="AE7" s="21"/>
      <c r="AF7" s="22"/>
      <c r="AG7" s="21"/>
      <c r="AH7" s="23"/>
      <c r="AI7" s="23"/>
      <c r="AJ7" s="23"/>
    </row>
    <row r="8" ht="30.0" customHeight="1">
      <c r="B8" s="24" t="str">
        <f>Agosto!MonthName&amp;" Total"</f>
        <v>Enero Total</v>
      </c>
      <c r="C8" s="25">
        <f>SUBTOTAL(103,Agosto!$C$7)</f>
        <v>0</v>
      </c>
      <c r="D8" s="25">
        <f>SUBTOTAL(103,Agosto!$D$7)</f>
        <v>0</v>
      </c>
      <c r="E8" s="25">
        <f>SUBTOTAL(103,Agosto!$E$7)</f>
        <v>0</v>
      </c>
      <c r="F8" s="25">
        <f>SUBTOTAL(103,Agosto!$F$7)</f>
        <v>0</v>
      </c>
      <c r="G8" s="25">
        <f>SUBTOTAL(103,Agosto!$G$7)</f>
        <v>0</v>
      </c>
      <c r="H8" s="25">
        <f>SUBTOTAL(103,Agosto!$H$7)</f>
        <v>0</v>
      </c>
      <c r="I8" s="25">
        <f>SUBTOTAL(103,Agosto!$I$7)</f>
        <v>0</v>
      </c>
      <c r="J8" s="25">
        <f>SUBTOTAL(103,Agosto!$J$7)</f>
        <v>0</v>
      </c>
      <c r="K8" s="25">
        <f>SUBTOTAL(103,Agosto!$K$7)</f>
        <v>0</v>
      </c>
      <c r="L8" s="25">
        <f>SUBTOTAL(103,Agosto!$L$7)</f>
        <v>0</v>
      </c>
      <c r="M8" s="25">
        <f>SUBTOTAL(103,Agosto!$M$7)</f>
        <v>0</v>
      </c>
      <c r="N8" s="25">
        <f>SUBTOTAL(103,Agosto!$N$7)</f>
        <v>0</v>
      </c>
      <c r="O8" s="25">
        <f>SUBTOTAL(103,Agosto!$O$7)</f>
        <v>0</v>
      </c>
      <c r="P8" s="25">
        <f>SUBTOTAL(103,Agosto!$P$7)</f>
        <v>0</v>
      </c>
      <c r="Q8" s="25">
        <f>SUBTOTAL(103,Agosto!$Q$7)</f>
        <v>0</v>
      </c>
      <c r="R8" s="25">
        <f>SUBTOTAL(103,Agosto!$R$7)</f>
        <v>0</v>
      </c>
      <c r="S8" s="25">
        <f>SUBTOTAL(103,Agosto!$S$7)</f>
        <v>0</v>
      </c>
      <c r="T8" s="25">
        <f>SUBTOTAL(103,Agosto!$T$7)</f>
        <v>0</v>
      </c>
      <c r="U8" s="25">
        <f>SUBTOTAL(103,Agosto!$U$7)</f>
        <v>0</v>
      </c>
      <c r="V8" s="25">
        <f>SUBTOTAL(103,Agosto!$V$7)</f>
        <v>0</v>
      </c>
      <c r="W8" s="25">
        <f>SUBTOTAL(103,Agosto!$W$7)</f>
        <v>0</v>
      </c>
      <c r="X8" s="25">
        <f>SUBTOTAL(103,Agosto!$X$7)</f>
        <v>0</v>
      </c>
      <c r="Y8" s="25">
        <f>SUBTOTAL(103,Agosto!$Y$7)</f>
        <v>0</v>
      </c>
      <c r="Z8" s="25">
        <f>SUBTOTAL(103,Agosto!$Z$7)</f>
        <v>0</v>
      </c>
      <c r="AA8" s="25">
        <f>SUBTOTAL(103,Agosto!$AA$7)</f>
        <v>0</v>
      </c>
      <c r="AB8" s="25">
        <f>SUBTOTAL(103,Agosto!$AB$7)</f>
        <v>0</v>
      </c>
      <c r="AC8" s="25">
        <f>SUBTOTAL(103,Agosto!$AC$7)</f>
        <v>0</v>
      </c>
      <c r="AD8" s="25">
        <f>SUBTOTAL(103,Agosto!$AD$7)</f>
        <v>0</v>
      </c>
      <c r="AE8" s="25">
        <f>SUBTOTAL(103,Agosto!$AE$7)</f>
        <v>0</v>
      </c>
      <c r="AF8" s="25">
        <f>SUBTOTAL(103,Agosto!$AF$7)</f>
        <v>0</v>
      </c>
      <c r="AG8" s="25">
        <f>SUBTOTAL(103,Agosto!$AG$7)</f>
        <v>0</v>
      </c>
      <c r="AH8" s="25"/>
      <c r="AI8" s="25"/>
      <c r="AJ8" s="25"/>
    </row>
    <row r="9" ht="30.0" customHeight="1">
      <c r="AH9" s="5"/>
      <c r="AI9" s="5"/>
      <c r="AJ9" s="5"/>
    </row>
    <row r="10" ht="30.0" customHeight="1">
      <c r="B10" s="26" t="s">
        <v>12</v>
      </c>
      <c r="C10" s="27" t="s">
        <v>47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9">
        <v>2026.0</v>
      </c>
      <c r="AI10" s="15"/>
      <c r="AJ10" s="15"/>
    </row>
    <row r="11" ht="30.0" customHeight="1">
      <c r="B11" s="30"/>
      <c r="C11" s="16" t="str">
        <f>TEXT(WEEKDAY(DATE(Agosto!CalendarioAño,1,1),1),"ddd")</f>
        <v>jue</v>
      </c>
      <c r="D11" s="16" t="str">
        <f>TEXT(WEEKDAY(DATE(Agosto!CalendarioAño,1,2),1),"ddd")</f>
        <v>vie</v>
      </c>
      <c r="E11" s="16" t="str">
        <f>TEXT(WEEKDAY(DATE(Agosto!CalendarioAño,1,3),1),"ddd")</f>
        <v>sáb</v>
      </c>
      <c r="F11" s="16" t="str">
        <f>TEXT(WEEKDAY(DATE(Agosto!CalendarioAño,1,4),1),"ddd")</f>
        <v>dom</v>
      </c>
      <c r="G11" s="16" t="str">
        <f>TEXT(WEEKDAY(DATE(Agosto!CalendarioAño,1,5),1),"ddd")</f>
        <v>lun</v>
      </c>
      <c r="H11" s="16" t="str">
        <f>TEXT(WEEKDAY(DATE(Agosto!CalendarioAño,1,6),1),"ddd")</f>
        <v>mar</v>
      </c>
      <c r="I11" s="16" t="str">
        <f>TEXT(WEEKDAY(DATE(Agosto!CalendarioAño,1,7),1),"ddd")</f>
        <v>mié</v>
      </c>
      <c r="J11" s="16" t="str">
        <f>TEXT(WEEKDAY(DATE(Agosto!CalendarioAño,1,8),1),"ddd")</f>
        <v>jue</v>
      </c>
      <c r="K11" s="16" t="str">
        <f>TEXT(WEEKDAY(DATE(Agosto!CalendarioAño,1,9),1),"ddd")</f>
        <v>vie</v>
      </c>
      <c r="L11" s="16" t="str">
        <f>TEXT(WEEKDAY(DATE(Agosto!CalendarioAño,1,10),1),"ddd")</f>
        <v>sáb</v>
      </c>
      <c r="M11" s="16" t="str">
        <f>TEXT(WEEKDAY(DATE(Agosto!CalendarioAño,1,11),1),"ddd")</f>
        <v>dom</v>
      </c>
      <c r="N11" s="16" t="str">
        <f>TEXT(WEEKDAY(DATE(Agosto!CalendarioAño,1,12),1),"ddd")</f>
        <v>lun</v>
      </c>
      <c r="O11" s="16" t="str">
        <f>TEXT(WEEKDAY(DATE(Agosto!CalendarioAño,1,13),1),"ddd")</f>
        <v>mar</v>
      </c>
      <c r="P11" s="16" t="str">
        <f>TEXT(WEEKDAY(DATE(Agosto!CalendarioAño,1,14),1),"ddd")</f>
        <v>mié</v>
      </c>
      <c r="Q11" s="16" t="str">
        <f>TEXT(WEEKDAY(DATE(Agosto!CalendarioAño,1,15),1),"ddd")</f>
        <v>jue</v>
      </c>
      <c r="R11" s="16" t="str">
        <f>TEXT(WEEKDAY(DATE(Agosto!CalendarioAño,1,16),1),"ddd")</f>
        <v>vie</v>
      </c>
      <c r="S11" s="16" t="str">
        <f>TEXT(WEEKDAY(DATE(Agosto!CalendarioAño,1,17),1),"ddd")</f>
        <v>sáb</v>
      </c>
      <c r="T11" s="16" t="str">
        <f>TEXT(WEEKDAY(DATE(Agosto!CalendarioAño,1,18),1),"ddd")</f>
        <v>dom</v>
      </c>
      <c r="U11" s="16" t="str">
        <f>TEXT(WEEKDAY(DATE(Agosto!CalendarioAño,1,19),1),"ddd")</f>
        <v>lun</v>
      </c>
      <c r="V11" s="16" t="str">
        <f>TEXT(WEEKDAY(DATE(Agosto!CalendarioAño,1,20),1),"ddd")</f>
        <v>mar</v>
      </c>
      <c r="W11" s="16" t="str">
        <f>TEXT(WEEKDAY(DATE(Agosto!CalendarioAño,1,21),1),"ddd")</f>
        <v>mié</v>
      </c>
      <c r="X11" s="16" t="str">
        <f>TEXT(WEEKDAY(DATE(Agosto!CalendarioAño,1,22),1),"ddd")</f>
        <v>jue</v>
      </c>
      <c r="Y11" s="16" t="str">
        <f>TEXT(WEEKDAY(DATE(Agosto!CalendarioAño,1,23),1),"ddd")</f>
        <v>vie</v>
      </c>
      <c r="Z11" s="16" t="str">
        <f>TEXT(WEEKDAY(DATE(Agosto!CalendarioAño,1,24),1),"ddd")</f>
        <v>sáb</v>
      </c>
      <c r="AA11" s="16" t="str">
        <f>TEXT(WEEKDAY(DATE(Agosto!CalendarioAño,1,25),1),"ddd")</f>
        <v>dom</v>
      </c>
      <c r="AB11" s="16" t="str">
        <f>TEXT(WEEKDAY(DATE(Agosto!CalendarioAño,1,26),1),"ddd")</f>
        <v>lun</v>
      </c>
      <c r="AC11" s="16" t="str">
        <f>TEXT(WEEKDAY(DATE(Agosto!CalendarioAño,1,27),1),"ddd")</f>
        <v>mar</v>
      </c>
      <c r="AD11" s="16" t="str">
        <f>TEXT(WEEKDAY(DATE(Agosto!CalendarioAño,1,28),1),"ddd")</f>
        <v>mié</v>
      </c>
      <c r="AE11" s="16" t="str">
        <f>TEXT(WEEKDAY(DATE(Agosto!CalendarioAño,1,29),1),"ddd")</f>
        <v>jue</v>
      </c>
      <c r="AF11" s="16" t="str">
        <f>TEXT(WEEKDAY(DATE(Agosto!CalendarioAño,1,30),1),"ddd")</f>
        <v>vie</v>
      </c>
      <c r="AG11" s="16" t="str">
        <f>TEXT(WEEKDAY(DATE(Agosto!CalendarioAño,1,31),1),"ddd")</f>
        <v>sáb</v>
      </c>
      <c r="AH11" s="30"/>
      <c r="AI11" s="14"/>
      <c r="AJ11" s="14"/>
    </row>
    <row r="12" ht="21.75" customHeight="1">
      <c r="A12" s="17"/>
      <c r="B12" s="31" t="s">
        <v>14</v>
      </c>
      <c r="C12" s="19" t="s">
        <v>15</v>
      </c>
      <c r="D12" s="19" t="s">
        <v>16</v>
      </c>
      <c r="E12" s="19" t="s">
        <v>17</v>
      </c>
      <c r="F12" s="19" t="s">
        <v>18</v>
      </c>
      <c r="G12" s="19" t="s">
        <v>19</v>
      </c>
      <c r="H12" s="19" t="s">
        <v>20</v>
      </c>
      <c r="I12" s="19" t="s">
        <v>21</v>
      </c>
      <c r="J12" s="19" t="s">
        <v>22</v>
      </c>
      <c r="K12" s="19" t="s">
        <v>23</v>
      </c>
      <c r="L12" s="19" t="s">
        <v>24</v>
      </c>
      <c r="M12" s="19" t="s">
        <v>25</v>
      </c>
      <c r="N12" s="19" t="s">
        <v>26</v>
      </c>
      <c r="O12" s="19" t="s">
        <v>27</v>
      </c>
      <c r="P12" s="19" t="s">
        <v>28</v>
      </c>
      <c r="Q12" s="19" t="s">
        <v>29</v>
      </c>
      <c r="R12" s="19" t="s">
        <v>30</v>
      </c>
      <c r="S12" s="19" t="s">
        <v>31</v>
      </c>
      <c r="T12" s="19" t="s">
        <v>32</v>
      </c>
      <c r="U12" s="19" t="s">
        <v>33</v>
      </c>
      <c r="V12" s="19" t="s">
        <v>34</v>
      </c>
      <c r="W12" s="19" t="s">
        <v>35</v>
      </c>
      <c r="X12" s="19" t="s">
        <v>36</v>
      </c>
      <c r="Y12" s="19" t="s">
        <v>37</v>
      </c>
      <c r="Z12" s="19" t="s">
        <v>38</v>
      </c>
      <c r="AA12" s="19" t="s">
        <v>39</v>
      </c>
      <c r="AB12" s="19" t="s">
        <v>40</v>
      </c>
      <c r="AC12" s="19" t="s">
        <v>41</v>
      </c>
      <c r="AD12" s="19" t="s">
        <v>42</v>
      </c>
      <c r="AE12" s="19" t="s">
        <v>43</v>
      </c>
      <c r="AF12" s="19" t="s">
        <v>44</v>
      </c>
      <c r="AG12" s="19" t="s">
        <v>45</v>
      </c>
      <c r="AH12" s="19" t="s">
        <v>46</v>
      </c>
      <c r="AI12" s="19"/>
      <c r="AJ12" s="19"/>
    </row>
    <row r="13" ht="30.0" customHeight="1">
      <c r="B13" s="32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23"/>
      <c r="AI13" s="23"/>
      <c r="AJ13" s="23"/>
    </row>
    <row r="14" ht="30.0" customHeight="1">
      <c r="B14" s="32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23"/>
      <c r="AI14" s="23"/>
      <c r="AJ14" s="23"/>
    </row>
    <row r="15" ht="30.0" customHeight="1">
      <c r="B15" s="32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23"/>
      <c r="AI15" s="23"/>
      <c r="AJ15" s="23"/>
    </row>
    <row r="16" ht="30.0" customHeight="1">
      <c r="B16" s="32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23"/>
      <c r="AI16" s="23"/>
      <c r="AJ16" s="23"/>
    </row>
    <row r="17" ht="30.0" customHeight="1">
      <c r="B17" s="32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23"/>
      <c r="AI17" s="23"/>
      <c r="AJ17" s="23"/>
    </row>
    <row r="18" ht="30.0" customHeight="1">
      <c r="B18" s="32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23"/>
      <c r="AI18" s="23"/>
      <c r="AJ18" s="23"/>
    </row>
    <row r="19" ht="30.0" customHeight="1">
      <c r="B19" s="32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23"/>
      <c r="AI19" s="23"/>
      <c r="AJ19" s="23"/>
    </row>
    <row r="20" ht="30.0" customHeight="1">
      <c r="B20" s="32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23"/>
      <c r="AI20" s="23"/>
      <c r="AJ20" s="23"/>
    </row>
    <row r="21" ht="30.0" customHeight="1">
      <c r="B21" s="32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23"/>
      <c r="AI21" s="23"/>
      <c r="AJ21" s="23"/>
    </row>
    <row r="22" ht="30.0" customHeight="1">
      <c r="B22" s="32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23"/>
      <c r="AI22" s="23"/>
      <c r="AJ22" s="23"/>
    </row>
    <row r="23" ht="30.0" customHeight="1">
      <c r="B23" s="32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23"/>
      <c r="AI23" s="23"/>
      <c r="AJ23" s="23"/>
    </row>
    <row r="24" ht="30.0" customHeight="1">
      <c r="B24" s="32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23"/>
      <c r="AI24" s="23"/>
      <c r="AJ24" s="23"/>
    </row>
    <row r="25" ht="30.0" customHeight="1">
      <c r="B25" s="32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23"/>
      <c r="AI25" s="23"/>
      <c r="AJ25" s="23"/>
    </row>
    <row r="26" ht="30.0" customHeight="1">
      <c r="B26" s="32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23"/>
      <c r="AI26" s="23"/>
      <c r="AJ26" s="23"/>
    </row>
    <row r="27" ht="30.0" customHeight="1">
      <c r="B27" s="32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23"/>
      <c r="AI27" s="23"/>
      <c r="AJ27" s="23"/>
    </row>
    <row r="28" ht="30.0" customHeight="1">
      <c r="B28" s="32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23"/>
      <c r="AI28" s="23"/>
      <c r="AJ28" s="23"/>
    </row>
    <row r="29" ht="30.0" customHeight="1">
      <c r="B29" s="32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23"/>
      <c r="AI29" s="23"/>
      <c r="AJ29" s="23"/>
    </row>
    <row r="30" ht="30.0" customHeight="1">
      <c r="B30" s="32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23"/>
      <c r="AI30" s="23"/>
      <c r="AJ30" s="23"/>
    </row>
    <row r="31" ht="30.0" customHeight="1">
      <c r="B31" s="32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23"/>
      <c r="AI31" s="23"/>
      <c r="AJ31" s="23"/>
    </row>
    <row r="32" ht="30.0" customHeight="1">
      <c r="B32" s="32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23"/>
      <c r="AI32" s="23"/>
      <c r="AJ32" s="23"/>
    </row>
    <row r="33" ht="30.0" customHeight="1">
      <c r="B33" s="32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2"/>
      <c r="O33" s="21"/>
      <c r="P33" s="21"/>
      <c r="Q33" s="22"/>
      <c r="R33" s="21"/>
      <c r="S33" s="21"/>
      <c r="T33" s="21"/>
      <c r="U33" s="21"/>
      <c r="V33" s="21"/>
      <c r="W33" s="21"/>
      <c r="X33" s="22"/>
      <c r="Y33" s="22"/>
      <c r="Z33" s="21"/>
      <c r="AA33" s="21"/>
      <c r="AB33" s="21"/>
      <c r="AC33" s="21"/>
      <c r="AD33" s="33"/>
      <c r="AE33" s="22"/>
      <c r="AF33" s="21"/>
      <c r="AG33" s="22"/>
      <c r="AH33" s="23"/>
      <c r="AI33" s="23"/>
      <c r="AJ33" s="23"/>
    </row>
    <row r="34" ht="30.0" customHeight="1">
      <c r="B34" s="24" t="str">
        <f>Agosto!MonthName&amp;" Total"</f>
        <v>Enero Total</v>
      </c>
      <c r="C34" s="25">
        <f>SUBTOTAL(103,Agosto!$C$7)</f>
        <v>0</v>
      </c>
      <c r="D34" s="25">
        <f>SUBTOTAL(103,Agosto!$D$7)</f>
        <v>0</v>
      </c>
      <c r="E34" s="25">
        <f>SUBTOTAL(103,Agosto!$E$7)</f>
        <v>0</v>
      </c>
      <c r="F34" s="25"/>
      <c r="G34" s="25">
        <f>SUBTOTAL(103,Agosto!$G$7)</f>
        <v>0</v>
      </c>
      <c r="H34" s="25">
        <f>SUBTOTAL(103,Agosto!$H$7)</f>
        <v>0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ht="30.0" customHeight="1">
      <c r="AH35" s="5"/>
      <c r="AI35" s="5"/>
      <c r="AJ35" s="5"/>
    </row>
    <row r="36" ht="30.0" customHeight="1">
      <c r="AH36" s="5"/>
      <c r="AI36" s="5"/>
      <c r="AJ36" s="5"/>
    </row>
    <row r="37" ht="30.0" customHeight="1">
      <c r="B37" s="30" t="s">
        <v>12</v>
      </c>
      <c r="C37" s="27" t="s">
        <v>67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39">
        <v>2026.0</v>
      </c>
      <c r="AI37" s="15"/>
      <c r="AJ37" s="15"/>
    </row>
    <row r="38" ht="30.0" customHeight="1">
      <c r="B38" s="30"/>
      <c r="C38" s="16" t="str">
        <f>TEXT(WEEKDAY(DATE(Agosto!CalendarioAño,1,1),1),"ddd")</f>
        <v>jue</v>
      </c>
      <c r="D38" s="16" t="str">
        <f>TEXT(WEEKDAY(DATE(Agosto!CalendarioAño,1,2),1),"ddd")</f>
        <v>vie</v>
      </c>
      <c r="E38" s="16" t="str">
        <f>TEXT(WEEKDAY(DATE(Agosto!CalendarioAño,1,3),1),"ddd")</f>
        <v>sáb</v>
      </c>
      <c r="F38" s="16" t="str">
        <f>TEXT(WEEKDAY(DATE(Agosto!CalendarioAño,1,4),1),"ddd")</f>
        <v>dom</v>
      </c>
      <c r="G38" s="16" t="str">
        <f>TEXT(WEEKDAY(DATE(Agosto!CalendarioAño,1,5),1),"ddd")</f>
        <v>lun</v>
      </c>
      <c r="H38" s="16" t="str">
        <f>TEXT(WEEKDAY(DATE(Agosto!CalendarioAño,1,6),1),"ddd")</f>
        <v>mar</v>
      </c>
      <c r="I38" s="16" t="str">
        <f>TEXT(WEEKDAY(DATE(Agosto!CalendarioAño,1,7),1),"ddd")</f>
        <v>mié</v>
      </c>
      <c r="J38" s="16" t="str">
        <f>TEXT(WEEKDAY(DATE(Agosto!CalendarioAño,1,8),1),"ddd")</f>
        <v>jue</v>
      </c>
      <c r="K38" s="16" t="str">
        <f>TEXT(WEEKDAY(DATE(Agosto!CalendarioAño,1,9),1),"ddd")</f>
        <v>vie</v>
      </c>
      <c r="L38" s="16" t="str">
        <f>TEXT(WEEKDAY(DATE(Agosto!CalendarioAño,1,10),1),"ddd")</f>
        <v>sáb</v>
      </c>
      <c r="M38" s="16" t="str">
        <f>TEXT(WEEKDAY(DATE(Agosto!CalendarioAño,1,11),1),"ddd")</f>
        <v>dom</v>
      </c>
      <c r="N38" s="16" t="str">
        <f>TEXT(WEEKDAY(DATE(Agosto!CalendarioAño,1,12),1),"ddd")</f>
        <v>lun</v>
      </c>
      <c r="O38" s="16" t="str">
        <f>TEXT(WEEKDAY(DATE(Agosto!CalendarioAño,1,13),1),"ddd")</f>
        <v>mar</v>
      </c>
      <c r="P38" s="16" t="str">
        <f>TEXT(WEEKDAY(DATE(Agosto!CalendarioAño,1,14),1),"ddd")</f>
        <v>mié</v>
      </c>
      <c r="Q38" s="16" t="str">
        <f>TEXT(WEEKDAY(DATE(Agosto!CalendarioAño,1,15),1),"ddd")</f>
        <v>jue</v>
      </c>
      <c r="R38" s="16" t="str">
        <f>TEXT(WEEKDAY(DATE(Agosto!CalendarioAño,1,16),1),"ddd")</f>
        <v>vie</v>
      </c>
      <c r="S38" s="16" t="str">
        <f>TEXT(WEEKDAY(DATE(Agosto!CalendarioAño,1,17),1),"ddd")</f>
        <v>sáb</v>
      </c>
      <c r="T38" s="16" t="str">
        <f>TEXT(WEEKDAY(DATE(Agosto!CalendarioAño,1,18),1),"ddd")</f>
        <v>dom</v>
      </c>
      <c r="U38" s="16" t="str">
        <f>TEXT(WEEKDAY(DATE(Agosto!CalendarioAño,1,19),1),"ddd")</f>
        <v>lun</v>
      </c>
      <c r="V38" s="16" t="str">
        <f>TEXT(WEEKDAY(DATE(Agosto!CalendarioAño,1,20),1),"ddd")</f>
        <v>mar</v>
      </c>
      <c r="W38" s="16" t="str">
        <f>TEXT(WEEKDAY(DATE(Agosto!CalendarioAño,1,21),1),"ddd")</f>
        <v>mié</v>
      </c>
      <c r="X38" s="16" t="str">
        <f>TEXT(WEEKDAY(DATE(Agosto!CalendarioAño,1,22),1),"ddd")</f>
        <v>jue</v>
      </c>
      <c r="Y38" s="16" t="str">
        <f>TEXT(WEEKDAY(DATE(Agosto!CalendarioAño,1,23),1),"ddd")</f>
        <v>vie</v>
      </c>
      <c r="Z38" s="16" t="str">
        <f>TEXT(WEEKDAY(DATE(Agosto!CalendarioAño,1,24),1),"ddd")</f>
        <v>sáb</v>
      </c>
      <c r="AA38" s="16" t="str">
        <f>TEXT(WEEKDAY(DATE(Agosto!CalendarioAño,1,25),1),"ddd")</f>
        <v>dom</v>
      </c>
      <c r="AB38" s="16" t="str">
        <f>TEXT(WEEKDAY(DATE(Agosto!CalendarioAño,1,26),1),"ddd")</f>
        <v>lun</v>
      </c>
      <c r="AC38" s="16" t="str">
        <f>TEXT(WEEKDAY(DATE(Agosto!CalendarioAño,1,27),1),"ddd")</f>
        <v>mar</v>
      </c>
      <c r="AD38" s="16" t="str">
        <f>TEXT(WEEKDAY(DATE(Agosto!CalendarioAño,1,28),1),"ddd")</f>
        <v>mié</v>
      </c>
      <c r="AE38" s="16" t="str">
        <f>TEXT(WEEKDAY(DATE(Agosto!CalendarioAño,1,29),1),"ddd")</f>
        <v>jue</v>
      </c>
      <c r="AF38" s="16" t="str">
        <f>TEXT(WEEKDAY(DATE(Agosto!CalendarioAño,1,30),1),"ddd")</f>
        <v>vie</v>
      </c>
      <c r="AG38" s="16" t="str">
        <f>TEXT(WEEKDAY(DATE(Agosto!CalendarioAño,1,31),1),"ddd")</f>
        <v>sáb</v>
      </c>
      <c r="AH38" s="30"/>
      <c r="AI38" s="14"/>
      <c r="AJ38" s="14"/>
    </row>
    <row r="39" ht="30.0" customHeight="1">
      <c r="A39" s="17"/>
      <c r="B39" s="31" t="s">
        <v>14</v>
      </c>
      <c r="C39" s="19" t="s">
        <v>15</v>
      </c>
      <c r="D39" s="19" t="s">
        <v>16</v>
      </c>
      <c r="E39" s="19" t="s">
        <v>17</v>
      </c>
      <c r="F39" s="19" t="s">
        <v>18</v>
      </c>
      <c r="G39" s="19" t="s">
        <v>19</v>
      </c>
      <c r="H39" s="19" t="s">
        <v>20</v>
      </c>
      <c r="I39" s="19" t="s">
        <v>21</v>
      </c>
      <c r="J39" s="19" t="s">
        <v>22</v>
      </c>
      <c r="K39" s="19" t="s">
        <v>23</v>
      </c>
      <c r="L39" s="19" t="s">
        <v>24</v>
      </c>
      <c r="M39" s="19" t="s">
        <v>25</v>
      </c>
      <c r="N39" s="19" t="s">
        <v>26</v>
      </c>
      <c r="O39" s="19" t="s">
        <v>27</v>
      </c>
      <c r="P39" s="19" t="s">
        <v>28</v>
      </c>
      <c r="Q39" s="19" t="s">
        <v>29</v>
      </c>
      <c r="R39" s="19" t="s">
        <v>30</v>
      </c>
      <c r="S39" s="19" t="s">
        <v>31</v>
      </c>
      <c r="T39" s="19" t="s">
        <v>32</v>
      </c>
      <c r="U39" s="19" t="s">
        <v>33</v>
      </c>
      <c r="V39" s="19" t="s">
        <v>34</v>
      </c>
      <c r="W39" s="19" t="s">
        <v>35</v>
      </c>
      <c r="X39" s="19" t="s">
        <v>36</v>
      </c>
      <c r="Y39" s="19" t="s">
        <v>37</v>
      </c>
      <c r="Z39" s="19" t="s">
        <v>38</v>
      </c>
      <c r="AA39" s="19" t="s">
        <v>39</v>
      </c>
      <c r="AB39" s="19" t="s">
        <v>40</v>
      </c>
      <c r="AC39" s="19" t="s">
        <v>41</v>
      </c>
      <c r="AD39" s="19" t="s">
        <v>42</v>
      </c>
      <c r="AE39" s="19" t="s">
        <v>43</v>
      </c>
      <c r="AF39" s="19" t="s">
        <v>44</v>
      </c>
      <c r="AG39" s="19" t="s">
        <v>45</v>
      </c>
      <c r="AH39" s="19" t="s">
        <v>46</v>
      </c>
      <c r="AI39" s="19"/>
      <c r="AJ39" s="19"/>
    </row>
    <row r="40" ht="30.0" customHeight="1">
      <c r="B40" s="40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23"/>
      <c r="AI40" s="23"/>
      <c r="AJ40" s="23"/>
    </row>
    <row r="41" ht="30.0" customHeight="1">
      <c r="B41" s="4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23"/>
      <c r="AI41" s="23"/>
      <c r="AJ41" s="23"/>
    </row>
    <row r="42" ht="30.0" customHeight="1">
      <c r="B42" s="32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21"/>
      <c r="AI42" s="21"/>
      <c r="AJ42" s="33"/>
    </row>
    <row r="43" ht="30.0" customHeight="1">
      <c r="B43" s="32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23"/>
      <c r="AI43" s="23"/>
      <c r="AJ43" s="23"/>
    </row>
    <row r="44" ht="30.0" customHeight="1">
      <c r="B44" s="32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121"/>
      <c r="AI44" s="23"/>
      <c r="AJ44" s="23"/>
    </row>
    <row r="45" ht="30.0" customHeight="1">
      <c r="B45" s="32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23"/>
      <c r="AI45" s="23"/>
      <c r="AJ45" s="23"/>
    </row>
    <row r="46" ht="30.0" customHeight="1">
      <c r="B46" s="32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23"/>
      <c r="AI46" s="23"/>
      <c r="AJ46" s="23"/>
    </row>
    <row r="47" ht="30.0" customHeight="1">
      <c r="B47" s="32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23"/>
      <c r="AI47" s="23"/>
      <c r="AJ47" s="23"/>
    </row>
    <row r="48" ht="30.0" customHeight="1">
      <c r="B48" s="32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23"/>
      <c r="AI48" s="23"/>
      <c r="AJ48" s="23"/>
    </row>
    <row r="49" ht="30.0" customHeight="1">
      <c r="B49" s="40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23"/>
      <c r="AI49" s="23"/>
      <c r="AJ49" s="23"/>
    </row>
    <row r="50" ht="30.0" customHeight="1">
      <c r="B50" s="32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23"/>
      <c r="AI50" s="23"/>
      <c r="AJ50" s="23"/>
    </row>
    <row r="51" ht="30.0" customHeight="1">
      <c r="B51" s="32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23"/>
      <c r="AI51" s="23"/>
      <c r="AJ51" s="23"/>
    </row>
    <row r="52" ht="30.0" customHeight="1">
      <c r="B52" s="32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23"/>
      <c r="AI52" s="23"/>
      <c r="AJ52" s="23"/>
    </row>
    <row r="53" ht="30.0" customHeight="1">
      <c r="B53" s="32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23"/>
      <c r="AI53" s="23"/>
      <c r="AJ53" s="23"/>
    </row>
    <row r="54" ht="30.0" customHeight="1">
      <c r="B54" s="32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23"/>
      <c r="AI54" s="23"/>
      <c r="AJ54" s="23"/>
    </row>
    <row r="55" ht="30.0" customHeight="1">
      <c r="B55" s="32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23"/>
      <c r="AI55" s="23"/>
      <c r="AJ55" s="23"/>
    </row>
    <row r="56" ht="30.0" customHeight="1">
      <c r="B56" s="32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25"/>
      <c r="AI56" s="25"/>
      <c r="AJ56" s="25"/>
    </row>
    <row r="57" ht="30.0" customHeight="1">
      <c r="B57" s="32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25"/>
      <c r="AI57" s="25"/>
      <c r="AJ57" s="25"/>
    </row>
    <row r="58" ht="30.0" customHeight="1">
      <c r="B58" s="32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25"/>
      <c r="AI58" s="25"/>
      <c r="AJ58" s="25"/>
    </row>
    <row r="59" ht="30.0" customHeight="1">
      <c r="B59" s="32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25"/>
      <c r="AI59" s="25"/>
      <c r="AJ59" s="25"/>
    </row>
    <row r="60" ht="30.0" customHeight="1">
      <c r="B60" s="24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ht="30.0" customHeight="1">
      <c r="B61" s="24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ht="30.0" customHeight="1">
      <c r="B62" s="24" t="str">
        <f>Agosto!MonthName&amp;" Total"</f>
        <v>Enero Total</v>
      </c>
      <c r="C62" s="25">
        <f>SUBTOTAL(103,Agosto!$C$7)</f>
        <v>0</v>
      </c>
      <c r="D62" s="25">
        <f>SUBTOTAL(103,Agosto!$D$7)</f>
        <v>0</v>
      </c>
      <c r="E62" s="25">
        <f>SUBTOTAL(103,Agosto!$E$7)</f>
        <v>0</v>
      </c>
      <c r="F62" s="25"/>
      <c r="G62" s="25">
        <f>SUBTOTAL(103,Agosto!$G$7)</f>
        <v>0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ht="30.0" customHeight="1">
      <c r="AH63" s="5"/>
      <c r="AI63" s="5"/>
      <c r="AJ63" s="5"/>
    </row>
    <row r="64" ht="30.0" customHeight="1">
      <c r="B64" s="30" t="s">
        <v>12</v>
      </c>
      <c r="C64" s="27" t="s">
        <v>89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39">
        <v>2026.0</v>
      </c>
      <c r="AI64" s="15"/>
      <c r="AJ64" s="15"/>
    </row>
    <row r="65" ht="30.0" customHeight="1">
      <c r="B65" s="30"/>
      <c r="C65" s="16" t="str">
        <f>TEXT(WEEKDAY(DATE(Agosto!CalendarioAño,1,1),1),"ddd")</f>
        <v>jue</v>
      </c>
      <c r="D65" s="16" t="str">
        <f>TEXT(WEEKDAY(DATE(Agosto!CalendarioAño,1,2),1),"ddd")</f>
        <v>vie</v>
      </c>
      <c r="E65" s="16" t="str">
        <f>TEXT(WEEKDAY(DATE(Agosto!CalendarioAño,1,3),1),"ddd")</f>
        <v>sáb</v>
      </c>
      <c r="F65" s="16" t="str">
        <f>TEXT(WEEKDAY(DATE(Agosto!CalendarioAño,1,4),1),"ddd")</f>
        <v>dom</v>
      </c>
      <c r="G65" s="16" t="str">
        <f>TEXT(WEEKDAY(DATE(Agosto!CalendarioAño,1,5),1),"ddd")</f>
        <v>lun</v>
      </c>
      <c r="H65" s="16" t="str">
        <f>TEXT(WEEKDAY(DATE(Agosto!CalendarioAño,1,6),1),"ddd")</f>
        <v>mar</v>
      </c>
      <c r="I65" s="16" t="str">
        <f>TEXT(WEEKDAY(DATE(Agosto!CalendarioAño,1,7),1),"ddd")</f>
        <v>mié</v>
      </c>
      <c r="J65" s="16" t="str">
        <f>TEXT(WEEKDAY(DATE(Agosto!CalendarioAño,1,8),1),"ddd")</f>
        <v>jue</v>
      </c>
      <c r="K65" s="16" t="str">
        <f>TEXT(WEEKDAY(DATE(Agosto!CalendarioAño,1,9),1),"ddd")</f>
        <v>vie</v>
      </c>
      <c r="L65" s="16" t="str">
        <f>TEXT(WEEKDAY(DATE(Agosto!CalendarioAño,1,10),1),"ddd")</f>
        <v>sáb</v>
      </c>
      <c r="M65" s="16" t="str">
        <f>TEXT(WEEKDAY(DATE(Agosto!CalendarioAño,1,11),1),"ddd")</f>
        <v>dom</v>
      </c>
      <c r="N65" s="16" t="str">
        <f>TEXT(WEEKDAY(DATE(Agosto!CalendarioAño,1,12),1),"ddd")</f>
        <v>lun</v>
      </c>
      <c r="O65" s="16" t="str">
        <f>TEXT(WEEKDAY(DATE(Agosto!CalendarioAño,1,13),1),"ddd")</f>
        <v>mar</v>
      </c>
      <c r="P65" s="16" t="str">
        <f>TEXT(WEEKDAY(DATE(Agosto!CalendarioAño,1,14),1),"ddd")</f>
        <v>mié</v>
      </c>
      <c r="Q65" s="16" t="str">
        <f>TEXT(WEEKDAY(DATE(Agosto!CalendarioAño,1,15),1),"ddd")</f>
        <v>jue</v>
      </c>
      <c r="R65" s="16" t="str">
        <f>TEXT(WEEKDAY(DATE(Agosto!CalendarioAño,1,16),1),"ddd")</f>
        <v>vie</v>
      </c>
      <c r="S65" s="16" t="str">
        <f>TEXT(WEEKDAY(DATE(Agosto!CalendarioAño,1,17),1),"ddd")</f>
        <v>sáb</v>
      </c>
      <c r="T65" s="16" t="str">
        <f>TEXT(WEEKDAY(DATE(Agosto!CalendarioAño,1,18),1),"ddd")</f>
        <v>dom</v>
      </c>
      <c r="U65" s="16" t="str">
        <f>TEXT(WEEKDAY(DATE(Agosto!CalendarioAño,1,19),1),"ddd")</f>
        <v>lun</v>
      </c>
      <c r="V65" s="16" t="str">
        <f>TEXT(WEEKDAY(DATE(Agosto!CalendarioAño,1,20),1),"ddd")</f>
        <v>mar</v>
      </c>
      <c r="W65" s="16" t="str">
        <f>TEXT(WEEKDAY(DATE(Agosto!CalendarioAño,1,21),1),"ddd")</f>
        <v>mié</v>
      </c>
      <c r="X65" s="16" t="str">
        <f>TEXT(WEEKDAY(DATE(Agosto!CalendarioAño,1,22),1),"ddd")</f>
        <v>jue</v>
      </c>
      <c r="Y65" s="16" t="str">
        <f>TEXT(WEEKDAY(DATE(Agosto!CalendarioAño,1,23),1),"ddd")</f>
        <v>vie</v>
      </c>
      <c r="Z65" s="16" t="str">
        <f>TEXT(WEEKDAY(DATE(Agosto!CalendarioAño,1,24),1),"ddd")</f>
        <v>sáb</v>
      </c>
      <c r="AA65" s="16" t="str">
        <f>TEXT(WEEKDAY(DATE(Agosto!CalendarioAño,1,25),1),"ddd")</f>
        <v>dom</v>
      </c>
      <c r="AB65" s="16" t="str">
        <f>TEXT(WEEKDAY(DATE(Agosto!CalendarioAño,1,26),1),"ddd")</f>
        <v>lun</v>
      </c>
      <c r="AC65" s="16" t="str">
        <f>TEXT(WEEKDAY(DATE(Agosto!CalendarioAño,1,27),1),"ddd")</f>
        <v>mar</v>
      </c>
      <c r="AD65" s="16" t="str">
        <f>TEXT(WEEKDAY(DATE(Agosto!CalendarioAño,1,28),1),"ddd")</f>
        <v>mié</v>
      </c>
      <c r="AE65" s="16" t="str">
        <f>TEXT(WEEKDAY(DATE(Agosto!CalendarioAño,1,29),1),"ddd")</f>
        <v>jue</v>
      </c>
      <c r="AF65" s="16" t="str">
        <f>TEXT(WEEKDAY(DATE(Agosto!CalendarioAño,1,30),1),"ddd")</f>
        <v>vie</v>
      </c>
      <c r="AG65" s="16" t="str">
        <f>TEXT(WEEKDAY(DATE(Agosto!CalendarioAño,1,31),1),"ddd")</f>
        <v>sáb</v>
      </c>
      <c r="AH65" s="30"/>
      <c r="AI65" s="14"/>
      <c r="AJ65" s="14"/>
    </row>
    <row r="66" ht="30.0" customHeight="1">
      <c r="A66" s="17"/>
      <c r="B66" s="31" t="s">
        <v>14</v>
      </c>
      <c r="C66" s="19" t="s">
        <v>15</v>
      </c>
      <c r="D66" s="19" t="s">
        <v>16</v>
      </c>
      <c r="E66" s="19" t="s">
        <v>17</v>
      </c>
      <c r="F66" s="19" t="s">
        <v>18</v>
      </c>
      <c r="G66" s="19" t="s">
        <v>19</v>
      </c>
      <c r="H66" s="19" t="s">
        <v>20</v>
      </c>
      <c r="I66" s="19" t="s">
        <v>21</v>
      </c>
      <c r="J66" s="19" t="s">
        <v>22</v>
      </c>
      <c r="K66" s="19" t="s">
        <v>23</v>
      </c>
      <c r="L66" s="19" t="s">
        <v>24</v>
      </c>
      <c r="M66" s="19" t="s">
        <v>25</v>
      </c>
      <c r="N66" s="19" t="s">
        <v>26</v>
      </c>
      <c r="O66" s="19" t="s">
        <v>27</v>
      </c>
      <c r="P66" s="19" t="s">
        <v>28</v>
      </c>
      <c r="Q66" s="19" t="s">
        <v>29</v>
      </c>
      <c r="R66" s="19" t="s">
        <v>30</v>
      </c>
      <c r="S66" s="19" t="s">
        <v>31</v>
      </c>
      <c r="T66" s="19" t="s">
        <v>32</v>
      </c>
      <c r="U66" s="19" t="s">
        <v>33</v>
      </c>
      <c r="V66" s="19" t="s">
        <v>34</v>
      </c>
      <c r="W66" s="19" t="s">
        <v>35</v>
      </c>
      <c r="X66" s="19" t="s">
        <v>36</v>
      </c>
      <c r="Y66" s="19" t="s">
        <v>37</v>
      </c>
      <c r="Z66" s="19" t="s">
        <v>38</v>
      </c>
      <c r="AA66" s="19" t="s">
        <v>39</v>
      </c>
      <c r="AB66" s="19" t="s">
        <v>40</v>
      </c>
      <c r="AC66" s="19" t="s">
        <v>41</v>
      </c>
      <c r="AD66" s="19" t="s">
        <v>42</v>
      </c>
      <c r="AE66" s="19" t="s">
        <v>43</v>
      </c>
      <c r="AF66" s="19" t="s">
        <v>44</v>
      </c>
      <c r="AG66" s="19" t="s">
        <v>45</v>
      </c>
      <c r="AH66" s="19" t="s">
        <v>46</v>
      </c>
      <c r="AI66" s="19"/>
      <c r="AJ66" s="19"/>
    </row>
    <row r="67" ht="30.0" customHeight="1">
      <c r="B67" s="40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23"/>
      <c r="AI67" s="23"/>
      <c r="AJ67" s="23"/>
    </row>
    <row r="68" ht="30.0" customHeight="1">
      <c r="B68" s="40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23"/>
      <c r="AI68" s="23"/>
      <c r="AJ68" s="23"/>
    </row>
    <row r="69" ht="30.0" customHeight="1">
      <c r="B69" s="40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23"/>
      <c r="AI69" s="23"/>
      <c r="AJ69" s="23"/>
    </row>
    <row r="70" ht="30.0" customHeight="1">
      <c r="B70" s="40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23"/>
      <c r="AI70" s="23"/>
      <c r="AJ70" s="23"/>
    </row>
    <row r="71" ht="30.0" customHeight="1">
      <c r="B71" s="32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23"/>
      <c r="AI71" s="23"/>
      <c r="AJ71" s="23"/>
    </row>
    <row r="72" ht="30.0" customHeight="1">
      <c r="B72" s="40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23"/>
      <c r="AI72" s="23"/>
      <c r="AJ72" s="23"/>
    </row>
    <row r="73" ht="30.0" customHeight="1">
      <c r="B73" s="32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23"/>
      <c r="AI73" s="23"/>
      <c r="AJ73" s="23"/>
    </row>
    <row r="74" ht="30.0" customHeight="1">
      <c r="B74" s="32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23"/>
      <c r="AI74" s="23"/>
      <c r="AJ74" s="23"/>
    </row>
    <row r="75" ht="30.0" customHeight="1">
      <c r="B75" s="32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23"/>
      <c r="AI75" s="23"/>
      <c r="AJ75" s="23"/>
    </row>
    <row r="76" ht="30.0" customHeight="1">
      <c r="B76" s="32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23"/>
      <c r="AI76" s="23"/>
      <c r="AJ76" s="23"/>
    </row>
    <row r="77" ht="30.0" customHeight="1">
      <c r="B77" s="32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23"/>
      <c r="AI77" s="23"/>
      <c r="AJ77" s="23"/>
    </row>
    <row r="78" ht="30.0" customHeight="1">
      <c r="B78" s="32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23"/>
      <c r="AI78" s="23"/>
      <c r="AJ78" s="23"/>
    </row>
    <row r="79" ht="30.0" customHeight="1">
      <c r="B79" s="32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23"/>
      <c r="AI79" s="23"/>
      <c r="AJ79" s="23"/>
    </row>
    <row r="80" ht="30.0" customHeight="1">
      <c r="B80" s="32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23"/>
      <c r="AI80" s="23"/>
      <c r="AJ80" s="23"/>
    </row>
    <row r="81" ht="30.0" customHeight="1">
      <c r="B81" s="32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23"/>
      <c r="AI81" s="23"/>
      <c r="AJ81" s="23"/>
    </row>
    <row r="82" ht="30.0" customHeight="1">
      <c r="B82" s="32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23"/>
      <c r="AI82" s="23"/>
      <c r="AJ82" s="23"/>
    </row>
    <row r="83" ht="30.0" customHeight="1">
      <c r="B83" s="40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23"/>
      <c r="AI83" s="23"/>
      <c r="AJ83" s="23"/>
    </row>
    <row r="84" ht="30.0" customHeight="1">
      <c r="B84" s="40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23"/>
      <c r="AI84" s="23"/>
      <c r="AJ84" s="23"/>
    </row>
    <row r="85" ht="30.0" customHeight="1">
      <c r="B85" s="32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23"/>
      <c r="AI85" s="23"/>
      <c r="AJ85" s="23"/>
    </row>
    <row r="86" ht="30.0" customHeight="1">
      <c r="B86" s="32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23"/>
      <c r="AI86" s="23"/>
      <c r="AJ86" s="23"/>
    </row>
    <row r="87" ht="30.0" customHeight="1">
      <c r="B87" s="32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23"/>
      <c r="AI87" s="23"/>
      <c r="AJ87" s="23"/>
    </row>
    <row r="88" ht="30.0" customHeight="1">
      <c r="B88" s="32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23"/>
      <c r="AI88" s="23"/>
      <c r="AJ88" s="23"/>
    </row>
    <row r="89" ht="30.0" customHeight="1">
      <c r="B89" s="32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23"/>
      <c r="AI89" s="23"/>
      <c r="AJ89" s="23"/>
    </row>
    <row r="90" ht="30.0" customHeight="1">
      <c r="B90" s="32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23"/>
      <c r="AI90" s="23"/>
      <c r="AJ90" s="23"/>
    </row>
    <row r="91" ht="30.0" customHeight="1">
      <c r="B91" s="32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23"/>
      <c r="AI91" s="23"/>
      <c r="AJ91" s="23"/>
    </row>
    <row r="92" ht="30.0" customHeight="1">
      <c r="B92" s="32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23"/>
      <c r="AI92" s="23"/>
      <c r="AJ92" s="23"/>
    </row>
    <row r="93" ht="30.0" customHeight="1">
      <c r="B93" s="32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23"/>
      <c r="AI93" s="23"/>
      <c r="AJ93" s="23"/>
    </row>
    <row r="94" ht="30.0" customHeight="1">
      <c r="B94" s="20"/>
      <c r="C94" s="21"/>
      <c r="D94" s="21"/>
      <c r="E94" s="21"/>
      <c r="F94" s="21"/>
      <c r="G94" s="21"/>
      <c r="H94" s="21"/>
      <c r="I94" s="43"/>
      <c r="J94" s="43"/>
      <c r="K94" s="43"/>
      <c r="L94" s="43"/>
      <c r="M94" s="43"/>
      <c r="N94" s="21"/>
      <c r="O94" s="43"/>
      <c r="P94" s="43"/>
      <c r="Q94" s="43"/>
      <c r="R94" s="21"/>
      <c r="S94" s="43"/>
      <c r="T94" s="21"/>
      <c r="U94" s="21"/>
      <c r="V94" s="21"/>
      <c r="W94" s="21"/>
      <c r="X94" s="43"/>
      <c r="Y94" s="21"/>
      <c r="Z94" s="43"/>
      <c r="AA94" s="21"/>
      <c r="AB94" s="21"/>
      <c r="AC94" s="21"/>
      <c r="AD94" s="21"/>
      <c r="AE94" s="33"/>
      <c r="AF94" s="21"/>
      <c r="AG94" s="21"/>
      <c r="AH94" s="23"/>
      <c r="AI94" s="23"/>
      <c r="AJ94" s="23"/>
    </row>
    <row r="95" ht="30.0" customHeight="1">
      <c r="B95" s="48" t="str">
        <f>Agosto!MonthName&amp;" Total"</f>
        <v>Enero Total</v>
      </c>
      <c r="C95" s="25">
        <f>SUBTOTAL(103,Agosto!$C$7)</f>
        <v>0</v>
      </c>
      <c r="D95" s="25">
        <f>SUBTOTAL(103,Agosto!$D$7)</f>
        <v>0</v>
      </c>
      <c r="E95" s="25">
        <f>SUBTOTAL(103,Agosto!$E$7)</f>
        <v>0</v>
      </c>
      <c r="F95" s="25"/>
      <c r="G95" s="25">
        <f>SUBTOTAL(103,Agosto!$G$7)</f>
        <v>0</v>
      </c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</row>
    <row r="96" ht="30.0" customHeight="1">
      <c r="AH96" s="5"/>
      <c r="AI96" s="5"/>
      <c r="AJ96" s="5"/>
    </row>
    <row r="97" ht="30.0" customHeight="1">
      <c r="B97" s="30" t="s">
        <v>12</v>
      </c>
      <c r="C97" s="27" t="s">
        <v>118</v>
      </c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39">
        <v>2026.0</v>
      </c>
      <c r="AI97" s="15"/>
      <c r="AJ97" s="15"/>
    </row>
    <row r="98" ht="30.0" customHeight="1">
      <c r="B98" s="30"/>
      <c r="C98" s="16" t="str">
        <f>TEXT(WEEKDAY(DATE(Agosto!CalendarioAño,1,1),1),"ddd")</f>
        <v>jue</v>
      </c>
      <c r="D98" s="16" t="str">
        <f>TEXT(WEEKDAY(DATE(Agosto!CalendarioAño,1,2),1),"ddd")</f>
        <v>vie</v>
      </c>
      <c r="E98" s="16" t="str">
        <f>TEXT(WEEKDAY(DATE(Agosto!CalendarioAño,1,3),1),"ddd")</f>
        <v>sáb</v>
      </c>
      <c r="F98" s="16" t="str">
        <f>TEXT(WEEKDAY(DATE(Agosto!CalendarioAño,1,4),1),"ddd")</f>
        <v>dom</v>
      </c>
      <c r="G98" s="16" t="str">
        <f>TEXT(WEEKDAY(DATE(Agosto!CalendarioAño,1,5),1),"ddd")</f>
        <v>lun</v>
      </c>
      <c r="H98" s="16" t="str">
        <f>TEXT(WEEKDAY(DATE(Agosto!CalendarioAño,1,6),1),"ddd")</f>
        <v>mar</v>
      </c>
      <c r="I98" s="16" t="str">
        <f>TEXT(WEEKDAY(DATE(Agosto!CalendarioAño,1,7),1),"ddd")</f>
        <v>mié</v>
      </c>
      <c r="J98" s="16" t="str">
        <f>TEXT(WEEKDAY(DATE(Agosto!CalendarioAño,1,8),1),"ddd")</f>
        <v>jue</v>
      </c>
      <c r="K98" s="16" t="str">
        <f>TEXT(WEEKDAY(DATE(Agosto!CalendarioAño,1,9),1),"ddd")</f>
        <v>vie</v>
      </c>
      <c r="L98" s="16" t="str">
        <f>TEXT(WEEKDAY(DATE(Agosto!CalendarioAño,1,10),1),"ddd")</f>
        <v>sáb</v>
      </c>
      <c r="M98" s="16" t="str">
        <f>TEXT(WEEKDAY(DATE(Agosto!CalendarioAño,1,11),1),"ddd")</f>
        <v>dom</v>
      </c>
      <c r="N98" s="16" t="str">
        <f>TEXT(WEEKDAY(DATE(Agosto!CalendarioAño,1,12),1),"ddd")</f>
        <v>lun</v>
      </c>
      <c r="O98" s="16" t="str">
        <f>TEXT(WEEKDAY(DATE(Agosto!CalendarioAño,1,13),1),"ddd")</f>
        <v>mar</v>
      </c>
      <c r="P98" s="16" t="str">
        <f>TEXT(WEEKDAY(DATE(Agosto!CalendarioAño,1,14),1),"ddd")</f>
        <v>mié</v>
      </c>
      <c r="Q98" s="16" t="str">
        <f>TEXT(WEEKDAY(DATE(Agosto!CalendarioAño,1,15),1),"ddd")</f>
        <v>jue</v>
      </c>
      <c r="R98" s="16" t="str">
        <f>TEXT(WEEKDAY(DATE(Agosto!CalendarioAño,1,16),1),"ddd")</f>
        <v>vie</v>
      </c>
      <c r="S98" s="16" t="str">
        <f>TEXT(WEEKDAY(DATE(Agosto!CalendarioAño,1,17),1),"ddd")</f>
        <v>sáb</v>
      </c>
      <c r="T98" s="16" t="str">
        <f>TEXT(WEEKDAY(DATE(Agosto!CalendarioAño,1,18),1),"ddd")</f>
        <v>dom</v>
      </c>
      <c r="U98" s="16" t="str">
        <f>TEXT(WEEKDAY(DATE(Agosto!CalendarioAño,1,19),1),"ddd")</f>
        <v>lun</v>
      </c>
      <c r="V98" s="16" t="str">
        <f>TEXT(WEEKDAY(DATE(Agosto!CalendarioAño,1,20),1),"ddd")</f>
        <v>mar</v>
      </c>
      <c r="W98" s="16" t="str">
        <f>TEXT(WEEKDAY(DATE(Agosto!CalendarioAño,1,21),1),"ddd")</f>
        <v>mié</v>
      </c>
      <c r="X98" s="16" t="str">
        <f>TEXT(WEEKDAY(DATE(Agosto!CalendarioAño,1,22),1),"ddd")</f>
        <v>jue</v>
      </c>
      <c r="Y98" s="16" t="str">
        <f>TEXT(WEEKDAY(DATE(Agosto!CalendarioAño,1,23),1),"ddd")</f>
        <v>vie</v>
      </c>
      <c r="Z98" s="16" t="str">
        <f>TEXT(WEEKDAY(DATE(Agosto!CalendarioAño,1,24),1),"ddd")</f>
        <v>sáb</v>
      </c>
      <c r="AA98" s="16" t="str">
        <f>TEXT(WEEKDAY(DATE(Agosto!CalendarioAño,1,25),1),"ddd")</f>
        <v>dom</v>
      </c>
      <c r="AB98" s="16" t="str">
        <f>TEXT(WEEKDAY(DATE(Agosto!CalendarioAño,1,26),1),"ddd")</f>
        <v>lun</v>
      </c>
      <c r="AC98" s="16" t="str">
        <f>TEXT(WEEKDAY(DATE(Agosto!CalendarioAño,1,27),1),"ddd")</f>
        <v>mar</v>
      </c>
      <c r="AD98" s="16" t="str">
        <f>TEXT(WEEKDAY(DATE(Agosto!CalendarioAño,1,28),1),"ddd")</f>
        <v>mié</v>
      </c>
      <c r="AE98" s="16" t="str">
        <f>TEXT(WEEKDAY(DATE(Agosto!CalendarioAño,1,29),1),"ddd")</f>
        <v>jue</v>
      </c>
      <c r="AF98" s="16" t="str">
        <f>TEXT(WEEKDAY(DATE(Agosto!CalendarioAño,1,30),1),"ddd")</f>
        <v>vie</v>
      </c>
      <c r="AG98" s="16" t="str">
        <f>TEXT(WEEKDAY(DATE(Agosto!CalendarioAño,1,31),1),"ddd")</f>
        <v>sáb</v>
      </c>
      <c r="AH98" s="30"/>
      <c r="AI98" s="14"/>
      <c r="AJ98" s="14"/>
    </row>
    <row r="99" ht="30.0" customHeight="1">
      <c r="A99" s="17"/>
      <c r="B99" s="31" t="s">
        <v>14</v>
      </c>
      <c r="C99" s="19" t="s">
        <v>15</v>
      </c>
      <c r="D99" s="19" t="s">
        <v>16</v>
      </c>
      <c r="E99" s="19" t="s">
        <v>17</v>
      </c>
      <c r="F99" s="19" t="s">
        <v>18</v>
      </c>
      <c r="G99" s="19" t="s">
        <v>19</v>
      </c>
      <c r="H99" s="19" t="s">
        <v>20</v>
      </c>
      <c r="I99" s="19" t="s">
        <v>21</v>
      </c>
      <c r="J99" s="19" t="s">
        <v>22</v>
      </c>
      <c r="K99" s="19" t="s">
        <v>23</v>
      </c>
      <c r="L99" s="19" t="s">
        <v>24</v>
      </c>
      <c r="M99" s="19" t="s">
        <v>25</v>
      </c>
      <c r="N99" s="19" t="s">
        <v>26</v>
      </c>
      <c r="O99" s="19" t="s">
        <v>27</v>
      </c>
      <c r="P99" s="19" t="s">
        <v>28</v>
      </c>
      <c r="Q99" s="19" t="s">
        <v>29</v>
      </c>
      <c r="R99" s="19" t="s">
        <v>30</v>
      </c>
      <c r="S99" s="19" t="s">
        <v>31</v>
      </c>
      <c r="T99" s="19" t="s">
        <v>32</v>
      </c>
      <c r="U99" s="19" t="s">
        <v>33</v>
      </c>
      <c r="V99" s="19" t="s">
        <v>34</v>
      </c>
      <c r="W99" s="19" t="s">
        <v>35</v>
      </c>
      <c r="X99" s="19" t="s">
        <v>36</v>
      </c>
      <c r="Y99" s="19" t="s">
        <v>37</v>
      </c>
      <c r="Z99" s="19" t="s">
        <v>38</v>
      </c>
      <c r="AA99" s="19" t="s">
        <v>39</v>
      </c>
      <c r="AB99" s="19" t="s">
        <v>40</v>
      </c>
      <c r="AC99" s="19" t="s">
        <v>41</v>
      </c>
      <c r="AD99" s="19" t="s">
        <v>42</v>
      </c>
      <c r="AE99" s="19" t="s">
        <v>43</v>
      </c>
      <c r="AF99" s="19" t="s">
        <v>44</v>
      </c>
      <c r="AG99" s="19" t="s">
        <v>45</v>
      </c>
      <c r="AH99" s="19" t="s">
        <v>46</v>
      </c>
      <c r="AI99" s="19"/>
      <c r="AJ99" s="19"/>
    </row>
    <row r="100" ht="30.0" customHeight="1">
      <c r="B100" s="32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23"/>
      <c r="AI100" s="23"/>
      <c r="AJ100" s="23"/>
    </row>
    <row r="101" ht="30.0" customHeight="1">
      <c r="B101" s="32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23"/>
      <c r="AI101" s="23"/>
      <c r="AJ101" s="23"/>
    </row>
    <row r="102" ht="30.0" customHeight="1">
      <c r="B102" s="32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23"/>
      <c r="AI102" s="23"/>
      <c r="AJ102" s="23"/>
    </row>
    <row r="103" ht="30.0" customHeight="1">
      <c r="B103" s="32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23"/>
      <c r="AI103" s="23"/>
      <c r="AJ103" s="23"/>
    </row>
    <row r="104" ht="30.0" customHeight="1">
      <c r="B104" s="32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23"/>
      <c r="AI104" s="23"/>
      <c r="AJ104" s="23"/>
    </row>
    <row r="105" ht="30.0" customHeight="1">
      <c r="B105" s="32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23"/>
      <c r="AI105" s="23"/>
      <c r="AJ105" s="23"/>
    </row>
    <row r="106" ht="30.0" customHeight="1">
      <c r="B106" s="32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23"/>
      <c r="AI106" s="23"/>
      <c r="AJ106" s="23"/>
    </row>
    <row r="107" ht="30.0" customHeight="1">
      <c r="B107" s="32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23"/>
      <c r="AI107" s="23"/>
      <c r="AJ107" s="23"/>
    </row>
    <row r="108" ht="30.0" customHeight="1">
      <c r="B108" s="32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23"/>
      <c r="AI108" s="23"/>
      <c r="AJ108" s="23"/>
    </row>
    <row r="109" ht="30.0" customHeight="1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23"/>
      <c r="AI109" s="23"/>
      <c r="AJ109" s="23"/>
    </row>
    <row r="110" ht="30.0" customHeight="1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23"/>
      <c r="AI110" s="23"/>
      <c r="AJ110" s="23"/>
    </row>
    <row r="111" ht="30.0" customHeight="1">
      <c r="A111" s="50"/>
      <c r="B111" s="5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23"/>
      <c r="AI111" s="23"/>
      <c r="AJ111" s="23"/>
    </row>
    <row r="112" ht="30.0" customHeight="1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23"/>
      <c r="AI112" s="23"/>
      <c r="AJ112" s="23"/>
    </row>
    <row r="113" ht="30.0" customHeight="1">
      <c r="A113" s="50"/>
      <c r="B113" s="5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23"/>
      <c r="AI113" s="23"/>
      <c r="AJ113" s="23"/>
    </row>
    <row r="114" ht="30.0" customHeight="1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23"/>
      <c r="AI114" s="23"/>
      <c r="AJ114" s="23"/>
    </row>
    <row r="115" ht="30.0" customHeight="1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23"/>
      <c r="AI115" s="23"/>
      <c r="AJ115" s="23"/>
    </row>
    <row r="116" ht="30.0" customHeight="1">
      <c r="A116" s="50"/>
      <c r="B116" s="5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23"/>
      <c r="AI116" s="23"/>
      <c r="AJ116" s="23"/>
    </row>
    <row r="117" ht="30.0" customHeight="1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23"/>
      <c r="AI117" s="23"/>
      <c r="AJ117" s="23"/>
    </row>
    <row r="118" ht="30.0" customHeight="1">
      <c r="A118" s="50"/>
      <c r="B118" s="5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23"/>
      <c r="AI118" s="23"/>
      <c r="AJ118" s="23"/>
    </row>
    <row r="119" ht="30.0" customHeight="1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23"/>
      <c r="AI119" s="23"/>
      <c r="AJ119" s="23"/>
    </row>
    <row r="120" ht="30.0" customHeight="1">
      <c r="A120" s="50"/>
      <c r="B120" s="71"/>
      <c r="C120" s="36"/>
      <c r="D120" s="36"/>
      <c r="E120" s="36"/>
      <c r="F120" s="36"/>
      <c r="G120" s="36"/>
      <c r="H120" s="36"/>
      <c r="I120" s="36"/>
      <c r="J120" s="36"/>
      <c r="K120" s="52"/>
      <c r="L120" s="43"/>
      <c r="M120" s="43"/>
      <c r="N120" s="36"/>
      <c r="O120" s="43"/>
      <c r="P120" s="43"/>
      <c r="Q120" s="36"/>
      <c r="R120" s="36"/>
      <c r="S120" s="36"/>
      <c r="T120" s="43"/>
      <c r="U120" s="36"/>
      <c r="V120" s="36"/>
      <c r="W120" s="36"/>
      <c r="X120" s="36"/>
      <c r="Y120" s="36"/>
      <c r="Z120" s="36"/>
      <c r="AA120" s="43"/>
      <c r="AB120" s="36"/>
      <c r="AC120" s="36"/>
      <c r="AD120" s="36"/>
      <c r="AE120" s="36"/>
      <c r="AF120" s="33"/>
      <c r="AG120" s="36"/>
      <c r="AH120" s="23"/>
      <c r="AI120" s="23"/>
      <c r="AJ120" s="23"/>
    </row>
    <row r="121" ht="30.0" customHeight="1">
      <c r="B121" s="48" t="str">
        <f>Agosto!MonthName&amp;" Total"</f>
        <v>Enero Total</v>
      </c>
      <c r="C121" s="25">
        <f>SUBTOTAL(103,Agosto!$C$7)</f>
        <v>0</v>
      </c>
      <c r="D121" s="25">
        <f>SUBTOTAL(103,Agosto!$D$7)</f>
        <v>0</v>
      </c>
      <c r="E121" s="25">
        <f>SUBTOTAL(103,Agosto!$E$7)</f>
        <v>0</v>
      </c>
      <c r="F121" s="25"/>
      <c r="G121" s="25"/>
      <c r="H121" s="25">
        <f>SUBTOTAL(103,Agosto!$H$7)</f>
        <v>0</v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</row>
    <row r="122" ht="30.0" customHeight="1">
      <c r="AH122" s="5"/>
      <c r="AI122" s="5"/>
      <c r="AJ122" s="5"/>
    </row>
    <row r="123" ht="30.0" customHeight="1">
      <c r="B123" s="30" t="s">
        <v>12</v>
      </c>
      <c r="C123" s="27" t="s">
        <v>140</v>
      </c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39">
        <v>2026.0</v>
      </c>
      <c r="AI123" s="15"/>
      <c r="AJ123" s="15"/>
    </row>
    <row r="124" ht="30.0" customHeight="1">
      <c r="B124" s="30"/>
      <c r="C124" s="16" t="str">
        <f>TEXT(WEEKDAY(DATE(Agosto!CalendarioAño,1,1),1),"ddd")</f>
        <v>jue</v>
      </c>
      <c r="D124" s="16" t="str">
        <f>TEXT(WEEKDAY(DATE(Agosto!CalendarioAño,1,2),1),"ddd")</f>
        <v>vie</v>
      </c>
      <c r="E124" s="16" t="str">
        <f>TEXT(WEEKDAY(DATE(Agosto!CalendarioAño,1,3),1),"ddd")</f>
        <v>sáb</v>
      </c>
      <c r="F124" s="16" t="str">
        <f>TEXT(WEEKDAY(DATE(Agosto!CalendarioAño,1,4),1),"ddd")</f>
        <v>dom</v>
      </c>
      <c r="G124" s="16" t="str">
        <f>TEXT(WEEKDAY(DATE(Agosto!CalendarioAño,1,5),1),"ddd")</f>
        <v>lun</v>
      </c>
      <c r="H124" s="16" t="str">
        <f>TEXT(WEEKDAY(DATE(Agosto!CalendarioAño,1,6),1),"ddd")</f>
        <v>mar</v>
      </c>
      <c r="I124" s="16" t="str">
        <f>TEXT(WEEKDAY(DATE(Agosto!CalendarioAño,1,7),1),"ddd")</f>
        <v>mié</v>
      </c>
      <c r="J124" s="16" t="str">
        <f>TEXT(WEEKDAY(DATE(Agosto!CalendarioAño,1,8),1),"ddd")</f>
        <v>jue</v>
      </c>
      <c r="K124" s="16" t="str">
        <f>TEXT(WEEKDAY(DATE(Agosto!CalendarioAño,1,9),1),"ddd")</f>
        <v>vie</v>
      </c>
      <c r="L124" s="16" t="str">
        <f>TEXT(WEEKDAY(DATE(Agosto!CalendarioAño,1,10),1),"ddd")</f>
        <v>sáb</v>
      </c>
      <c r="M124" s="16" t="str">
        <f>TEXT(WEEKDAY(DATE(Agosto!CalendarioAño,1,11),1),"ddd")</f>
        <v>dom</v>
      </c>
      <c r="N124" s="16" t="str">
        <f>TEXT(WEEKDAY(DATE(Agosto!CalendarioAño,1,12),1),"ddd")</f>
        <v>lun</v>
      </c>
      <c r="O124" s="16" t="str">
        <f>TEXT(WEEKDAY(DATE(Agosto!CalendarioAño,1,13),1),"ddd")</f>
        <v>mar</v>
      </c>
      <c r="P124" s="16" t="str">
        <f>TEXT(WEEKDAY(DATE(Agosto!CalendarioAño,1,14),1),"ddd")</f>
        <v>mié</v>
      </c>
      <c r="Q124" s="16" t="str">
        <f>TEXT(WEEKDAY(DATE(Agosto!CalendarioAño,1,15),1),"ddd")</f>
        <v>jue</v>
      </c>
      <c r="R124" s="16" t="str">
        <f>TEXT(WEEKDAY(DATE(Agosto!CalendarioAño,1,16),1),"ddd")</f>
        <v>vie</v>
      </c>
      <c r="S124" s="16" t="str">
        <f>TEXT(WEEKDAY(DATE(Agosto!CalendarioAño,1,17),1),"ddd")</f>
        <v>sáb</v>
      </c>
      <c r="T124" s="16" t="str">
        <f>TEXT(WEEKDAY(DATE(Agosto!CalendarioAño,1,18),1),"ddd")</f>
        <v>dom</v>
      </c>
      <c r="U124" s="16" t="str">
        <f>TEXT(WEEKDAY(DATE(Agosto!CalendarioAño,1,19),1),"ddd")</f>
        <v>lun</v>
      </c>
      <c r="V124" s="16" t="str">
        <f>TEXT(WEEKDAY(DATE(Agosto!CalendarioAño,1,20),1),"ddd")</f>
        <v>mar</v>
      </c>
      <c r="W124" s="16" t="str">
        <f>TEXT(WEEKDAY(DATE(Agosto!CalendarioAño,1,21),1),"ddd")</f>
        <v>mié</v>
      </c>
      <c r="X124" s="16" t="str">
        <f>TEXT(WEEKDAY(DATE(Agosto!CalendarioAño,1,22),1),"ddd")</f>
        <v>jue</v>
      </c>
      <c r="Y124" s="16" t="str">
        <f>TEXT(WEEKDAY(DATE(Agosto!CalendarioAño,1,23),1),"ddd")</f>
        <v>vie</v>
      </c>
      <c r="Z124" s="16" t="str">
        <f>TEXT(WEEKDAY(DATE(Agosto!CalendarioAño,1,24),1),"ddd")</f>
        <v>sáb</v>
      </c>
      <c r="AA124" s="16" t="str">
        <f>TEXT(WEEKDAY(DATE(Agosto!CalendarioAño,1,25),1),"ddd")</f>
        <v>dom</v>
      </c>
      <c r="AB124" s="16" t="str">
        <f>TEXT(WEEKDAY(DATE(Agosto!CalendarioAño,1,26),1),"ddd")</f>
        <v>lun</v>
      </c>
      <c r="AC124" s="16" t="str">
        <f>TEXT(WEEKDAY(DATE(Agosto!CalendarioAño,1,27),1),"ddd")</f>
        <v>mar</v>
      </c>
      <c r="AD124" s="16" t="str">
        <f>TEXT(WEEKDAY(DATE(Agosto!CalendarioAño,1,28),1),"ddd")</f>
        <v>mié</v>
      </c>
      <c r="AE124" s="16" t="str">
        <f>TEXT(WEEKDAY(DATE(Agosto!CalendarioAño,1,29),1),"ddd")</f>
        <v>jue</v>
      </c>
      <c r="AF124" s="16" t="str">
        <f>TEXT(WEEKDAY(DATE(Agosto!CalendarioAño,1,30),1),"ddd")</f>
        <v>vie</v>
      </c>
      <c r="AG124" s="16" t="str">
        <f>TEXT(WEEKDAY(DATE(Agosto!CalendarioAño,1,31),1),"ddd")</f>
        <v>sáb</v>
      </c>
      <c r="AH124" s="30"/>
      <c r="AI124" s="14"/>
      <c r="AJ124" s="14"/>
    </row>
    <row r="125" ht="30.0" customHeight="1">
      <c r="A125" s="17"/>
      <c r="B125" s="31" t="s">
        <v>14</v>
      </c>
      <c r="C125" s="19" t="s">
        <v>15</v>
      </c>
      <c r="D125" s="19" t="s">
        <v>16</v>
      </c>
      <c r="E125" s="19" t="s">
        <v>17</v>
      </c>
      <c r="F125" s="19" t="s">
        <v>18</v>
      </c>
      <c r="G125" s="19" t="s">
        <v>19</v>
      </c>
      <c r="H125" s="19" t="s">
        <v>20</v>
      </c>
      <c r="I125" s="19" t="s">
        <v>21</v>
      </c>
      <c r="J125" s="19" t="s">
        <v>22</v>
      </c>
      <c r="K125" s="19" t="s">
        <v>23</v>
      </c>
      <c r="L125" s="19" t="s">
        <v>24</v>
      </c>
      <c r="M125" s="19" t="s">
        <v>25</v>
      </c>
      <c r="N125" s="19" t="s">
        <v>26</v>
      </c>
      <c r="O125" s="19" t="s">
        <v>27</v>
      </c>
      <c r="P125" s="19" t="s">
        <v>28</v>
      </c>
      <c r="Q125" s="19" t="s">
        <v>29</v>
      </c>
      <c r="R125" s="19" t="s">
        <v>30</v>
      </c>
      <c r="S125" s="19" t="s">
        <v>31</v>
      </c>
      <c r="T125" s="19" t="s">
        <v>32</v>
      </c>
      <c r="U125" s="19" t="s">
        <v>33</v>
      </c>
      <c r="V125" s="19" t="s">
        <v>34</v>
      </c>
      <c r="W125" s="19" t="s">
        <v>35</v>
      </c>
      <c r="X125" s="19" t="s">
        <v>36</v>
      </c>
      <c r="Y125" s="19" t="s">
        <v>37</v>
      </c>
      <c r="Z125" s="19" t="s">
        <v>38</v>
      </c>
      <c r="AA125" s="19" t="s">
        <v>39</v>
      </c>
      <c r="AB125" s="19" t="s">
        <v>40</v>
      </c>
      <c r="AC125" s="19" t="s">
        <v>41</v>
      </c>
      <c r="AD125" s="19" t="s">
        <v>42</v>
      </c>
      <c r="AE125" s="19" t="s">
        <v>43</v>
      </c>
      <c r="AF125" s="19" t="s">
        <v>44</v>
      </c>
      <c r="AG125" s="19" t="s">
        <v>45</v>
      </c>
      <c r="AH125" s="19" t="s">
        <v>46</v>
      </c>
      <c r="AI125" s="19"/>
      <c r="AJ125" s="19"/>
    </row>
    <row r="126" ht="30.0" customHeight="1">
      <c r="B126" s="40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23"/>
      <c r="AI126" s="23"/>
      <c r="AJ126" s="23"/>
    </row>
    <row r="127" ht="30.0" customHeight="1">
      <c r="B127" s="32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23"/>
      <c r="AI127" s="23"/>
      <c r="AJ127" s="23"/>
    </row>
    <row r="128" ht="30.0" customHeight="1">
      <c r="B128" s="32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23"/>
      <c r="AI128" s="23"/>
      <c r="AJ128" s="23"/>
    </row>
    <row r="129" ht="30.0" customHeight="1">
      <c r="B129" s="32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23"/>
      <c r="AI129" s="23"/>
      <c r="AJ129" s="23"/>
    </row>
    <row r="130" ht="30.0" customHeight="1">
      <c r="B130" s="32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23"/>
      <c r="AI130" s="23"/>
      <c r="AJ130" s="23"/>
    </row>
    <row r="131" ht="30.0" customHeight="1">
      <c r="B131" s="40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23"/>
      <c r="AI131" s="23"/>
      <c r="AJ131" s="23"/>
    </row>
    <row r="132" ht="30.0" customHeight="1">
      <c r="B132" s="32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23"/>
      <c r="AI132" s="23"/>
      <c r="AJ132" s="23"/>
    </row>
    <row r="133" ht="30.0" customHeight="1">
      <c r="B133" s="32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23"/>
      <c r="AI133" s="23"/>
      <c r="AJ133" s="23"/>
    </row>
    <row r="134" ht="30.0" customHeight="1">
      <c r="B134" s="32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23"/>
      <c r="AI134" s="23"/>
      <c r="AJ134" s="23"/>
    </row>
    <row r="135" ht="30.0" customHeight="1">
      <c r="B135" s="32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23"/>
      <c r="AI135" s="23"/>
      <c r="AJ135" s="23"/>
    </row>
    <row r="136" ht="30.0" customHeight="1">
      <c r="B136" s="32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23"/>
      <c r="AI136" s="23"/>
      <c r="AJ136" s="23"/>
    </row>
    <row r="137" ht="30.0" customHeight="1">
      <c r="B137" s="32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23"/>
      <c r="AI137" s="23"/>
      <c r="AJ137" s="23"/>
    </row>
    <row r="138" ht="30.0" customHeight="1">
      <c r="B138" s="32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23"/>
      <c r="AI138" s="23"/>
      <c r="AJ138" s="23"/>
    </row>
    <row r="139" ht="30.0" customHeight="1">
      <c r="B139" s="32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23"/>
      <c r="AI139" s="23"/>
      <c r="AJ139" s="23"/>
    </row>
    <row r="140" ht="30.0" customHeight="1">
      <c r="B140" s="32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23"/>
      <c r="AI140" s="23"/>
      <c r="AJ140" s="23"/>
    </row>
    <row r="141" ht="30.0" customHeight="1">
      <c r="B141" s="32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23"/>
      <c r="AI141" s="23"/>
      <c r="AJ141" s="23"/>
    </row>
    <row r="142" ht="30.0" customHeight="1">
      <c r="B142" s="32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25"/>
      <c r="AI142" s="25"/>
      <c r="AJ142" s="25"/>
    </row>
    <row r="143" ht="30.0" customHeight="1">
      <c r="B143" s="32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25"/>
      <c r="AI143" s="25"/>
      <c r="AJ143" s="25"/>
    </row>
    <row r="144" ht="30.0" customHeight="1">
      <c r="B144" s="32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25"/>
      <c r="AI144" s="25"/>
      <c r="AJ144" s="25"/>
    </row>
    <row r="145" ht="30.0" customHeight="1">
      <c r="B145" s="48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25"/>
      <c r="AI145" s="25"/>
      <c r="AJ145" s="25"/>
    </row>
    <row r="146" ht="30.0" customHeight="1">
      <c r="B146" s="48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</row>
    <row r="147" ht="30.0" customHeight="1">
      <c r="B147" s="48" t="str">
        <f>Agosto!MonthName&amp;" Total"</f>
        <v>Enero Total</v>
      </c>
      <c r="C147" s="25">
        <f>SUBTOTAL(103,Agosto!$C$7)</f>
        <v>0</v>
      </c>
      <c r="D147" s="25">
        <f>SUBTOTAL(103,Agosto!$D$7)</f>
        <v>0</v>
      </c>
      <c r="E147" s="25">
        <f>SUBTOTAL(103,Agosto!$E$7)</f>
        <v>0</v>
      </c>
      <c r="F147" s="25"/>
      <c r="G147" s="25"/>
      <c r="H147" s="25">
        <f>SUBTOTAL(103,Agosto!$H$7)</f>
        <v>0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>
        <f>SUBTOTAL(103,Agosto!$AE$7)</f>
        <v>0</v>
      </c>
      <c r="AF147" s="25">
        <f>SUBTOTAL(103,Agosto!$AF$7)</f>
        <v>0</v>
      </c>
      <c r="AG147" s="25">
        <f>SUBTOTAL(103,Agosto!$AG$7)</f>
        <v>0</v>
      </c>
      <c r="AH147" s="25">
        <f>SUM(C147:AG147)</f>
        <v>0</v>
      </c>
      <c r="AI147" s="25"/>
      <c r="AJ147" s="25"/>
    </row>
    <row r="148" ht="30.0" customHeight="1">
      <c r="AH148" s="5"/>
      <c r="AI148" s="5"/>
      <c r="AJ148" s="5"/>
    </row>
    <row r="149" ht="30.0" customHeight="1">
      <c r="B149" s="30" t="s">
        <v>12</v>
      </c>
      <c r="C149" s="27" t="s">
        <v>160</v>
      </c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39">
        <v>2026.0</v>
      </c>
      <c r="AI149" s="15"/>
      <c r="AJ149" s="15"/>
    </row>
    <row r="150" ht="30.0" customHeight="1">
      <c r="B150" s="30"/>
      <c r="C150" s="16" t="str">
        <f>TEXT(WEEKDAY(DATE(Agosto!CalendarioAño,1,1),1),"ddd")</f>
        <v>jue</v>
      </c>
      <c r="D150" s="16" t="str">
        <f>TEXT(WEEKDAY(DATE(Agosto!CalendarioAño,1,2),1),"ddd")</f>
        <v>vie</v>
      </c>
      <c r="E150" s="16" t="str">
        <f>TEXT(WEEKDAY(DATE(Agosto!CalendarioAño,1,3),1),"ddd")</f>
        <v>sáb</v>
      </c>
      <c r="F150" s="16" t="str">
        <f>TEXT(WEEKDAY(DATE(Agosto!CalendarioAño,1,4),1),"ddd")</f>
        <v>dom</v>
      </c>
      <c r="G150" s="16" t="str">
        <f>TEXT(WEEKDAY(DATE(Agosto!CalendarioAño,1,5),1),"ddd")</f>
        <v>lun</v>
      </c>
      <c r="H150" s="16" t="str">
        <f>TEXT(WEEKDAY(DATE(Agosto!CalendarioAño,1,6),1),"ddd")</f>
        <v>mar</v>
      </c>
      <c r="I150" s="16" t="str">
        <f>TEXT(WEEKDAY(DATE(Agosto!CalendarioAño,1,7),1),"ddd")</f>
        <v>mié</v>
      </c>
      <c r="J150" s="16" t="str">
        <f>TEXT(WEEKDAY(DATE(Agosto!CalendarioAño,1,8),1),"ddd")</f>
        <v>jue</v>
      </c>
      <c r="K150" s="16" t="str">
        <f>TEXT(WEEKDAY(DATE(Agosto!CalendarioAño,1,9),1),"ddd")</f>
        <v>vie</v>
      </c>
      <c r="L150" s="16" t="str">
        <f>TEXT(WEEKDAY(DATE(Agosto!CalendarioAño,1,10),1),"ddd")</f>
        <v>sáb</v>
      </c>
      <c r="M150" s="16" t="str">
        <f>TEXT(WEEKDAY(DATE(Agosto!CalendarioAño,1,11),1),"ddd")</f>
        <v>dom</v>
      </c>
      <c r="N150" s="16" t="str">
        <f>TEXT(WEEKDAY(DATE(Agosto!CalendarioAño,1,12),1),"ddd")</f>
        <v>lun</v>
      </c>
      <c r="O150" s="16" t="str">
        <f>TEXT(WEEKDAY(DATE(Agosto!CalendarioAño,1,13),1),"ddd")</f>
        <v>mar</v>
      </c>
      <c r="P150" s="16" t="str">
        <f>TEXT(WEEKDAY(DATE(Agosto!CalendarioAño,1,14),1),"ddd")</f>
        <v>mié</v>
      </c>
      <c r="Q150" s="16" t="str">
        <f>TEXT(WEEKDAY(DATE(Agosto!CalendarioAño,1,15),1),"ddd")</f>
        <v>jue</v>
      </c>
      <c r="R150" s="16" t="str">
        <f>TEXT(WEEKDAY(DATE(Agosto!CalendarioAño,1,16),1),"ddd")</f>
        <v>vie</v>
      </c>
      <c r="S150" s="16" t="str">
        <f>TEXT(WEEKDAY(DATE(Agosto!CalendarioAño,1,17),1),"ddd")</f>
        <v>sáb</v>
      </c>
      <c r="T150" s="16" t="str">
        <f>TEXT(WEEKDAY(DATE(Agosto!CalendarioAño,1,18),1),"ddd")</f>
        <v>dom</v>
      </c>
      <c r="U150" s="16" t="str">
        <f>TEXT(WEEKDAY(DATE(Agosto!CalendarioAño,1,19),1),"ddd")</f>
        <v>lun</v>
      </c>
      <c r="V150" s="16" t="str">
        <f>TEXT(WEEKDAY(DATE(Agosto!CalendarioAño,1,20),1),"ddd")</f>
        <v>mar</v>
      </c>
      <c r="W150" s="16" t="str">
        <f>TEXT(WEEKDAY(DATE(Agosto!CalendarioAño,1,21),1),"ddd")</f>
        <v>mié</v>
      </c>
      <c r="X150" s="16" t="str">
        <f>TEXT(WEEKDAY(DATE(Agosto!CalendarioAño,1,22),1),"ddd")</f>
        <v>jue</v>
      </c>
      <c r="Y150" s="16" t="str">
        <f>TEXT(WEEKDAY(DATE(Agosto!CalendarioAño,1,23),1),"ddd")</f>
        <v>vie</v>
      </c>
      <c r="Z150" s="16" t="str">
        <f>TEXT(WEEKDAY(DATE(Agosto!CalendarioAño,1,24),1),"ddd")</f>
        <v>sáb</v>
      </c>
      <c r="AA150" s="16" t="str">
        <f>TEXT(WEEKDAY(DATE(Agosto!CalendarioAño,1,25),1),"ddd")</f>
        <v>dom</v>
      </c>
      <c r="AB150" s="16" t="str">
        <f>TEXT(WEEKDAY(DATE(Agosto!CalendarioAño,1,26),1),"ddd")</f>
        <v>lun</v>
      </c>
      <c r="AC150" s="16" t="str">
        <f>TEXT(WEEKDAY(DATE(Agosto!CalendarioAño,1,27),1),"ddd")</f>
        <v>mar</v>
      </c>
      <c r="AD150" s="16" t="str">
        <f>TEXT(WEEKDAY(DATE(Agosto!CalendarioAño,1,28),1),"ddd")</f>
        <v>mié</v>
      </c>
      <c r="AE150" s="16" t="str">
        <f>TEXT(WEEKDAY(DATE(Agosto!CalendarioAño,1,29),1),"ddd")</f>
        <v>jue</v>
      </c>
      <c r="AF150" s="16" t="str">
        <f>TEXT(WEEKDAY(DATE(Agosto!CalendarioAño,1,30),1),"ddd")</f>
        <v>vie</v>
      </c>
      <c r="AG150" s="16" t="str">
        <f>TEXT(WEEKDAY(DATE(Agosto!CalendarioAño,1,31),1),"ddd")</f>
        <v>sáb</v>
      </c>
      <c r="AH150" s="30"/>
      <c r="AI150" s="14"/>
      <c r="AJ150" s="14"/>
    </row>
    <row r="151" ht="30.0" customHeight="1">
      <c r="A151" s="17"/>
      <c r="B151" s="31" t="s">
        <v>14</v>
      </c>
      <c r="C151" s="19" t="s">
        <v>15</v>
      </c>
      <c r="D151" s="19" t="s">
        <v>16</v>
      </c>
      <c r="E151" s="19" t="s">
        <v>17</v>
      </c>
      <c r="F151" s="19" t="s">
        <v>18</v>
      </c>
      <c r="G151" s="19" t="s">
        <v>19</v>
      </c>
      <c r="H151" s="19" t="s">
        <v>20</v>
      </c>
      <c r="I151" s="19" t="s">
        <v>21</v>
      </c>
      <c r="J151" s="19" t="s">
        <v>22</v>
      </c>
      <c r="K151" s="19" t="s">
        <v>23</v>
      </c>
      <c r="L151" s="19" t="s">
        <v>24</v>
      </c>
      <c r="M151" s="19" t="s">
        <v>25</v>
      </c>
      <c r="N151" s="19" t="s">
        <v>26</v>
      </c>
      <c r="O151" s="19" t="s">
        <v>27</v>
      </c>
      <c r="P151" s="19" t="s">
        <v>28</v>
      </c>
      <c r="Q151" s="19" t="s">
        <v>29</v>
      </c>
      <c r="R151" s="19" t="s">
        <v>30</v>
      </c>
      <c r="S151" s="19" t="s">
        <v>31</v>
      </c>
      <c r="T151" s="19" t="s">
        <v>32</v>
      </c>
      <c r="U151" s="19" t="s">
        <v>33</v>
      </c>
      <c r="V151" s="19" t="s">
        <v>34</v>
      </c>
      <c r="W151" s="19" t="s">
        <v>35</v>
      </c>
      <c r="X151" s="19" t="s">
        <v>36</v>
      </c>
      <c r="Y151" s="19" t="s">
        <v>37</v>
      </c>
      <c r="Z151" s="19" t="s">
        <v>38</v>
      </c>
      <c r="AA151" s="19" t="s">
        <v>39</v>
      </c>
      <c r="AB151" s="19" t="s">
        <v>40</v>
      </c>
      <c r="AC151" s="19" t="s">
        <v>41</v>
      </c>
      <c r="AD151" s="19" t="s">
        <v>42</v>
      </c>
      <c r="AE151" s="19" t="s">
        <v>43</v>
      </c>
      <c r="AF151" s="19" t="s">
        <v>44</v>
      </c>
      <c r="AG151" s="19" t="s">
        <v>45</v>
      </c>
      <c r="AH151" s="19" t="s">
        <v>46</v>
      </c>
      <c r="AI151" s="19"/>
      <c r="AJ151" s="19"/>
    </row>
    <row r="152" ht="30.0" customHeight="1">
      <c r="B152" s="32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23"/>
      <c r="AI152" s="23"/>
      <c r="AJ152" s="23"/>
    </row>
    <row r="153" ht="30.0" customHeight="1">
      <c r="B153" s="40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23"/>
      <c r="AI153" s="23"/>
      <c r="AJ153" s="23"/>
    </row>
    <row r="154" ht="30.0" customHeight="1">
      <c r="B154" s="40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23"/>
      <c r="AI154" s="23"/>
      <c r="AJ154" s="23"/>
    </row>
    <row r="155" ht="30.0" customHeight="1">
      <c r="B155" s="32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23"/>
      <c r="AI155" s="23"/>
      <c r="AJ155" s="23"/>
    </row>
    <row r="156" ht="30.0" customHeight="1">
      <c r="B156" s="32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23"/>
      <c r="AI156" s="23"/>
      <c r="AJ156" s="23"/>
    </row>
    <row r="157" ht="30.0" customHeight="1">
      <c r="B157" s="32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23"/>
      <c r="AI157" s="23"/>
      <c r="AJ157" s="23"/>
    </row>
    <row r="158" ht="30.0" customHeight="1">
      <c r="B158" s="32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23"/>
      <c r="AI158" s="23"/>
      <c r="AJ158" s="23"/>
    </row>
    <row r="159" ht="30.0" customHeight="1">
      <c r="B159" s="32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23"/>
      <c r="AI159" s="23"/>
      <c r="AJ159" s="23"/>
    </row>
    <row r="160" ht="30.0" customHeight="1">
      <c r="B160" s="32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23"/>
      <c r="AI160" s="23"/>
      <c r="AJ160" s="23"/>
    </row>
    <row r="161" ht="30.0" customHeight="1">
      <c r="B161" s="32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23"/>
      <c r="AI161" s="23"/>
      <c r="AJ161" s="23"/>
    </row>
    <row r="162" ht="30.0" customHeight="1">
      <c r="B162" s="20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33"/>
      <c r="N162" s="21"/>
      <c r="O162" s="21"/>
      <c r="P162" s="21"/>
      <c r="Q162" s="21"/>
      <c r="R162" s="21"/>
      <c r="S162" s="21"/>
      <c r="T162" s="33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3"/>
      <c r="AI162" s="23"/>
      <c r="AJ162" s="23"/>
    </row>
    <row r="163" ht="30.0" customHeight="1">
      <c r="B163" s="20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33"/>
      <c r="N163" s="21"/>
      <c r="O163" s="21"/>
      <c r="P163" s="21"/>
      <c r="Q163" s="21"/>
      <c r="R163" s="21"/>
      <c r="S163" s="21"/>
      <c r="T163" s="33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3"/>
      <c r="AI163" s="23"/>
      <c r="AJ163" s="23"/>
    </row>
    <row r="164" ht="30.0" customHeight="1">
      <c r="B164" s="48" t="str">
        <f>Agosto!MonthName&amp;" Total"</f>
        <v>Enero Total</v>
      </c>
      <c r="C164" s="25">
        <f>SUBTOTAL(103,Agosto!$C$7)</f>
        <v>0</v>
      </c>
      <c r="D164" s="25">
        <f>SUBTOTAL(103,Agosto!$D$7)</f>
        <v>0</v>
      </c>
      <c r="E164" s="25">
        <f>SUBTOTAL(103,Agosto!$E$7)</f>
        <v>0</v>
      </c>
      <c r="F164" s="25"/>
      <c r="G164" s="25"/>
      <c r="H164" s="25">
        <f>SUBTOTAL(103,Agosto!$H$7)</f>
        <v>0</v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>
        <f>SUBTOTAL(103,Agosto!$Y$7)</f>
        <v>0</v>
      </c>
      <c r="Z164" s="25">
        <f>SUBTOTAL(103,Agosto!$Z$7)</f>
        <v>0</v>
      </c>
      <c r="AA164" s="25">
        <f>SUBTOTAL(103,Agosto!$AA$7)</f>
        <v>0</v>
      </c>
      <c r="AB164" s="25">
        <f>SUBTOTAL(103,Agosto!$AB$7)</f>
        <v>0</v>
      </c>
      <c r="AC164" s="25">
        <f>SUBTOTAL(103,Agosto!$AC$7)</f>
        <v>0</v>
      </c>
      <c r="AD164" s="25">
        <f>SUBTOTAL(103,Agosto!$AD$7)</f>
        <v>0</v>
      </c>
      <c r="AE164" s="25">
        <f>SUBTOTAL(103,Agosto!$AE$7)</f>
        <v>0</v>
      </c>
      <c r="AF164" s="25">
        <f>SUBTOTAL(103,Agosto!$AF$7)</f>
        <v>0</v>
      </c>
      <c r="AG164" s="25">
        <f>SUBTOTAL(103,Agosto!$AG$7)</f>
        <v>0</v>
      </c>
      <c r="AH164" s="25">
        <f>SUM(C164:AG164)</f>
        <v>0</v>
      </c>
      <c r="AI164" s="25"/>
      <c r="AJ164" s="25"/>
    </row>
    <row r="165" ht="30.0" customHeight="1">
      <c r="AH165" s="5"/>
      <c r="AI165" s="5"/>
      <c r="AJ165" s="5"/>
    </row>
    <row r="166" ht="30.0" customHeight="1">
      <c r="A166" s="50"/>
      <c r="B166" s="30" t="s">
        <v>12</v>
      </c>
      <c r="C166" s="27" t="s">
        <v>171</v>
      </c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39">
        <v>2026.0</v>
      </c>
      <c r="AI166" s="15"/>
      <c r="AJ166" s="15"/>
    </row>
    <row r="167" ht="30.0" customHeight="1">
      <c r="A167" s="50"/>
      <c r="B167" s="56"/>
      <c r="C167" s="16" t="str">
        <f>TEXT(WEEKDAY(DATE(Agosto!CalendarioAño,1,1),1),"ddd")</f>
        <v>jue</v>
      </c>
      <c r="D167" s="16" t="str">
        <f>TEXT(WEEKDAY(DATE(Agosto!CalendarioAño,1,2),1),"ddd")</f>
        <v>vie</v>
      </c>
      <c r="E167" s="16" t="str">
        <f>TEXT(WEEKDAY(DATE(Agosto!CalendarioAño,1,3),1),"ddd")</f>
        <v>sáb</v>
      </c>
      <c r="F167" s="16" t="str">
        <f>TEXT(WEEKDAY(DATE(Agosto!CalendarioAño,1,4),1),"ddd")</f>
        <v>dom</v>
      </c>
      <c r="G167" s="16" t="str">
        <f>TEXT(WEEKDAY(DATE(Agosto!CalendarioAño,1,5),1),"ddd")</f>
        <v>lun</v>
      </c>
      <c r="H167" s="16" t="str">
        <f>TEXT(WEEKDAY(DATE(Agosto!CalendarioAño,1,6),1),"ddd")</f>
        <v>mar</v>
      </c>
      <c r="I167" s="16" t="str">
        <f>TEXT(WEEKDAY(DATE(Agosto!CalendarioAño,1,7),1),"ddd")</f>
        <v>mié</v>
      </c>
      <c r="J167" s="16" t="str">
        <f>TEXT(WEEKDAY(DATE(Agosto!CalendarioAño,1,8),1),"ddd")</f>
        <v>jue</v>
      </c>
      <c r="K167" s="16" t="str">
        <f>TEXT(WEEKDAY(DATE(Agosto!CalendarioAño,1,9),1),"ddd")</f>
        <v>vie</v>
      </c>
      <c r="L167" s="16" t="str">
        <f>TEXT(WEEKDAY(DATE(Agosto!CalendarioAño,1,10),1),"ddd")</f>
        <v>sáb</v>
      </c>
      <c r="M167" s="16" t="str">
        <f>TEXT(WEEKDAY(DATE(Agosto!CalendarioAño,1,11),1),"ddd")</f>
        <v>dom</v>
      </c>
      <c r="N167" s="16" t="str">
        <f>TEXT(WEEKDAY(DATE(Agosto!CalendarioAño,1,12),1),"ddd")</f>
        <v>lun</v>
      </c>
      <c r="O167" s="16" t="str">
        <f>TEXT(WEEKDAY(DATE(Agosto!CalendarioAño,1,13),1),"ddd")</f>
        <v>mar</v>
      </c>
      <c r="P167" s="16" t="str">
        <f>TEXT(WEEKDAY(DATE(Agosto!CalendarioAño,1,14),1),"ddd")</f>
        <v>mié</v>
      </c>
      <c r="Q167" s="16" t="str">
        <f>TEXT(WEEKDAY(DATE(Agosto!CalendarioAño,1,15),1),"ddd")</f>
        <v>jue</v>
      </c>
      <c r="R167" s="16" t="str">
        <f>TEXT(WEEKDAY(DATE(Agosto!CalendarioAño,1,16),1),"ddd")</f>
        <v>vie</v>
      </c>
      <c r="S167" s="16" t="str">
        <f>TEXT(WEEKDAY(DATE(Agosto!CalendarioAño,1,17),1),"ddd")</f>
        <v>sáb</v>
      </c>
      <c r="T167" s="16" t="str">
        <f>TEXT(WEEKDAY(DATE(Agosto!CalendarioAño,1,18),1),"ddd")</f>
        <v>dom</v>
      </c>
      <c r="U167" s="16" t="str">
        <f>TEXT(WEEKDAY(DATE(Agosto!CalendarioAño,1,19),1),"ddd")</f>
        <v>lun</v>
      </c>
      <c r="V167" s="16" t="str">
        <f>TEXT(WEEKDAY(DATE(Agosto!CalendarioAño,1,20),1),"ddd")</f>
        <v>mar</v>
      </c>
      <c r="W167" s="16" t="str">
        <f>TEXT(WEEKDAY(DATE(Agosto!CalendarioAño,1,21),1),"ddd")</f>
        <v>mié</v>
      </c>
      <c r="X167" s="16" t="str">
        <f>TEXT(WEEKDAY(DATE(Agosto!CalendarioAño,1,22),1),"ddd")</f>
        <v>jue</v>
      </c>
      <c r="Y167" s="16" t="str">
        <f>TEXT(WEEKDAY(DATE(Agosto!CalendarioAño,1,23),1),"ddd")</f>
        <v>vie</v>
      </c>
      <c r="Z167" s="16" t="str">
        <f>TEXT(WEEKDAY(DATE(Agosto!CalendarioAño,1,24),1),"ddd")</f>
        <v>sáb</v>
      </c>
      <c r="AA167" s="16" t="str">
        <f>TEXT(WEEKDAY(DATE(Agosto!CalendarioAño,1,25),1),"ddd")</f>
        <v>dom</v>
      </c>
      <c r="AB167" s="16" t="str">
        <f>TEXT(WEEKDAY(DATE(Agosto!CalendarioAño,1,26),1),"ddd")</f>
        <v>lun</v>
      </c>
      <c r="AC167" s="16" t="str">
        <f>TEXT(WEEKDAY(DATE(Agosto!CalendarioAño,1,27),1),"ddd")</f>
        <v>mar</v>
      </c>
      <c r="AD167" s="16" t="str">
        <f>TEXT(WEEKDAY(DATE(Agosto!CalendarioAño,1,28),1),"ddd")</f>
        <v>mié</v>
      </c>
      <c r="AE167" s="16" t="str">
        <f>TEXT(WEEKDAY(DATE(Agosto!CalendarioAño,1,29),1),"ddd")</f>
        <v>jue</v>
      </c>
      <c r="AF167" s="16" t="str">
        <f>TEXT(WEEKDAY(DATE(Agosto!CalendarioAño,1,30),1),"ddd")</f>
        <v>vie</v>
      </c>
      <c r="AG167" s="16" t="str">
        <f>TEXT(WEEKDAY(DATE(Agosto!CalendarioAño,1,31),1),"ddd")</f>
        <v>sáb</v>
      </c>
      <c r="AH167" s="57"/>
      <c r="AI167" s="119"/>
      <c r="AJ167" s="119"/>
    </row>
    <row r="168" ht="30.0" customHeight="1">
      <c r="A168" s="18"/>
      <c r="B168" s="31" t="s">
        <v>14</v>
      </c>
      <c r="C168" s="19" t="s">
        <v>15</v>
      </c>
      <c r="D168" s="19" t="s">
        <v>16</v>
      </c>
      <c r="E168" s="19" t="s">
        <v>17</v>
      </c>
      <c r="F168" s="19" t="s">
        <v>18</v>
      </c>
      <c r="G168" s="19" t="s">
        <v>19</v>
      </c>
      <c r="H168" s="19" t="s">
        <v>20</v>
      </c>
      <c r="I168" s="19" t="s">
        <v>21</v>
      </c>
      <c r="J168" s="19" t="s">
        <v>22</v>
      </c>
      <c r="K168" s="19" t="s">
        <v>23</v>
      </c>
      <c r="L168" s="19" t="s">
        <v>24</v>
      </c>
      <c r="M168" s="19" t="s">
        <v>25</v>
      </c>
      <c r="N168" s="19" t="s">
        <v>26</v>
      </c>
      <c r="O168" s="19" t="s">
        <v>27</v>
      </c>
      <c r="P168" s="19" t="s">
        <v>28</v>
      </c>
      <c r="Q168" s="19" t="s">
        <v>29</v>
      </c>
      <c r="R168" s="19" t="s">
        <v>30</v>
      </c>
      <c r="S168" s="19" t="s">
        <v>31</v>
      </c>
      <c r="T168" s="19" t="s">
        <v>32</v>
      </c>
      <c r="U168" s="19" t="s">
        <v>33</v>
      </c>
      <c r="V168" s="19" t="s">
        <v>34</v>
      </c>
      <c r="W168" s="19" t="s">
        <v>35</v>
      </c>
      <c r="X168" s="19" t="s">
        <v>36</v>
      </c>
      <c r="Y168" s="19" t="s">
        <v>37</v>
      </c>
      <c r="Z168" s="19" t="s">
        <v>38</v>
      </c>
      <c r="AA168" s="19" t="s">
        <v>39</v>
      </c>
      <c r="AB168" s="19" t="s">
        <v>40</v>
      </c>
      <c r="AC168" s="19" t="s">
        <v>41</v>
      </c>
      <c r="AD168" s="19" t="s">
        <v>42</v>
      </c>
      <c r="AE168" s="19" t="s">
        <v>43</v>
      </c>
      <c r="AF168" s="19" t="s">
        <v>44</v>
      </c>
      <c r="AG168" s="19" t="s">
        <v>45</v>
      </c>
      <c r="AH168" s="19" t="s">
        <v>46</v>
      </c>
      <c r="AI168" s="19"/>
      <c r="AJ168" s="19"/>
    </row>
    <row r="169" ht="30.0" customHeight="1">
      <c r="A169" s="50"/>
      <c r="B169" s="58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59"/>
      <c r="AI169" s="59"/>
      <c r="AJ169" s="59"/>
    </row>
    <row r="170" ht="30.0" customHeight="1">
      <c r="A170" s="50"/>
      <c r="B170" s="60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59"/>
      <c r="AI170" s="59"/>
      <c r="AJ170" s="59"/>
    </row>
    <row r="171" ht="30.0" customHeight="1">
      <c r="A171" s="50"/>
      <c r="B171" s="58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59"/>
      <c r="AI171" s="59"/>
      <c r="AJ171" s="59"/>
    </row>
    <row r="172" ht="30.0" customHeight="1">
      <c r="A172" s="50"/>
      <c r="B172" s="60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59"/>
      <c r="AI172" s="59"/>
      <c r="AJ172" s="59"/>
    </row>
    <row r="173" ht="30.0" customHeight="1">
      <c r="A173" s="50"/>
      <c r="B173" s="60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59"/>
      <c r="AI173" s="59"/>
      <c r="AJ173" s="59"/>
    </row>
    <row r="174" ht="30.0" customHeight="1">
      <c r="A174" s="50"/>
      <c r="B174" s="58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59"/>
      <c r="AI174" s="59"/>
      <c r="AJ174" s="59"/>
    </row>
    <row r="175" ht="30.0" customHeight="1">
      <c r="A175" s="50"/>
      <c r="B175" s="58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59"/>
      <c r="AI175" s="59"/>
      <c r="AJ175" s="59"/>
    </row>
    <row r="176" ht="30.0" customHeight="1">
      <c r="A176" s="50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59"/>
      <c r="AI176" s="59"/>
      <c r="AJ176" s="59"/>
    </row>
    <row r="177" ht="30.0" customHeight="1">
      <c r="A177" s="50"/>
      <c r="B177" s="62" t="str">
        <f>Agosto!MonthName&amp;" Total"</f>
        <v>Enero Total</v>
      </c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5"/>
      <c r="AI177" s="65"/>
      <c r="AJ177" s="65"/>
    </row>
    <row r="178" ht="30.0" customHeight="1">
      <c r="B178" s="123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124"/>
      <c r="AI178" s="124"/>
      <c r="AJ178" s="124"/>
    </row>
    <row r="179" ht="30.0" customHeight="1">
      <c r="A179" s="50"/>
      <c r="B179" s="30" t="s">
        <v>12</v>
      </c>
      <c r="C179" s="27" t="s">
        <v>179</v>
      </c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39">
        <v>2026.0</v>
      </c>
      <c r="AI179" s="15"/>
      <c r="AJ179" s="15"/>
    </row>
    <row r="180" ht="30.0" customHeight="1">
      <c r="A180" s="50"/>
      <c r="B180" s="56"/>
      <c r="C180" s="16" t="str">
        <f>TEXT(WEEKDAY(DATE(Agosto!CalendarioAño,1,1),1),"ddd")</f>
        <v>jue</v>
      </c>
      <c r="D180" s="16" t="str">
        <f>TEXT(WEEKDAY(DATE(Agosto!CalendarioAño,1,2),1),"ddd")</f>
        <v>vie</v>
      </c>
      <c r="E180" s="16" t="str">
        <f>TEXT(WEEKDAY(DATE(Agosto!CalendarioAño,1,3),1),"ddd")</f>
        <v>sáb</v>
      </c>
      <c r="F180" s="16" t="str">
        <f>TEXT(WEEKDAY(DATE(Agosto!CalendarioAño,1,4),1),"ddd")</f>
        <v>dom</v>
      </c>
      <c r="G180" s="16" t="str">
        <f>TEXT(WEEKDAY(DATE(Agosto!CalendarioAño,1,5),1),"ddd")</f>
        <v>lun</v>
      </c>
      <c r="H180" s="16" t="str">
        <f>TEXT(WEEKDAY(DATE(Agosto!CalendarioAño,1,6),1),"ddd")</f>
        <v>mar</v>
      </c>
      <c r="I180" s="16" t="str">
        <f>TEXT(WEEKDAY(DATE(Agosto!CalendarioAño,1,7),1),"ddd")</f>
        <v>mié</v>
      </c>
      <c r="J180" s="16" t="str">
        <f>TEXT(WEEKDAY(DATE(Agosto!CalendarioAño,1,8),1),"ddd")</f>
        <v>jue</v>
      </c>
      <c r="K180" s="16" t="str">
        <f>TEXT(WEEKDAY(DATE(Agosto!CalendarioAño,1,9),1),"ddd")</f>
        <v>vie</v>
      </c>
      <c r="L180" s="16" t="str">
        <f>TEXT(WEEKDAY(DATE(Agosto!CalendarioAño,1,10),1),"ddd")</f>
        <v>sáb</v>
      </c>
      <c r="M180" s="16" t="str">
        <f>TEXT(WEEKDAY(DATE(Agosto!CalendarioAño,1,11),1),"ddd")</f>
        <v>dom</v>
      </c>
      <c r="N180" s="16" t="str">
        <f>TEXT(WEEKDAY(DATE(Agosto!CalendarioAño,1,12),1),"ddd")</f>
        <v>lun</v>
      </c>
      <c r="O180" s="16" t="str">
        <f>TEXT(WEEKDAY(DATE(Agosto!CalendarioAño,1,13),1),"ddd")</f>
        <v>mar</v>
      </c>
      <c r="P180" s="16" t="str">
        <f>TEXT(WEEKDAY(DATE(Agosto!CalendarioAño,1,14),1),"ddd")</f>
        <v>mié</v>
      </c>
      <c r="Q180" s="16" t="str">
        <f>TEXT(WEEKDAY(DATE(Agosto!CalendarioAño,1,15),1),"ddd")</f>
        <v>jue</v>
      </c>
      <c r="R180" s="16" t="str">
        <f>TEXT(WEEKDAY(DATE(Agosto!CalendarioAño,1,16),1),"ddd")</f>
        <v>vie</v>
      </c>
      <c r="S180" s="16" t="str">
        <f>TEXT(WEEKDAY(DATE(Agosto!CalendarioAño,1,17),1),"ddd")</f>
        <v>sáb</v>
      </c>
      <c r="T180" s="16" t="str">
        <f>TEXT(WEEKDAY(DATE(Agosto!CalendarioAño,1,18),1),"ddd")</f>
        <v>dom</v>
      </c>
      <c r="U180" s="16" t="str">
        <f>TEXT(WEEKDAY(DATE(Agosto!CalendarioAño,1,19),1),"ddd")</f>
        <v>lun</v>
      </c>
      <c r="V180" s="16" t="str">
        <f>TEXT(WEEKDAY(DATE(Agosto!CalendarioAño,1,20),1),"ddd")</f>
        <v>mar</v>
      </c>
      <c r="W180" s="16" t="str">
        <f>TEXT(WEEKDAY(DATE(Agosto!CalendarioAño,1,21),1),"ddd")</f>
        <v>mié</v>
      </c>
      <c r="X180" s="16" t="str">
        <f>TEXT(WEEKDAY(DATE(Agosto!CalendarioAño,1,22),1),"ddd")</f>
        <v>jue</v>
      </c>
      <c r="Y180" s="16" t="str">
        <f>TEXT(WEEKDAY(DATE(Agosto!CalendarioAño,1,23),1),"ddd")</f>
        <v>vie</v>
      </c>
      <c r="Z180" s="16" t="str">
        <f>TEXT(WEEKDAY(DATE(Agosto!CalendarioAño,1,24),1),"ddd")</f>
        <v>sáb</v>
      </c>
      <c r="AA180" s="16" t="str">
        <f>TEXT(WEEKDAY(DATE(Agosto!CalendarioAño,1,25),1),"ddd")</f>
        <v>dom</v>
      </c>
      <c r="AB180" s="16" t="str">
        <f>TEXT(WEEKDAY(DATE(Agosto!CalendarioAño,1,26),1),"ddd")</f>
        <v>lun</v>
      </c>
      <c r="AC180" s="16" t="str">
        <f>TEXT(WEEKDAY(DATE(Agosto!CalendarioAño,1,27),1),"ddd")</f>
        <v>mar</v>
      </c>
      <c r="AD180" s="16" t="str">
        <f>TEXT(WEEKDAY(DATE(Agosto!CalendarioAño,1,28),1),"ddd")</f>
        <v>mié</v>
      </c>
      <c r="AE180" s="16" t="str">
        <f>TEXT(WEEKDAY(DATE(Agosto!CalendarioAño,1,29),1),"ddd")</f>
        <v>jue</v>
      </c>
      <c r="AF180" s="16" t="str">
        <f>TEXT(WEEKDAY(DATE(Agosto!CalendarioAño,1,30),1),"ddd")</f>
        <v>vie</v>
      </c>
      <c r="AG180" s="16" t="str">
        <f>TEXT(WEEKDAY(DATE(Agosto!CalendarioAño,1,31),1),"ddd")</f>
        <v>sáb</v>
      </c>
      <c r="AH180" s="57"/>
      <c r="AI180" s="119"/>
      <c r="AJ180" s="119"/>
    </row>
    <row r="181" ht="30.0" customHeight="1">
      <c r="A181" s="18"/>
      <c r="B181" s="31" t="s">
        <v>14</v>
      </c>
      <c r="C181" s="19" t="s">
        <v>15</v>
      </c>
      <c r="D181" s="19" t="s">
        <v>16</v>
      </c>
      <c r="E181" s="19" t="s">
        <v>17</v>
      </c>
      <c r="F181" s="19" t="s">
        <v>18</v>
      </c>
      <c r="G181" s="19" t="s">
        <v>19</v>
      </c>
      <c r="H181" s="19" t="s">
        <v>20</v>
      </c>
      <c r="I181" s="19" t="s">
        <v>21</v>
      </c>
      <c r="J181" s="19" t="s">
        <v>22</v>
      </c>
      <c r="K181" s="19" t="s">
        <v>23</v>
      </c>
      <c r="L181" s="19" t="s">
        <v>24</v>
      </c>
      <c r="M181" s="19" t="s">
        <v>25</v>
      </c>
      <c r="N181" s="19" t="s">
        <v>26</v>
      </c>
      <c r="O181" s="19" t="s">
        <v>27</v>
      </c>
      <c r="P181" s="19" t="s">
        <v>28</v>
      </c>
      <c r="Q181" s="19" t="s">
        <v>29</v>
      </c>
      <c r="R181" s="19" t="s">
        <v>30</v>
      </c>
      <c r="S181" s="19" t="s">
        <v>31</v>
      </c>
      <c r="T181" s="19" t="s">
        <v>32</v>
      </c>
      <c r="U181" s="19" t="s">
        <v>33</v>
      </c>
      <c r="V181" s="19" t="s">
        <v>34</v>
      </c>
      <c r="W181" s="19" t="s">
        <v>35</v>
      </c>
      <c r="X181" s="19" t="s">
        <v>36</v>
      </c>
      <c r="Y181" s="19" t="s">
        <v>37</v>
      </c>
      <c r="Z181" s="19" t="s">
        <v>38</v>
      </c>
      <c r="AA181" s="19" t="s">
        <v>39</v>
      </c>
      <c r="AB181" s="19" t="s">
        <v>40</v>
      </c>
      <c r="AC181" s="19" t="s">
        <v>41</v>
      </c>
      <c r="AD181" s="19" t="s">
        <v>42</v>
      </c>
      <c r="AE181" s="19" t="s">
        <v>43</v>
      </c>
      <c r="AF181" s="19" t="s">
        <v>44</v>
      </c>
      <c r="AG181" s="19" t="s">
        <v>45</v>
      </c>
      <c r="AH181" s="19" t="s">
        <v>46</v>
      </c>
      <c r="AI181" s="19"/>
      <c r="AJ181" s="19"/>
    </row>
    <row r="182" ht="30.0" customHeight="1">
      <c r="A182" s="50"/>
      <c r="B182" s="58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59"/>
      <c r="AI182" s="59"/>
      <c r="AJ182" s="59"/>
    </row>
    <row r="183" ht="30.0" customHeight="1">
      <c r="A183" s="50"/>
      <c r="B183" s="60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59"/>
      <c r="AI183" s="59"/>
      <c r="AJ183" s="59"/>
    </row>
    <row r="184" ht="30.0" customHeight="1">
      <c r="A184" s="50"/>
      <c r="B184" s="58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59"/>
      <c r="AI184" s="59"/>
      <c r="AJ184" s="59"/>
    </row>
    <row r="185" ht="30.0" customHeight="1">
      <c r="A185" s="50"/>
      <c r="B185" s="36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59"/>
      <c r="AI185" s="59"/>
      <c r="AJ185" s="59"/>
    </row>
    <row r="186" ht="30.0" customHeight="1">
      <c r="A186" s="50"/>
      <c r="B186" s="6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59"/>
      <c r="AI186" s="59"/>
      <c r="AJ186" s="59"/>
    </row>
    <row r="187" ht="30.0" customHeight="1">
      <c r="A187" s="50"/>
      <c r="B187" s="62"/>
      <c r="C187" s="63">
        <f>SUBTOTAL(103,Agosto!$C$7)</f>
        <v>0</v>
      </c>
      <c r="D187" s="63">
        <f>SUBTOTAL(103,Agosto!$D$7)</f>
        <v>0</v>
      </c>
      <c r="E187" s="63">
        <f>SUBTOTAL(103,Agosto!$E$7)</f>
        <v>0</v>
      </c>
      <c r="F187" s="63"/>
      <c r="G187" s="63"/>
      <c r="H187" s="63">
        <f>SUBTOTAL(103,Agosto!$H$7)</f>
        <v>0</v>
      </c>
      <c r="I187" s="63">
        <f>SUBTOTAL(103,Agosto!$I$7)</f>
        <v>0</v>
      </c>
      <c r="J187" s="63">
        <f>SUBTOTAL(103,Agosto!$J$7)</f>
        <v>0</v>
      </c>
      <c r="K187" s="63">
        <f>SUBTOTAL(103,Agosto!$K$7)</f>
        <v>0</v>
      </c>
      <c r="L187" s="63">
        <f>SUBTOTAL(103,Agosto!$L$7)</f>
        <v>0</v>
      </c>
      <c r="M187" s="63"/>
      <c r="N187" s="63">
        <f>SUBTOTAL(103,Agosto!$N$7)</f>
        <v>0</v>
      </c>
      <c r="O187" s="63">
        <f>SUBTOTAL(103,Agosto!$O$7)</f>
        <v>0</v>
      </c>
      <c r="P187" s="63">
        <f>SUBTOTAL(103,Agosto!$P$7)</f>
        <v>0</v>
      </c>
      <c r="Q187" s="63">
        <f>SUBTOTAL(103,Agosto!$Q$7)</f>
        <v>0</v>
      </c>
      <c r="R187" s="63">
        <f>SUBTOTAL(103,Agosto!$R$7)</f>
        <v>0</v>
      </c>
      <c r="S187" s="63">
        <f>SUBTOTAL(103,Agosto!$S$7)</f>
        <v>0</v>
      </c>
      <c r="T187" s="63">
        <f>SUBTOTAL(103,Agosto!$T$7)</f>
        <v>0</v>
      </c>
      <c r="U187" s="63">
        <f>SUBTOTAL(103,Agosto!$U$7)</f>
        <v>0</v>
      </c>
      <c r="V187" s="63"/>
      <c r="W187" s="63">
        <f>SUBTOTAL(103,Agosto!$W$7)</f>
        <v>0</v>
      </c>
      <c r="X187" s="63">
        <f>SUBTOTAL(103,Agosto!$X$7)</f>
        <v>0</v>
      </c>
      <c r="Y187" s="63">
        <f>SUBTOTAL(103,Agosto!$Y$7)</f>
        <v>0</v>
      </c>
      <c r="Z187" s="63">
        <f>SUBTOTAL(103,Agosto!$Z$7)</f>
        <v>0</v>
      </c>
      <c r="AA187" s="63">
        <f>SUBTOTAL(103,Agosto!$AA$7)</f>
        <v>0</v>
      </c>
      <c r="AB187" s="63">
        <f>SUBTOTAL(103,Agosto!$AB$7)</f>
        <v>0</v>
      </c>
      <c r="AC187" s="63">
        <f>SUBTOTAL(103,Agosto!$AC$7)</f>
        <v>0</v>
      </c>
      <c r="AD187" s="63">
        <f>SUBTOTAL(103,Agosto!$AD$7)</f>
        <v>0</v>
      </c>
      <c r="AE187" s="63">
        <f>SUBTOTAL(103,Agosto!$AE$7)</f>
        <v>0</v>
      </c>
      <c r="AF187" s="63">
        <f>SUBTOTAL(103,Agosto!$AF$7)</f>
        <v>0</v>
      </c>
      <c r="AG187" s="63">
        <f>SUBTOTAL(103,Agosto!$AG$7)</f>
        <v>0</v>
      </c>
      <c r="AH187" s="65"/>
      <c r="AI187" s="65"/>
      <c r="AJ187" s="65"/>
    </row>
    <row r="188" ht="30.0" customHeight="1">
      <c r="AH188" s="5"/>
      <c r="AI188" s="5"/>
      <c r="AJ188" s="5"/>
    </row>
    <row r="189" ht="30.0" customHeight="1">
      <c r="A189" s="50"/>
      <c r="B189" s="30" t="s">
        <v>12</v>
      </c>
      <c r="C189" s="27" t="s">
        <v>183</v>
      </c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39">
        <v>2026.0</v>
      </c>
      <c r="AI189" s="15"/>
      <c r="AJ189" s="15"/>
    </row>
    <row r="190" ht="30.0" customHeight="1">
      <c r="A190" s="50"/>
      <c r="B190" s="56"/>
      <c r="C190" s="16" t="str">
        <f>TEXT(WEEKDAY(DATE(Agosto!CalendarioAño,1,1),1),"ddd")</f>
        <v>jue</v>
      </c>
      <c r="D190" s="16" t="str">
        <f>TEXT(WEEKDAY(DATE(Agosto!CalendarioAño,1,2),1),"ddd")</f>
        <v>vie</v>
      </c>
      <c r="E190" s="16" t="str">
        <f>TEXT(WEEKDAY(DATE(Agosto!CalendarioAño,1,3),1),"ddd")</f>
        <v>sáb</v>
      </c>
      <c r="F190" s="16" t="str">
        <f>TEXT(WEEKDAY(DATE(Agosto!CalendarioAño,1,4),1),"ddd")</f>
        <v>dom</v>
      </c>
      <c r="G190" s="16" t="str">
        <f>TEXT(WEEKDAY(DATE(Agosto!CalendarioAño,1,5),1),"ddd")</f>
        <v>lun</v>
      </c>
      <c r="H190" s="16" t="str">
        <f>TEXT(WEEKDAY(DATE(Agosto!CalendarioAño,1,6),1),"ddd")</f>
        <v>mar</v>
      </c>
      <c r="I190" s="16" t="str">
        <f>TEXT(WEEKDAY(DATE(Agosto!CalendarioAño,1,7),1),"ddd")</f>
        <v>mié</v>
      </c>
      <c r="J190" s="16" t="str">
        <f>TEXT(WEEKDAY(DATE(Agosto!CalendarioAño,1,8),1),"ddd")</f>
        <v>jue</v>
      </c>
      <c r="K190" s="16" t="str">
        <f>TEXT(WEEKDAY(DATE(Agosto!CalendarioAño,1,9),1),"ddd")</f>
        <v>vie</v>
      </c>
      <c r="L190" s="16" t="str">
        <f>TEXT(WEEKDAY(DATE(Agosto!CalendarioAño,1,10),1),"ddd")</f>
        <v>sáb</v>
      </c>
      <c r="M190" s="16" t="str">
        <f>TEXT(WEEKDAY(DATE(Agosto!CalendarioAño,1,11),1),"ddd")</f>
        <v>dom</v>
      </c>
      <c r="N190" s="16" t="str">
        <f>TEXT(WEEKDAY(DATE(Agosto!CalendarioAño,1,12),1),"ddd")</f>
        <v>lun</v>
      </c>
      <c r="O190" s="16" t="str">
        <f>TEXT(WEEKDAY(DATE(Agosto!CalendarioAño,1,13),1),"ddd")</f>
        <v>mar</v>
      </c>
      <c r="P190" s="16" t="str">
        <f>TEXT(WEEKDAY(DATE(Agosto!CalendarioAño,1,14),1),"ddd")</f>
        <v>mié</v>
      </c>
      <c r="Q190" s="16" t="str">
        <f>TEXT(WEEKDAY(DATE(Agosto!CalendarioAño,1,15),1),"ddd")</f>
        <v>jue</v>
      </c>
      <c r="R190" s="16" t="str">
        <f>TEXT(WEEKDAY(DATE(Agosto!CalendarioAño,1,16),1),"ddd")</f>
        <v>vie</v>
      </c>
      <c r="S190" s="16" t="str">
        <f>TEXT(WEEKDAY(DATE(Agosto!CalendarioAño,1,17),1),"ddd")</f>
        <v>sáb</v>
      </c>
      <c r="T190" s="16" t="str">
        <f>TEXT(WEEKDAY(DATE(Agosto!CalendarioAño,1,18),1),"ddd")</f>
        <v>dom</v>
      </c>
      <c r="U190" s="16" t="str">
        <f>TEXT(WEEKDAY(DATE(Agosto!CalendarioAño,1,19),1),"ddd")</f>
        <v>lun</v>
      </c>
      <c r="V190" s="16" t="str">
        <f>TEXT(WEEKDAY(DATE(Agosto!CalendarioAño,1,20),1),"ddd")</f>
        <v>mar</v>
      </c>
      <c r="W190" s="16" t="str">
        <f>TEXT(WEEKDAY(DATE(Agosto!CalendarioAño,1,21),1),"ddd")</f>
        <v>mié</v>
      </c>
      <c r="X190" s="16" t="str">
        <f>TEXT(WEEKDAY(DATE(Agosto!CalendarioAño,1,22),1),"ddd")</f>
        <v>jue</v>
      </c>
      <c r="Y190" s="16" t="str">
        <f>TEXT(WEEKDAY(DATE(Agosto!CalendarioAño,1,23),1),"ddd")</f>
        <v>vie</v>
      </c>
      <c r="Z190" s="16" t="str">
        <f>TEXT(WEEKDAY(DATE(Agosto!CalendarioAño,1,24),1),"ddd")</f>
        <v>sáb</v>
      </c>
      <c r="AA190" s="16" t="str">
        <f>TEXT(WEEKDAY(DATE(Agosto!CalendarioAño,1,25),1),"ddd")</f>
        <v>dom</v>
      </c>
      <c r="AB190" s="16" t="str">
        <f>TEXT(WEEKDAY(DATE(Agosto!CalendarioAño,1,26),1),"ddd")</f>
        <v>lun</v>
      </c>
      <c r="AC190" s="16" t="str">
        <f>TEXT(WEEKDAY(DATE(Agosto!CalendarioAño,1,27),1),"ddd")</f>
        <v>mar</v>
      </c>
      <c r="AD190" s="16" t="str">
        <f>TEXT(WEEKDAY(DATE(Agosto!CalendarioAño,1,28),1),"ddd")</f>
        <v>mié</v>
      </c>
      <c r="AE190" s="16" t="str">
        <f>TEXT(WEEKDAY(DATE(Agosto!CalendarioAño,1,29),1),"ddd")</f>
        <v>jue</v>
      </c>
      <c r="AF190" s="16" t="str">
        <f>TEXT(WEEKDAY(DATE(Agosto!CalendarioAño,1,30),1),"ddd")</f>
        <v>vie</v>
      </c>
      <c r="AG190" s="16" t="str">
        <f>TEXT(WEEKDAY(DATE(Agosto!CalendarioAño,1,31),1),"ddd")</f>
        <v>sáb</v>
      </c>
      <c r="AH190" s="57"/>
      <c r="AI190" s="119"/>
      <c r="AJ190" s="119"/>
    </row>
    <row r="191" ht="30.0" customHeight="1">
      <c r="A191" s="18"/>
      <c r="B191" s="66" t="s">
        <v>14</v>
      </c>
      <c r="C191" s="19" t="s">
        <v>15</v>
      </c>
      <c r="D191" s="19" t="s">
        <v>16</v>
      </c>
      <c r="E191" s="19" t="s">
        <v>17</v>
      </c>
      <c r="F191" s="19" t="s">
        <v>18</v>
      </c>
      <c r="G191" s="19" t="s">
        <v>19</v>
      </c>
      <c r="H191" s="19" t="s">
        <v>20</v>
      </c>
      <c r="I191" s="19" t="s">
        <v>21</v>
      </c>
      <c r="J191" s="19" t="s">
        <v>22</v>
      </c>
      <c r="K191" s="19" t="s">
        <v>23</v>
      </c>
      <c r="L191" s="19" t="s">
        <v>24</v>
      </c>
      <c r="M191" s="19" t="s">
        <v>25</v>
      </c>
      <c r="N191" s="19" t="s">
        <v>26</v>
      </c>
      <c r="O191" s="19" t="s">
        <v>27</v>
      </c>
      <c r="P191" s="19" t="s">
        <v>28</v>
      </c>
      <c r="Q191" s="19" t="s">
        <v>29</v>
      </c>
      <c r="R191" s="19" t="s">
        <v>30</v>
      </c>
      <c r="S191" s="19" t="s">
        <v>31</v>
      </c>
      <c r="T191" s="19" t="s">
        <v>32</v>
      </c>
      <c r="U191" s="19" t="s">
        <v>33</v>
      </c>
      <c r="V191" s="19" t="s">
        <v>34</v>
      </c>
      <c r="W191" s="19" t="s">
        <v>35</v>
      </c>
      <c r="X191" s="19" t="s">
        <v>36</v>
      </c>
      <c r="Y191" s="19" t="s">
        <v>37</v>
      </c>
      <c r="Z191" s="19" t="s">
        <v>38</v>
      </c>
      <c r="AA191" s="19" t="s">
        <v>39</v>
      </c>
      <c r="AB191" s="19" t="s">
        <v>40</v>
      </c>
      <c r="AC191" s="19" t="s">
        <v>41</v>
      </c>
      <c r="AD191" s="19" t="s">
        <v>42</v>
      </c>
      <c r="AE191" s="19" t="s">
        <v>43</v>
      </c>
      <c r="AF191" s="19" t="s">
        <v>44</v>
      </c>
      <c r="AG191" s="19" t="s">
        <v>45</v>
      </c>
      <c r="AH191" s="19" t="s">
        <v>46</v>
      </c>
      <c r="AI191" s="19"/>
      <c r="AJ191" s="19"/>
    </row>
    <row r="192" ht="30.0" customHeight="1">
      <c r="A192" s="50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59"/>
      <c r="AI192" s="59"/>
      <c r="AJ192" s="59"/>
    </row>
    <row r="193" ht="30.0" customHeight="1">
      <c r="A193" s="50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7"/>
      <c r="AI193" s="67"/>
      <c r="AJ193" s="67"/>
    </row>
    <row r="194" ht="30.0" customHeight="1">
      <c r="A194" s="50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59"/>
      <c r="AI194" s="59"/>
      <c r="AJ194" s="59"/>
    </row>
    <row r="195" ht="30.0" customHeight="1">
      <c r="A195" s="50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7"/>
      <c r="AI195" s="67"/>
      <c r="AJ195" s="67"/>
    </row>
    <row r="196" ht="30.0" customHeight="1">
      <c r="A196" s="50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59"/>
      <c r="AI196" s="59"/>
      <c r="AJ196" s="59"/>
    </row>
    <row r="197" ht="30.0" customHeight="1">
      <c r="A197" s="50"/>
      <c r="B197" s="62" t="str">
        <f>Agosto!MonthName&amp;" Total"</f>
        <v>Enero Total</v>
      </c>
      <c r="C197" s="63">
        <f>SUBTOTAL(103,Agosto!$C$7)</f>
        <v>0</v>
      </c>
      <c r="D197" s="63">
        <f>SUBTOTAL(103,Agosto!$D$7)</f>
        <v>0</v>
      </c>
      <c r="E197" s="63">
        <f>SUBTOTAL(103,Agosto!$E$7)</f>
        <v>0</v>
      </c>
      <c r="F197" s="63"/>
      <c r="G197" s="63"/>
      <c r="H197" s="63">
        <f>SUBTOTAL(103,Agosto!$H$7)</f>
        <v>0</v>
      </c>
      <c r="I197" s="63">
        <f>SUBTOTAL(103,Agosto!$I$7)</f>
        <v>0</v>
      </c>
      <c r="J197" s="63">
        <f>SUBTOTAL(103,Agosto!$J$7)</f>
        <v>0</v>
      </c>
      <c r="K197" s="63">
        <f>SUBTOTAL(103,Agosto!$K$7)</f>
        <v>0</v>
      </c>
      <c r="L197" s="63">
        <f>SUBTOTAL(103,Agosto!$L$7)</f>
        <v>0</v>
      </c>
      <c r="M197" s="63"/>
      <c r="N197" s="63">
        <f>SUBTOTAL(103,Agosto!$N$7)</f>
        <v>0</v>
      </c>
      <c r="O197" s="63">
        <f>SUBTOTAL(103,Agosto!$O$7)</f>
        <v>0</v>
      </c>
      <c r="P197" s="63">
        <f>SUBTOTAL(103,Agosto!$P$7)</f>
        <v>0</v>
      </c>
      <c r="Q197" s="63">
        <f>SUBTOTAL(103,Agosto!$Q$7)</f>
        <v>0</v>
      </c>
      <c r="R197" s="63">
        <f>SUBTOTAL(103,Agosto!$R$7)</f>
        <v>0</v>
      </c>
      <c r="S197" s="63">
        <f>SUBTOTAL(103,Agosto!$S$7)</f>
        <v>0</v>
      </c>
      <c r="T197" s="63">
        <f>SUBTOTAL(103,Agosto!$T$7)</f>
        <v>0</v>
      </c>
      <c r="U197" s="63">
        <f>SUBTOTAL(103,Agosto!$U$7)</f>
        <v>0</v>
      </c>
      <c r="V197" s="63"/>
      <c r="W197" s="63">
        <f>SUBTOTAL(103,Agosto!$W$7)</f>
        <v>0</v>
      </c>
      <c r="X197" s="63">
        <f>SUBTOTAL(103,Agosto!$X$7)</f>
        <v>0</v>
      </c>
      <c r="Y197" s="63">
        <f>SUBTOTAL(103,Agosto!$Y$7)</f>
        <v>0</v>
      </c>
      <c r="Z197" s="63">
        <f>SUBTOTAL(103,Agosto!$Z$7)</f>
        <v>0</v>
      </c>
      <c r="AA197" s="63">
        <f>SUBTOTAL(103,Agosto!$AA$7)</f>
        <v>0</v>
      </c>
      <c r="AB197" s="63">
        <f>SUBTOTAL(103,Agosto!$AB$7)</f>
        <v>0</v>
      </c>
      <c r="AC197" s="63">
        <f>SUBTOTAL(103,Agosto!$AC$7)</f>
        <v>0</v>
      </c>
      <c r="AD197" s="63">
        <f>SUBTOTAL(103,Agosto!$AD$7)</f>
        <v>0</v>
      </c>
      <c r="AE197" s="63">
        <f>SUBTOTAL(103,Agosto!$AE$7)</f>
        <v>0</v>
      </c>
      <c r="AF197" s="63">
        <f>SUBTOTAL(103,Agosto!$AF$7)</f>
        <v>0</v>
      </c>
      <c r="AG197" s="63">
        <f>SUBTOTAL(103,Agosto!$AG$7)</f>
        <v>0</v>
      </c>
      <c r="AH197" s="65">
        <f>SUM(C197:AG197)</f>
        <v>0</v>
      </c>
      <c r="AI197" s="65"/>
      <c r="AJ197" s="65"/>
    </row>
    <row r="198" ht="30.0" customHeight="1">
      <c r="AH198" s="5"/>
      <c r="AI198" s="5"/>
      <c r="AJ198" s="5"/>
    </row>
    <row r="199" ht="30.0" customHeight="1">
      <c r="AH199" s="5"/>
      <c r="AI199" s="5"/>
      <c r="AJ199" s="5"/>
    </row>
    <row r="200" ht="30.0" customHeight="1">
      <c r="AH200" s="5"/>
      <c r="AI200" s="5"/>
      <c r="AJ200" s="5"/>
    </row>
    <row r="201" ht="30.0" customHeight="1">
      <c r="AH201" s="5"/>
      <c r="AI201" s="5"/>
      <c r="AJ201" s="5"/>
    </row>
    <row r="202" ht="30.0" customHeight="1">
      <c r="AH202" s="5"/>
      <c r="AI202" s="5"/>
      <c r="AJ202" s="5"/>
    </row>
    <row r="203" ht="30.0" customHeight="1">
      <c r="AH203" s="5"/>
      <c r="AI203" s="5"/>
      <c r="AJ203" s="5"/>
    </row>
    <row r="204" ht="30.0" customHeight="1">
      <c r="AH204" s="5"/>
      <c r="AI204" s="5"/>
      <c r="AJ204" s="5"/>
    </row>
    <row r="205" ht="30.0" customHeight="1">
      <c r="AH205" s="5"/>
      <c r="AI205" s="5"/>
      <c r="AJ205" s="5"/>
    </row>
    <row r="206" ht="30.0" customHeight="1">
      <c r="AH206" s="5"/>
      <c r="AI206" s="5"/>
      <c r="AJ206" s="5"/>
    </row>
    <row r="207" ht="30.0" customHeight="1">
      <c r="AH207" s="5"/>
      <c r="AI207" s="5"/>
      <c r="AJ207" s="5"/>
    </row>
    <row r="208" ht="30.0" customHeight="1">
      <c r="AH208" s="5"/>
      <c r="AI208" s="5"/>
      <c r="AJ208" s="5"/>
    </row>
    <row r="209" ht="30.0" customHeight="1">
      <c r="AH209" s="5"/>
      <c r="AI209" s="5"/>
      <c r="AJ209" s="5"/>
    </row>
    <row r="210" ht="30.0" customHeight="1">
      <c r="AH210" s="5"/>
      <c r="AI210" s="5"/>
      <c r="AJ210" s="5"/>
    </row>
    <row r="211" ht="30.0" customHeight="1">
      <c r="AH211" s="5"/>
      <c r="AI211" s="5"/>
      <c r="AJ211" s="5"/>
    </row>
    <row r="212" ht="30.0" customHeight="1">
      <c r="AH212" s="5"/>
      <c r="AI212" s="5"/>
      <c r="AJ212" s="5"/>
    </row>
    <row r="213" ht="30.0" customHeight="1">
      <c r="AH213" s="5"/>
      <c r="AI213" s="5"/>
      <c r="AJ213" s="5"/>
    </row>
    <row r="214" ht="30.0" customHeight="1">
      <c r="AH214" s="5"/>
      <c r="AI214" s="5"/>
      <c r="AJ214" s="5"/>
    </row>
    <row r="215" ht="30.0" customHeight="1">
      <c r="AH215" s="5"/>
      <c r="AI215" s="5"/>
      <c r="AJ215" s="5"/>
    </row>
    <row r="216" ht="30.0" customHeight="1">
      <c r="AH216" s="5"/>
      <c r="AI216" s="5"/>
      <c r="AJ216" s="5"/>
    </row>
    <row r="217" ht="30.0" customHeight="1">
      <c r="AH217" s="5"/>
      <c r="AI217" s="5"/>
      <c r="AJ217" s="5"/>
    </row>
    <row r="218" ht="30.0" customHeight="1">
      <c r="AH218" s="5"/>
      <c r="AI218" s="5"/>
      <c r="AJ218" s="5"/>
    </row>
    <row r="219" ht="30.0" customHeight="1">
      <c r="AH219" s="5"/>
      <c r="AI219" s="5"/>
      <c r="AJ219" s="5"/>
    </row>
    <row r="220" ht="30.0" customHeight="1">
      <c r="AH220" s="5"/>
      <c r="AI220" s="5"/>
      <c r="AJ220" s="5"/>
    </row>
    <row r="221" ht="30.0" customHeight="1">
      <c r="AH221" s="5"/>
      <c r="AI221" s="5"/>
      <c r="AJ221" s="5"/>
    </row>
    <row r="222" ht="30.0" customHeight="1">
      <c r="AH222" s="5"/>
      <c r="AI222" s="5"/>
      <c r="AJ222" s="5"/>
    </row>
    <row r="223" ht="30.0" customHeight="1">
      <c r="AH223" s="5"/>
      <c r="AI223" s="5"/>
      <c r="AJ223" s="5"/>
    </row>
    <row r="224" ht="30.0" customHeight="1">
      <c r="AH224" s="5"/>
      <c r="AI224" s="5"/>
      <c r="AJ224" s="5"/>
    </row>
    <row r="225" ht="30.0" customHeight="1">
      <c r="AH225" s="5"/>
      <c r="AI225" s="5"/>
      <c r="AJ225" s="5"/>
    </row>
    <row r="226" ht="30.0" customHeight="1">
      <c r="AH226" s="5"/>
      <c r="AI226" s="5"/>
      <c r="AJ226" s="5"/>
    </row>
    <row r="227" ht="30.0" customHeight="1">
      <c r="AH227" s="5"/>
      <c r="AI227" s="5"/>
      <c r="AJ227" s="5"/>
    </row>
    <row r="228" ht="30.0" customHeight="1">
      <c r="AH228" s="5"/>
      <c r="AI228" s="5"/>
      <c r="AJ228" s="5"/>
    </row>
    <row r="229" ht="30.0" customHeight="1">
      <c r="AH229" s="5"/>
      <c r="AI229" s="5"/>
      <c r="AJ229" s="5"/>
    </row>
    <row r="230" ht="30.0" customHeight="1">
      <c r="AH230" s="5"/>
      <c r="AI230" s="5"/>
      <c r="AJ230" s="5"/>
    </row>
    <row r="231" ht="30.0" customHeight="1">
      <c r="AH231" s="5"/>
      <c r="AI231" s="5"/>
      <c r="AJ231" s="5"/>
    </row>
    <row r="232" ht="30.0" customHeight="1">
      <c r="AH232" s="5"/>
      <c r="AI232" s="5"/>
      <c r="AJ232" s="5"/>
    </row>
    <row r="233" ht="30.0" customHeight="1">
      <c r="AH233" s="5"/>
      <c r="AI233" s="5"/>
      <c r="AJ233" s="5"/>
    </row>
    <row r="234" ht="30.0" customHeight="1">
      <c r="AH234" s="5"/>
      <c r="AI234" s="5"/>
      <c r="AJ234" s="5"/>
    </row>
    <row r="235" ht="30.0" customHeight="1">
      <c r="AH235" s="5"/>
      <c r="AI235" s="5"/>
      <c r="AJ235" s="5"/>
    </row>
    <row r="236" ht="30.0" customHeight="1">
      <c r="AH236" s="5"/>
      <c r="AI236" s="5"/>
      <c r="AJ236" s="5"/>
    </row>
    <row r="237" ht="30.0" customHeight="1">
      <c r="AH237" s="5"/>
      <c r="AI237" s="5"/>
      <c r="AJ237" s="5"/>
    </row>
    <row r="238" ht="30.0" customHeight="1">
      <c r="AH238" s="5"/>
      <c r="AI238" s="5"/>
      <c r="AJ238" s="5"/>
    </row>
    <row r="239" ht="30.0" customHeight="1">
      <c r="AH239" s="5"/>
      <c r="AI239" s="5"/>
      <c r="AJ239" s="5"/>
    </row>
    <row r="240" ht="30.0" customHeight="1">
      <c r="AH240" s="5"/>
      <c r="AI240" s="5"/>
      <c r="AJ240" s="5"/>
    </row>
    <row r="241" ht="30.0" customHeight="1">
      <c r="AH241" s="5"/>
      <c r="AI241" s="5"/>
      <c r="AJ241" s="5"/>
    </row>
    <row r="242" ht="30.0" customHeight="1">
      <c r="AH242" s="5"/>
      <c r="AI242" s="5"/>
      <c r="AJ242" s="5"/>
    </row>
    <row r="243" ht="30.0" customHeight="1">
      <c r="AH243" s="5"/>
      <c r="AI243" s="5"/>
      <c r="AJ243" s="5"/>
    </row>
    <row r="244" ht="30.0" customHeight="1">
      <c r="AH244" s="5"/>
      <c r="AI244" s="5"/>
      <c r="AJ244" s="5"/>
    </row>
    <row r="245" ht="30.0" customHeight="1">
      <c r="AH245" s="5"/>
      <c r="AI245" s="5"/>
      <c r="AJ245" s="5"/>
    </row>
    <row r="246" ht="30.0" customHeight="1">
      <c r="AH246" s="5"/>
      <c r="AI246" s="5"/>
      <c r="AJ246" s="5"/>
    </row>
    <row r="247" ht="30.0" customHeight="1">
      <c r="AH247" s="5"/>
      <c r="AI247" s="5"/>
      <c r="AJ247" s="5"/>
    </row>
    <row r="248" ht="30.0" customHeight="1">
      <c r="AH248" s="5"/>
      <c r="AI248" s="5"/>
      <c r="AJ248" s="5"/>
    </row>
    <row r="249" ht="30.0" customHeight="1">
      <c r="AH249" s="5"/>
      <c r="AI249" s="5"/>
      <c r="AJ249" s="5"/>
    </row>
    <row r="250" ht="30.0" customHeight="1">
      <c r="AH250" s="5"/>
      <c r="AI250" s="5"/>
      <c r="AJ250" s="5"/>
    </row>
    <row r="251" ht="30.0" customHeight="1">
      <c r="AH251" s="5"/>
      <c r="AI251" s="5"/>
      <c r="AJ251" s="5"/>
    </row>
    <row r="252" ht="30.0" customHeight="1">
      <c r="AH252" s="5"/>
      <c r="AI252" s="5"/>
      <c r="AJ252" s="5"/>
    </row>
    <row r="253" ht="30.0" customHeight="1">
      <c r="AH253" s="5"/>
      <c r="AI253" s="5"/>
      <c r="AJ253" s="5"/>
    </row>
    <row r="254" ht="30.0" customHeight="1">
      <c r="AH254" s="5"/>
      <c r="AI254" s="5"/>
      <c r="AJ254" s="5"/>
    </row>
    <row r="255" ht="30.0" customHeight="1">
      <c r="AH255" s="5"/>
      <c r="AI255" s="5"/>
      <c r="AJ255" s="5"/>
    </row>
    <row r="256" ht="30.0" customHeight="1">
      <c r="AH256" s="5"/>
      <c r="AI256" s="5"/>
      <c r="AJ256" s="5"/>
    </row>
    <row r="257" ht="30.0" customHeight="1">
      <c r="AH257" s="5"/>
      <c r="AI257" s="5"/>
      <c r="AJ257" s="5"/>
    </row>
    <row r="258" ht="30.0" customHeight="1">
      <c r="AH258" s="5"/>
      <c r="AI258" s="5"/>
      <c r="AJ258" s="5"/>
    </row>
    <row r="259" ht="30.0" customHeight="1">
      <c r="AH259" s="5"/>
      <c r="AI259" s="5"/>
      <c r="AJ259" s="5"/>
    </row>
    <row r="260" ht="30.0" customHeight="1">
      <c r="AH260" s="5"/>
      <c r="AI260" s="5"/>
      <c r="AJ260" s="5"/>
    </row>
    <row r="261" ht="30.0" customHeight="1">
      <c r="AH261" s="5"/>
      <c r="AI261" s="5"/>
      <c r="AJ261" s="5"/>
    </row>
    <row r="262" ht="30.0" customHeight="1">
      <c r="AH262" s="5"/>
      <c r="AI262" s="5"/>
      <c r="AJ262" s="5"/>
    </row>
    <row r="263" ht="30.0" customHeight="1">
      <c r="AH263" s="5"/>
      <c r="AI263" s="5"/>
      <c r="AJ263" s="5"/>
    </row>
    <row r="264" ht="30.0" customHeight="1">
      <c r="AH264" s="5"/>
      <c r="AI264" s="5"/>
      <c r="AJ264" s="5"/>
    </row>
    <row r="265" ht="30.0" customHeight="1">
      <c r="AH265" s="5"/>
      <c r="AI265" s="5"/>
      <c r="AJ265" s="5"/>
    </row>
    <row r="266" ht="30.0" customHeight="1">
      <c r="AH266" s="5"/>
      <c r="AI266" s="5"/>
      <c r="AJ266" s="5"/>
    </row>
    <row r="267" ht="30.0" customHeight="1">
      <c r="AH267" s="5"/>
      <c r="AI267" s="5"/>
      <c r="AJ267" s="5"/>
    </row>
    <row r="268" ht="30.0" customHeight="1">
      <c r="AH268" s="5"/>
      <c r="AI268" s="5"/>
      <c r="AJ268" s="5"/>
    </row>
    <row r="269" ht="30.0" customHeight="1">
      <c r="AH269" s="5"/>
      <c r="AI269" s="5"/>
      <c r="AJ269" s="5"/>
    </row>
    <row r="270" ht="30.0" customHeight="1">
      <c r="AH270" s="5"/>
      <c r="AI270" s="5"/>
      <c r="AJ270" s="5"/>
    </row>
    <row r="271" ht="30.0" customHeight="1">
      <c r="AH271" s="5"/>
      <c r="AI271" s="5"/>
      <c r="AJ271" s="5"/>
    </row>
    <row r="272" ht="30.0" customHeight="1">
      <c r="AH272" s="5"/>
      <c r="AI272" s="5"/>
      <c r="AJ272" s="5"/>
    </row>
    <row r="273" ht="30.0" customHeight="1">
      <c r="AH273" s="5"/>
      <c r="AI273" s="5"/>
      <c r="AJ273" s="5"/>
    </row>
    <row r="274" ht="30.0" customHeight="1">
      <c r="AH274" s="5"/>
      <c r="AI274" s="5"/>
      <c r="AJ274" s="5"/>
    </row>
    <row r="275" ht="30.0" customHeight="1">
      <c r="AH275" s="5"/>
      <c r="AI275" s="5"/>
      <c r="AJ275" s="5"/>
    </row>
    <row r="276" ht="30.0" customHeight="1">
      <c r="AH276" s="5"/>
      <c r="AI276" s="5"/>
      <c r="AJ276" s="5"/>
    </row>
    <row r="277" ht="30.0" customHeight="1">
      <c r="AH277" s="5"/>
      <c r="AI277" s="5"/>
      <c r="AJ277" s="5"/>
    </row>
    <row r="278" ht="30.0" customHeight="1">
      <c r="AH278" s="5"/>
      <c r="AI278" s="5"/>
      <c r="AJ278" s="5"/>
    </row>
    <row r="279" ht="30.0" customHeight="1">
      <c r="AH279" s="5"/>
      <c r="AI279" s="5"/>
      <c r="AJ279" s="5"/>
    </row>
    <row r="280" ht="30.0" customHeight="1">
      <c r="AH280" s="5"/>
      <c r="AI280" s="5"/>
      <c r="AJ280" s="5"/>
    </row>
    <row r="281" ht="30.0" customHeight="1">
      <c r="AH281" s="5"/>
      <c r="AI281" s="5"/>
      <c r="AJ281" s="5"/>
    </row>
    <row r="282" ht="30.0" customHeight="1">
      <c r="AH282" s="5"/>
      <c r="AI282" s="5"/>
      <c r="AJ282" s="5"/>
    </row>
    <row r="283" ht="30.0" customHeight="1">
      <c r="AH283" s="5"/>
      <c r="AI283" s="5"/>
      <c r="AJ283" s="5"/>
    </row>
    <row r="284" ht="30.0" customHeight="1">
      <c r="AH284" s="5"/>
      <c r="AI284" s="5"/>
      <c r="AJ284" s="5"/>
    </row>
    <row r="285" ht="30.0" customHeight="1">
      <c r="AH285" s="5"/>
      <c r="AI285" s="5"/>
      <c r="AJ285" s="5"/>
    </row>
    <row r="286" ht="30.0" customHeight="1">
      <c r="AH286" s="5"/>
      <c r="AI286" s="5"/>
      <c r="AJ286" s="5"/>
    </row>
    <row r="287" ht="30.0" customHeight="1">
      <c r="AH287" s="5"/>
      <c r="AI287" s="5"/>
      <c r="AJ287" s="5"/>
    </row>
    <row r="288" ht="30.0" customHeight="1">
      <c r="AH288" s="5"/>
      <c r="AI288" s="5"/>
      <c r="AJ288" s="5"/>
    </row>
    <row r="289" ht="30.0" customHeight="1">
      <c r="AH289" s="5"/>
      <c r="AI289" s="5"/>
      <c r="AJ289" s="5"/>
    </row>
    <row r="290" ht="30.0" customHeight="1">
      <c r="AH290" s="5"/>
      <c r="AI290" s="5"/>
      <c r="AJ290" s="5"/>
    </row>
    <row r="291" ht="30.0" customHeight="1">
      <c r="AH291" s="5"/>
      <c r="AI291" s="5"/>
      <c r="AJ291" s="5"/>
    </row>
    <row r="292" ht="30.0" customHeight="1">
      <c r="AH292" s="5"/>
      <c r="AI292" s="5"/>
      <c r="AJ292" s="5"/>
    </row>
    <row r="293" ht="30.0" customHeight="1">
      <c r="AH293" s="5"/>
      <c r="AI293" s="5"/>
      <c r="AJ293" s="5"/>
    </row>
    <row r="294" ht="30.0" customHeight="1">
      <c r="AH294" s="5"/>
      <c r="AI294" s="5"/>
      <c r="AJ294" s="5"/>
    </row>
    <row r="295" ht="30.0" customHeight="1">
      <c r="AH295" s="5"/>
      <c r="AI295" s="5"/>
      <c r="AJ295" s="5"/>
    </row>
    <row r="296" ht="30.0" customHeight="1">
      <c r="AH296" s="5"/>
      <c r="AI296" s="5"/>
      <c r="AJ296" s="5"/>
    </row>
    <row r="297" ht="30.0" customHeight="1">
      <c r="AH297" s="5"/>
      <c r="AI297" s="5"/>
      <c r="AJ297" s="5"/>
    </row>
    <row r="298" ht="30.0" customHeight="1">
      <c r="AH298" s="5"/>
      <c r="AI298" s="5"/>
      <c r="AJ298" s="5"/>
    </row>
    <row r="299" ht="30.0" customHeight="1">
      <c r="AH299" s="5"/>
      <c r="AI299" s="5"/>
      <c r="AJ299" s="5"/>
    </row>
    <row r="300" ht="30.0" customHeight="1">
      <c r="AH300" s="5"/>
      <c r="AI300" s="5"/>
      <c r="AJ300" s="5"/>
    </row>
    <row r="301" ht="30.0" customHeight="1">
      <c r="AH301" s="5"/>
      <c r="AI301" s="5"/>
      <c r="AJ301" s="5"/>
    </row>
    <row r="302" ht="30.0" customHeight="1">
      <c r="AH302" s="5"/>
      <c r="AI302" s="5"/>
      <c r="AJ302" s="5"/>
    </row>
    <row r="303" ht="30.0" customHeight="1">
      <c r="AH303" s="5"/>
      <c r="AI303" s="5"/>
      <c r="AJ303" s="5"/>
    </row>
    <row r="304" ht="30.0" customHeight="1">
      <c r="AH304" s="5"/>
      <c r="AI304" s="5"/>
      <c r="AJ304" s="5"/>
    </row>
    <row r="305" ht="30.0" customHeight="1">
      <c r="AH305" s="5"/>
      <c r="AI305" s="5"/>
      <c r="AJ305" s="5"/>
    </row>
    <row r="306" ht="30.0" customHeight="1">
      <c r="AH306" s="5"/>
      <c r="AI306" s="5"/>
      <c r="AJ306" s="5"/>
    </row>
    <row r="307" ht="30.0" customHeight="1">
      <c r="AH307" s="5"/>
      <c r="AI307" s="5"/>
      <c r="AJ307" s="5"/>
    </row>
    <row r="308" ht="30.0" customHeight="1">
      <c r="AH308" s="5"/>
      <c r="AI308" s="5"/>
      <c r="AJ308" s="5"/>
    </row>
    <row r="309" ht="30.0" customHeight="1">
      <c r="AH309" s="5"/>
      <c r="AI309" s="5"/>
      <c r="AJ309" s="5"/>
    </row>
    <row r="310" ht="30.0" customHeight="1">
      <c r="AH310" s="5"/>
      <c r="AI310" s="5"/>
      <c r="AJ310" s="5"/>
    </row>
    <row r="311" ht="30.0" customHeight="1">
      <c r="AH311" s="5"/>
      <c r="AI311" s="5"/>
      <c r="AJ311" s="5"/>
    </row>
    <row r="312" ht="30.0" customHeight="1">
      <c r="AH312" s="5"/>
      <c r="AI312" s="5"/>
      <c r="AJ312" s="5"/>
    </row>
    <row r="313" ht="30.0" customHeight="1">
      <c r="AH313" s="5"/>
      <c r="AI313" s="5"/>
      <c r="AJ313" s="5"/>
    </row>
    <row r="314" ht="30.0" customHeight="1">
      <c r="AH314" s="5"/>
      <c r="AI314" s="5"/>
      <c r="AJ314" s="5"/>
    </row>
    <row r="315" ht="30.0" customHeight="1">
      <c r="AH315" s="5"/>
      <c r="AI315" s="5"/>
      <c r="AJ315" s="5"/>
    </row>
    <row r="316" ht="30.0" customHeight="1">
      <c r="AH316" s="5"/>
      <c r="AI316" s="5"/>
      <c r="AJ316" s="5"/>
    </row>
    <row r="317" ht="30.0" customHeight="1">
      <c r="AH317" s="5"/>
      <c r="AI317" s="5"/>
      <c r="AJ317" s="5"/>
    </row>
    <row r="318" ht="30.0" customHeight="1">
      <c r="AH318" s="5"/>
      <c r="AI318" s="5"/>
      <c r="AJ318" s="5"/>
    </row>
    <row r="319" ht="30.0" customHeight="1">
      <c r="AH319" s="5"/>
      <c r="AI319" s="5"/>
      <c r="AJ319" s="5"/>
    </row>
    <row r="320" ht="30.0" customHeight="1">
      <c r="AH320" s="5"/>
      <c r="AI320" s="5"/>
      <c r="AJ320" s="5"/>
    </row>
    <row r="321" ht="30.0" customHeight="1">
      <c r="AH321" s="5"/>
      <c r="AI321" s="5"/>
      <c r="AJ321" s="5"/>
    </row>
    <row r="322" ht="30.0" customHeight="1">
      <c r="AH322" s="5"/>
      <c r="AI322" s="5"/>
      <c r="AJ322" s="5"/>
    </row>
    <row r="323" ht="30.0" customHeight="1">
      <c r="AH323" s="5"/>
      <c r="AI323" s="5"/>
      <c r="AJ323" s="5"/>
    </row>
    <row r="324" ht="30.0" customHeight="1">
      <c r="AH324" s="5"/>
      <c r="AI324" s="5"/>
      <c r="AJ324" s="5"/>
    </row>
    <row r="325" ht="30.0" customHeight="1">
      <c r="AH325" s="5"/>
      <c r="AI325" s="5"/>
      <c r="AJ325" s="5"/>
    </row>
    <row r="326" ht="30.0" customHeight="1">
      <c r="AH326" s="5"/>
      <c r="AI326" s="5"/>
      <c r="AJ326" s="5"/>
    </row>
    <row r="327" ht="30.0" customHeight="1">
      <c r="AH327" s="5"/>
      <c r="AI327" s="5"/>
      <c r="AJ327" s="5"/>
    </row>
    <row r="328" ht="30.0" customHeight="1">
      <c r="AH328" s="5"/>
      <c r="AI328" s="5"/>
      <c r="AJ328" s="5"/>
    </row>
    <row r="329" ht="30.0" customHeight="1">
      <c r="AH329" s="5"/>
      <c r="AI329" s="5"/>
      <c r="AJ329" s="5"/>
    </row>
    <row r="330" ht="30.0" customHeight="1">
      <c r="AH330" s="5"/>
      <c r="AI330" s="5"/>
      <c r="AJ330" s="5"/>
    </row>
    <row r="331" ht="30.0" customHeight="1">
      <c r="AH331" s="5"/>
      <c r="AI331" s="5"/>
      <c r="AJ331" s="5"/>
    </row>
    <row r="332" ht="30.0" customHeight="1">
      <c r="AH332" s="5"/>
      <c r="AI332" s="5"/>
      <c r="AJ332" s="5"/>
    </row>
    <row r="333" ht="30.0" customHeight="1">
      <c r="AH333" s="5"/>
      <c r="AI333" s="5"/>
      <c r="AJ333" s="5"/>
    </row>
    <row r="334" ht="30.0" customHeight="1">
      <c r="AH334" s="5"/>
      <c r="AI334" s="5"/>
      <c r="AJ334" s="5"/>
    </row>
    <row r="335" ht="30.0" customHeight="1">
      <c r="AH335" s="5"/>
      <c r="AI335" s="5"/>
      <c r="AJ335" s="5"/>
    </row>
    <row r="336" ht="30.0" customHeight="1">
      <c r="AH336" s="5"/>
      <c r="AI336" s="5"/>
      <c r="AJ336" s="5"/>
    </row>
    <row r="337" ht="30.0" customHeight="1">
      <c r="AH337" s="5"/>
      <c r="AI337" s="5"/>
      <c r="AJ337" s="5"/>
    </row>
    <row r="338" ht="30.0" customHeight="1">
      <c r="AH338" s="5"/>
      <c r="AI338" s="5"/>
      <c r="AJ338" s="5"/>
    </row>
    <row r="339" ht="30.0" customHeight="1">
      <c r="AH339" s="5"/>
      <c r="AI339" s="5"/>
      <c r="AJ339" s="5"/>
    </row>
    <row r="340" ht="30.0" customHeight="1">
      <c r="AH340" s="5"/>
      <c r="AI340" s="5"/>
      <c r="AJ340" s="5"/>
    </row>
    <row r="341" ht="30.0" customHeight="1">
      <c r="AH341" s="5"/>
      <c r="AI341" s="5"/>
      <c r="AJ341" s="5"/>
    </row>
    <row r="342" ht="30.0" customHeight="1">
      <c r="AH342" s="5"/>
      <c r="AI342" s="5"/>
      <c r="AJ342" s="5"/>
    </row>
    <row r="343" ht="30.0" customHeight="1">
      <c r="AH343" s="5"/>
      <c r="AI343" s="5"/>
      <c r="AJ343" s="5"/>
    </row>
    <row r="344" ht="30.0" customHeight="1">
      <c r="AH344" s="5"/>
      <c r="AI344" s="5"/>
      <c r="AJ344" s="5"/>
    </row>
    <row r="345" ht="30.0" customHeight="1">
      <c r="AH345" s="5"/>
      <c r="AI345" s="5"/>
      <c r="AJ345" s="5"/>
    </row>
    <row r="346" ht="30.0" customHeight="1">
      <c r="AH346" s="5"/>
      <c r="AI346" s="5"/>
      <c r="AJ346" s="5"/>
    </row>
    <row r="347" ht="30.0" customHeight="1">
      <c r="AH347" s="5"/>
      <c r="AI347" s="5"/>
      <c r="AJ347" s="5"/>
    </row>
    <row r="348" ht="30.0" customHeight="1">
      <c r="AH348" s="5"/>
      <c r="AI348" s="5"/>
      <c r="AJ348" s="5"/>
    </row>
    <row r="349" ht="30.0" customHeight="1">
      <c r="AH349" s="5"/>
      <c r="AI349" s="5"/>
      <c r="AJ349" s="5"/>
    </row>
    <row r="350" ht="30.0" customHeight="1">
      <c r="AH350" s="5"/>
      <c r="AI350" s="5"/>
      <c r="AJ350" s="5"/>
    </row>
    <row r="351" ht="30.0" customHeight="1">
      <c r="AH351" s="5"/>
      <c r="AI351" s="5"/>
      <c r="AJ351" s="5"/>
    </row>
    <row r="352" ht="30.0" customHeight="1">
      <c r="AH352" s="5"/>
      <c r="AI352" s="5"/>
      <c r="AJ352" s="5"/>
    </row>
    <row r="353" ht="30.0" customHeight="1">
      <c r="AH353" s="5"/>
      <c r="AI353" s="5"/>
      <c r="AJ353" s="5"/>
    </row>
    <row r="354" ht="30.0" customHeight="1">
      <c r="AH354" s="5"/>
      <c r="AI354" s="5"/>
      <c r="AJ354" s="5"/>
    </row>
    <row r="355" ht="30.0" customHeight="1">
      <c r="AH355" s="5"/>
      <c r="AI355" s="5"/>
      <c r="AJ355" s="5"/>
    </row>
    <row r="356" ht="30.0" customHeight="1">
      <c r="AH356" s="5"/>
      <c r="AI356" s="5"/>
      <c r="AJ356" s="5"/>
    </row>
    <row r="357" ht="30.0" customHeight="1">
      <c r="AH357" s="5"/>
      <c r="AI357" s="5"/>
      <c r="AJ357" s="5"/>
    </row>
    <row r="358" ht="30.0" customHeight="1">
      <c r="AH358" s="5"/>
      <c r="AI358" s="5"/>
      <c r="AJ358" s="5"/>
    </row>
    <row r="359" ht="30.0" customHeight="1">
      <c r="AH359" s="5"/>
      <c r="AI359" s="5"/>
      <c r="AJ359" s="5"/>
    </row>
    <row r="360" ht="30.0" customHeight="1">
      <c r="AH360" s="5"/>
      <c r="AI360" s="5"/>
      <c r="AJ360" s="5"/>
    </row>
    <row r="361" ht="30.0" customHeight="1">
      <c r="AH361" s="5"/>
      <c r="AI361" s="5"/>
      <c r="AJ361" s="5"/>
    </row>
    <row r="362" ht="30.0" customHeight="1">
      <c r="AH362" s="5"/>
      <c r="AI362" s="5"/>
      <c r="AJ362" s="5"/>
    </row>
    <row r="363" ht="30.0" customHeight="1">
      <c r="AH363" s="5"/>
      <c r="AI363" s="5"/>
      <c r="AJ363" s="5"/>
    </row>
    <row r="364" ht="30.0" customHeight="1">
      <c r="AH364" s="5"/>
      <c r="AI364" s="5"/>
      <c r="AJ364" s="5"/>
    </row>
    <row r="365" ht="30.0" customHeight="1">
      <c r="AH365" s="5"/>
      <c r="AI365" s="5"/>
      <c r="AJ365" s="5"/>
    </row>
    <row r="366" ht="30.0" customHeight="1">
      <c r="AH366" s="5"/>
      <c r="AI366" s="5"/>
      <c r="AJ366" s="5"/>
    </row>
    <row r="367" ht="30.0" customHeight="1">
      <c r="AH367" s="5"/>
      <c r="AI367" s="5"/>
      <c r="AJ367" s="5"/>
    </row>
    <row r="368" ht="30.0" customHeight="1">
      <c r="AH368" s="5"/>
      <c r="AI368" s="5"/>
      <c r="AJ368" s="5"/>
    </row>
    <row r="369" ht="30.0" customHeight="1">
      <c r="AH369" s="5"/>
      <c r="AI369" s="5"/>
      <c r="AJ369" s="5"/>
    </row>
    <row r="370" ht="30.0" customHeight="1">
      <c r="AH370" s="5"/>
      <c r="AI370" s="5"/>
      <c r="AJ370" s="5"/>
    </row>
    <row r="371" ht="30.0" customHeight="1">
      <c r="AH371" s="5"/>
      <c r="AI371" s="5"/>
      <c r="AJ371" s="5"/>
    </row>
    <row r="372" ht="30.0" customHeight="1">
      <c r="AH372" s="5"/>
      <c r="AI372" s="5"/>
      <c r="AJ372" s="5"/>
    </row>
    <row r="373" ht="30.0" customHeight="1">
      <c r="AH373" s="5"/>
      <c r="AI373" s="5"/>
      <c r="AJ373" s="5"/>
    </row>
    <row r="374" ht="30.0" customHeight="1">
      <c r="AH374" s="5"/>
      <c r="AI374" s="5"/>
      <c r="AJ374" s="5"/>
    </row>
    <row r="375" ht="30.0" customHeight="1">
      <c r="AH375" s="5"/>
      <c r="AI375" s="5"/>
      <c r="AJ375" s="5"/>
    </row>
    <row r="376" ht="30.0" customHeight="1">
      <c r="AH376" s="5"/>
      <c r="AI376" s="5"/>
      <c r="AJ376" s="5"/>
    </row>
    <row r="377" ht="30.0" customHeight="1">
      <c r="AH377" s="5"/>
      <c r="AI377" s="5"/>
      <c r="AJ377" s="5"/>
    </row>
    <row r="378" ht="30.0" customHeight="1">
      <c r="AH378" s="5"/>
      <c r="AI378" s="5"/>
      <c r="AJ378" s="5"/>
    </row>
    <row r="379" ht="30.0" customHeight="1">
      <c r="AH379" s="5"/>
      <c r="AI379" s="5"/>
      <c r="AJ379" s="5"/>
    </row>
    <row r="380" ht="30.0" customHeight="1">
      <c r="AH380" s="5"/>
      <c r="AI380" s="5"/>
      <c r="AJ380" s="5"/>
    </row>
    <row r="381" ht="30.0" customHeight="1">
      <c r="AH381" s="5"/>
      <c r="AI381" s="5"/>
      <c r="AJ381" s="5"/>
    </row>
    <row r="382" ht="30.0" customHeight="1">
      <c r="AH382" s="5"/>
      <c r="AI382" s="5"/>
      <c r="AJ382" s="5"/>
    </row>
    <row r="383" ht="30.0" customHeight="1">
      <c r="AH383" s="5"/>
      <c r="AI383" s="5"/>
      <c r="AJ383" s="5"/>
    </row>
    <row r="384" ht="30.0" customHeight="1">
      <c r="AH384" s="5"/>
      <c r="AI384" s="5"/>
      <c r="AJ384" s="5"/>
    </row>
    <row r="385" ht="30.0" customHeight="1">
      <c r="AH385" s="5"/>
      <c r="AI385" s="5"/>
      <c r="AJ385" s="5"/>
    </row>
    <row r="386" ht="30.0" customHeight="1">
      <c r="AH386" s="5"/>
      <c r="AI386" s="5"/>
      <c r="AJ386" s="5"/>
    </row>
    <row r="387" ht="30.0" customHeight="1">
      <c r="AH387" s="5"/>
      <c r="AI387" s="5"/>
      <c r="AJ387" s="5"/>
    </row>
    <row r="388" ht="30.0" customHeight="1">
      <c r="AH388" s="5"/>
      <c r="AI388" s="5"/>
      <c r="AJ388" s="5"/>
    </row>
    <row r="389" ht="30.0" customHeight="1">
      <c r="AH389" s="5"/>
      <c r="AI389" s="5"/>
      <c r="AJ389" s="5"/>
    </row>
    <row r="390" ht="30.0" customHeight="1">
      <c r="AH390" s="5"/>
      <c r="AI390" s="5"/>
      <c r="AJ390" s="5"/>
    </row>
    <row r="391" ht="30.0" customHeight="1">
      <c r="AH391" s="5"/>
      <c r="AI391" s="5"/>
      <c r="AJ391" s="5"/>
    </row>
    <row r="392" ht="30.0" customHeight="1">
      <c r="AH392" s="5"/>
      <c r="AI392" s="5"/>
      <c r="AJ392" s="5"/>
    </row>
    <row r="393" ht="30.0" customHeight="1">
      <c r="AH393" s="5"/>
      <c r="AI393" s="5"/>
      <c r="AJ393" s="5"/>
    </row>
    <row r="394" ht="30.0" customHeight="1">
      <c r="AH394" s="5"/>
      <c r="AI394" s="5"/>
      <c r="AJ394" s="5"/>
    </row>
    <row r="395" ht="30.0" customHeight="1">
      <c r="AH395" s="5"/>
      <c r="AI395" s="5"/>
      <c r="AJ395" s="5"/>
    </row>
    <row r="396" ht="30.0" customHeight="1">
      <c r="AH396" s="5"/>
      <c r="AI396" s="5"/>
      <c r="AJ396" s="5"/>
    </row>
    <row r="397" ht="30.0" customHeight="1">
      <c r="AH397" s="5"/>
      <c r="AI397" s="5"/>
      <c r="AJ397" s="5"/>
    </row>
    <row r="398" ht="30.0" customHeight="1">
      <c r="AH398" s="5"/>
      <c r="AI398" s="5"/>
      <c r="AJ398" s="5"/>
    </row>
    <row r="399" ht="30.0" customHeight="1">
      <c r="AH399" s="5"/>
      <c r="AI399" s="5"/>
      <c r="AJ399" s="5"/>
    </row>
    <row r="400" ht="30.0" customHeight="1">
      <c r="AH400" s="5"/>
      <c r="AI400" s="5"/>
      <c r="AJ400" s="5"/>
    </row>
    <row r="401" ht="30.0" customHeight="1">
      <c r="AH401" s="5"/>
      <c r="AI401" s="5"/>
      <c r="AJ401" s="5"/>
    </row>
    <row r="402" ht="30.0" customHeight="1">
      <c r="AH402" s="5"/>
      <c r="AI402" s="5"/>
      <c r="AJ402" s="5"/>
    </row>
    <row r="403" ht="30.0" customHeight="1">
      <c r="AH403" s="5"/>
      <c r="AI403" s="5"/>
      <c r="AJ403" s="5"/>
    </row>
    <row r="404" ht="30.0" customHeight="1">
      <c r="AH404" s="5"/>
      <c r="AI404" s="5"/>
      <c r="AJ404" s="5"/>
    </row>
    <row r="405" ht="30.0" customHeight="1">
      <c r="AH405" s="5"/>
      <c r="AI405" s="5"/>
      <c r="AJ405" s="5"/>
    </row>
    <row r="406" ht="30.0" customHeight="1">
      <c r="AH406" s="5"/>
      <c r="AI406" s="5"/>
      <c r="AJ406" s="5"/>
    </row>
    <row r="407" ht="30.0" customHeight="1">
      <c r="AH407" s="5"/>
      <c r="AI407" s="5"/>
      <c r="AJ407" s="5"/>
    </row>
    <row r="408" ht="30.0" customHeight="1">
      <c r="AH408" s="5"/>
      <c r="AI408" s="5"/>
      <c r="AJ408" s="5"/>
    </row>
    <row r="409" ht="30.0" customHeight="1">
      <c r="AH409" s="5"/>
      <c r="AI409" s="5"/>
      <c r="AJ409" s="5"/>
    </row>
    <row r="410" ht="30.0" customHeight="1">
      <c r="AH410" s="5"/>
      <c r="AI410" s="5"/>
      <c r="AJ410" s="5"/>
    </row>
    <row r="411" ht="30.0" customHeight="1">
      <c r="AH411" s="5"/>
      <c r="AI411" s="5"/>
      <c r="AJ411" s="5"/>
    </row>
    <row r="412" ht="30.0" customHeight="1">
      <c r="AH412" s="5"/>
      <c r="AI412" s="5"/>
      <c r="AJ412" s="5"/>
    </row>
    <row r="413" ht="30.0" customHeight="1">
      <c r="AH413" s="5"/>
      <c r="AI413" s="5"/>
      <c r="AJ413" s="5"/>
    </row>
    <row r="414" ht="30.0" customHeight="1">
      <c r="AH414" s="5"/>
      <c r="AI414" s="5"/>
      <c r="AJ414" s="5"/>
    </row>
    <row r="415" ht="30.0" customHeight="1">
      <c r="AH415" s="5"/>
      <c r="AI415" s="5"/>
      <c r="AJ415" s="5"/>
    </row>
    <row r="416" ht="30.0" customHeight="1">
      <c r="AH416" s="5"/>
      <c r="AI416" s="5"/>
      <c r="AJ416" s="5"/>
    </row>
    <row r="417" ht="30.0" customHeight="1">
      <c r="AH417" s="5"/>
      <c r="AI417" s="5"/>
      <c r="AJ417" s="5"/>
    </row>
    <row r="418" ht="30.0" customHeight="1">
      <c r="AH418" s="5"/>
      <c r="AI418" s="5"/>
      <c r="AJ418" s="5"/>
    </row>
    <row r="419" ht="30.0" customHeight="1">
      <c r="AH419" s="5"/>
      <c r="AI419" s="5"/>
      <c r="AJ419" s="5"/>
    </row>
    <row r="420" ht="30.0" customHeight="1">
      <c r="AH420" s="5"/>
      <c r="AI420" s="5"/>
      <c r="AJ420" s="5"/>
    </row>
    <row r="421" ht="30.0" customHeight="1">
      <c r="AH421" s="5"/>
      <c r="AI421" s="5"/>
      <c r="AJ421" s="5"/>
    </row>
    <row r="422" ht="30.0" customHeight="1">
      <c r="AH422" s="5"/>
      <c r="AI422" s="5"/>
      <c r="AJ422" s="5"/>
    </row>
    <row r="423" ht="30.0" customHeight="1">
      <c r="AH423" s="5"/>
      <c r="AI423" s="5"/>
      <c r="AJ423" s="5"/>
    </row>
    <row r="424" ht="30.0" customHeight="1">
      <c r="AH424" s="5"/>
      <c r="AI424" s="5"/>
      <c r="AJ424" s="5"/>
    </row>
    <row r="425" ht="30.0" customHeight="1">
      <c r="AH425" s="5"/>
      <c r="AI425" s="5"/>
      <c r="AJ425" s="5"/>
    </row>
    <row r="426" ht="30.0" customHeight="1">
      <c r="AH426" s="5"/>
      <c r="AI426" s="5"/>
      <c r="AJ426" s="5"/>
    </row>
    <row r="427" ht="30.0" customHeight="1">
      <c r="AH427" s="5"/>
      <c r="AI427" s="5"/>
      <c r="AJ427" s="5"/>
    </row>
    <row r="428" ht="30.0" customHeight="1">
      <c r="AH428" s="5"/>
      <c r="AI428" s="5"/>
      <c r="AJ428" s="5"/>
    </row>
    <row r="429" ht="30.0" customHeight="1">
      <c r="AH429" s="5"/>
      <c r="AI429" s="5"/>
      <c r="AJ429" s="5"/>
    </row>
    <row r="430" ht="30.0" customHeight="1">
      <c r="AH430" s="5"/>
      <c r="AI430" s="5"/>
      <c r="AJ430" s="5"/>
    </row>
    <row r="431" ht="30.0" customHeight="1">
      <c r="AH431" s="5"/>
      <c r="AI431" s="5"/>
      <c r="AJ431" s="5"/>
    </row>
    <row r="432" ht="30.0" customHeight="1">
      <c r="AH432" s="5"/>
      <c r="AI432" s="5"/>
      <c r="AJ432" s="5"/>
    </row>
    <row r="433" ht="30.0" customHeight="1">
      <c r="AH433" s="5"/>
      <c r="AI433" s="5"/>
      <c r="AJ433" s="5"/>
    </row>
    <row r="434" ht="30.0" customHeight="1">
      <c r="AH434" s="5"/>
      <c r="AI434" s="5"/>
      <c r="AJ434" s="5"/>
    </row>
    <row r="435" ht="30.0" customHeight="1">
      <c r="AH435" s="5"/>
      <c r="AI435" s="5"/>
      <c r="AJ435" s="5"/>
    </row>
    <row r="436" ht="30.0" customHeight="1">
      <c r="AH436" s="5"/>
      <c r="AI436" s="5"/>
      <c r="AJ436" s="5"/>
    </row>
    <row r="437" ht="30.0" customHeight="1">
      <c r="AH437" s="5"/>
      <c r="AI437" s="5"/>
      <c r="AJ437" s="5"/>
    </row>
    <row r="438" ht="30.0" customHeight="1">
      <c r="AH438" s="5"/>
      <c r="AI438" s="5"/>
      <c r="AJ438" s="5"/>
    </row>
    <row r="439" ht="30.0" customHeight="1">
      <c r="AH439" s="5"/>
      <c r="AI439" s="5"/>
      <c r="AJ439" s="5"/>
    </row>
    <row r="440" ht="30.0" customHeight="1">
      <c r="AH440" s="5"/>
      <c r="AI440" s="5"/>
      <c r="AJ440" s="5"/>
    </row>
    <row r="441" ht="30.0" customHeight="1">
      <c r="AH441" s="5"/>
      <c r="AI441" s="5"/>
      <c r="AJ441" s="5"/>
    </row>
    <row r="442" ht="30.0" customHeight="1">
      <c r="AH442" s="5"/>
      <c r="AI442" s="5"/>
      <c r="AJ442" s="5"/>
    </row>
    <row r="443" ht="30.0" customHeight="1">
      <c r="AH443" s="5"/>
      <c r="AI443" s="5"/>
      <c r="AJ443" s="5"/>
    </row>
    <row r="444" ht="30.0" customHeight="1">
      <c r="AH444" s="5"/>
      <c r="AI444" s="5"/>
      <c r="AJ444" s="5"/>
    </row>
    <row r="445" ht="30.0" customHeight="1">
      <c r="AH445" s="5"/>
      <c r="AI445" s="5"/>
      <c r="AJ445" s="5"/>
    </row>
    <row r="446" ht="30.0" customHeight="1">
      <c r="AH446" s="5"/>
      <c r="AI446" s="5"/>
      <c r="AJ446" s="5"/>
    </row>
    <row r="447" ht="30.0" customHeight="1">
      <c r="AH447" s="5"/>
      <c r="AI447" s="5"/>
      <c r="AJ447" s="5"/>
    </row>
    <row r="448" ht="30.0" customHeight="1">
      <c r="AH448" s="5"/>
      <c r="AI448" s="5"/>
      <c r="AJ448" s="5"/>
    </row>
    <row r="449" ht="30.0" customHeight="1">
      <c r="AH449" s="5"/>
      <c r="AI449" s="5"/>
      <c r="AJ449" s="5"/>
    </row>
    <row r="450" ht="30.0" customHeight="1">
      <c r="AH450" s="5"/>
      <c r="AI450" s="5"/>
      <c r="AJ450" s="5"/>
    </row>
    <row r="451" ht="30.0" customHeight="1">
      <c r="AH451" s="5"/>
      <c r="AI451" s="5"/>
      <c r="AJ451" s="5"/>
    </row>
    <row r="452" ht="30.0" customHeight="1">
      <c r="AH452" s="5"/>
      <c r="AI452" s="5"/>
      <c r="AJ452" s="5"/>
    </row>
    <row r="453" ht="30.0" customHeight="1">
      <c r="AH453" s="5"/>
      <c r="AI453" s="5"/>
      <c r="AJ453" s="5"/>
    </row>
    <row r="454" ht="30.0" customHeight="1">
      <c r="AH454" s="5"/>
      <c r="AI454" s="5"/>
      <c r="AJ454" s="5"/>
    </row>
    <row r="455" ht="30.0" customHeight="1">
      <c r="AH455" s="5"/>
      <c r="AI455" s="5"/>
      <c r="AJ455" s="5"/>
    </row>
    <row r="456" ht="30.0" customHeight="1">
      <c r="AH456" s="5"/>
      <c r="AI456" s="5"/>
      <c r="AJ456" s="5"/>
    </row>
    <row r="457" ht="30.0" customHeight="1">
      <c r="AH457" s="5"/>
      <c r="AI457" s="5"/>
      <c r="AJ457" s="5"/>
    </row>
    <row r="458" ht="30.0" customHeight="1">
      <c r="AH458" s="5"/>
      <c r="AI458" s="5"/>
      <c r="AJ458" s="5"/>
    </row>
    <row r="459" ht="30.0" customHeight="1">
      <c r="AH459" s="5"/>
      <c r="AI459" s="5"/>
      <c r="AJ459" s="5"/>
    </row>
    <row r="460" ht="30.0" customHeight="1">
      <c r="AH460" s="5"/>
      <c r="AI460" s="5"/>
      <c r="AJ460" s="5"/>
    </row>
    <row r="461" ht="30.0" customHeight="1">
      <c r="AH461" s="5"/>
      <c r="AI461" s="5"/>
      <c r="AJ461" s="5"/>
    </row>
    <row r="462" ht="30.0" customHeight="1">
      <c r="AH462" s="5"/>
      <c r="AI462" s="5"/>
      <c r="AJ462" s="5"/>
    </row>
    <row r="463" ht="30.0" customHeight="1">
      <c r="AH463" s="5"/>
      <c r="AI463" s="5"/>
      <c r="AJ463" s="5"/>
    </row>
    <row r="464" ht="30.0" customHeight="1">
      <c r="AH464" s="5"/>
      <c r="AI464" s="5"/>
      <c r="AJ464" s="5"/>
    </row>
    <row r="465" ht="30.0" customHeight="1">
      <c r="AH465" s="5"/>
      <c r="AI465" s="5"/>
      <c r="AJ465" s="5"/>
    </row>
    <row r="466" ht="30.0" customHeight="1">
      <c r="AH466" s="5"/>
      <c r="AI466" s="5"/>
      <c r="AJ466" s="5"/>
    </row>
    <row r="467" ht="30.0" customHeight="1">
      <c r="AH467" s="5"/>
      <c r="AI467" s="5"/>
      <c r="AJ467" s="5"/>
    </row>
    <row r="468" ht="30.0" customHeight="1">
      <c r="AH468" s="5"/>
      <c r="AI468" s="5"/>
      <c r="AJ468" s="5"/>
    </row>
    <row r="469" ht="30.0" customHeight="1">
      <c r="AH469" s="5"/>
      <c r="AI469" s="5"/>
      <c r="AJ469" s="5"/>
    </row>
    <row r="470" ht="30.0" customHeight="1">
      <c r="AH470" s="5"/>
      <c r="AI470" s="5"/>
      <c r="AJ470" s="5"/>
    </row>
    <row r="471" ht="30.0" customHeight="1">
      <c r="AH471" s="5"/>
      <c r="AI471" s="5"/>
      <c r="AJ471" s="5"/>
    </row>
    <row r="472" ht="30.0" customHeight="1">
      <c r="AH472" s="5"/>
      <c r="AI472" s="5"/>
      <c r="AJ472" s="5"/>
    </row>
    <row r="473" ht="30.0" customHeight="1">
      <c r="AH473" s="5"/>
      <c r="AI473" s="5"/>
      <c r="AJ473" s="5"/>
    </row>
    <row r="474" ht="30.0" customHeight="1">
      <c r="AH474" s="5"/>
      <c r="AI474" s="5"/>
      <c r="AJ474" s="5"/>
    </row>
    <row r="475" ht="30.0" customHeight="1">
      <c r="AH475" s="5"/>
      <c r="AI475" s="5"/>
      <c r="AJ475" s="5"/>
    </row>
    <row r="476" ht="30.0" customHeight="1">
      <c r="AH476" s="5"/>
      <c r="AI476" s="5"/>
      <c r="AJ476" s="5"/>
    </row>
    <row r="477" ht="30.0" customHeight="1">
      <c r="AH477" s="5"/>
      <c r="AI477" s="5"/>
      <c r="AJ477" s="5"/>
    </row>
    <row r="478" ht="30.0" customHeight="1">
      <c r="AH478" s="5"/>
      <c r="AI478" s="5"/>
      <c r="AJ478" s="5"/>
    </row>
    <row r="479" ht="30.0" customHeight="1">
      <c r="AH479" s="5"/>
      <c r="AI479" s="5"/>
      <c r="AJ479" s="5"/>
    </row>
    <row r="480" ht="30.0" customHeight="1">
      <c r="AH480" s="5"/>
      <c r="AI480" s="5"/>
      <c r="AJ480" s="5"/>
    </row>
    <row r="481" ht="30.0" customHeight="1">
      <c r="AH481" s="5"/>
      <c r="AI481" s="5"/>
      <c r="AJ481" s="5"/>
    </row>
    <row r="482" ht="30.0" customHeight="1">
      <c r="AH482" s="5"/>
      <c r="AI482" s="5"/>
      <c r="AJ482" s="5"/>
    </row>
    <row r="483" ht="30.0" customHeight="1">
      <c r="AH483" s="5"/>
      <c r="AI483" s="5"/>
      <c r="AJ483" s="5"/>
    </row>
    <row r="484" ht="30.0" customHeight="1">
      <c r="AH484" s="5"/>
      <c r="AI484" s="5"/>
      <c r="AJ484" s="5"/>
    </row>
    <row r="485" ht="30.0" customHeight="1">
      <c r="AH485" s="5"/>
      <c r="AI485" s="5"/>
      <c r="AJ485" s="5"/>
    </row>
    <row r="486" ht="30.0" customHeight="1">
      <c r="AH486" s="5"/>
      <c r="AI486" s="5"/>
      <c r="AJ486" s="5"/>
    </row>
    <row r="487" ht="30.0" customHeight="1">
      <c r="AH487" s="5"/>
      <c r="AI487" s="5"/>
      <c r="AJ487" s="5"/>
    </row>
    <row r="488" ht="30.0" customHeight="1">
      <c r="AH488" s="5"/>
      <c r="AI488" s="5"/>
      <c r="AJ488" s="5"/>
    </row>
    <row r="489" ht="30.0" customHeight="1">
      <c r="AH489" s="5"/>
      <c r="AI489" s="5"/>
      <c r="AJ489" s="5"/>
    </row>
    <row r="490" ht="30.0" customHeight="1">
      <c r="AH490" s="5"/>
      <c r="AI490" s="5"/>
      <c r="AJ490" s="5"/>
    </row>
    <row r="491" ht="30.0" customHeight="1">
      <c r="AH491" s="5"/>
      <c r="AI491" s="5"/>
      <c r="AJ491" s="5"/>
    </row>
    <row r="492" ht="30.0" customHeight="1">
      <c r="AH492" s="5"/>
      <c r="AI492" s="5"/>
      <c r="AJ492" s="5"/>
    </row>
    <row r="493" ht="30.0" customHeight="1">
      <c r="AH493" s="5"/>
      <c r="AI493" s="5"/>
      <c r="AJ493" s="5"/>
    </row>
    <row r="494" ht="30.0" customHeight="1">
      <c r="AH494" s="5"/>
      <c r="AI494" s="5"/>
      <c r="AJ494" s="5"/>
    </row>
    <row r="495" ht="30.0" customHeight="1">
      <c r="AH495" s="5"/>
      <c r="AI495" s="5"/>
      <c r="AJ495" s="5"/>
    </row>
    <row r="496" ht="30.0" customHeight="1">
      <c r="AH496" s="5"/>
      <c r="AI496" s="5"/>
      <c r="AJ496" s="5"/>
    </row>
    <row r="497" ht="30.0" customHeight="1">
      <c r="AH497" s="5"/>
      <c r="AI497" s="5"/>
      <c r="AJ497" s="5"/>
    </row>
    <row r="498" ht="30.0" customHeight="1">
      <c r="AH498" s="5"/>
      <c r="AI498" s="5"/>
      <c r="AJ498" s="5"/>
    </row>
    <row r="499" ht="30.0" customHeight="1">
      <c r="AH499" s="5"/>
      <c r="AI499" s="5"/>
      <c r="AJ499" s="5"/>
    </row>
    <row r="500" ht="30.0" customHeight="1">
      <c r="AH500" s="5"/>
      <c r="AI500" s="5"/>
      <c r="AJ500" s="5"/>
    </row>
    <row r="501" ht="30.0" customHeight="1">
      <c r="AH501" s="5"/>
      <c r="AI501" s="5"/>
      <c r="AJ501" s="5"/>
    </row>
    <row r="502" ht="30.0" customHeight="1">
      <c r="AH502" s="5"/>
      <c r="AI502" s="5"/>
      <c r="AJ502" s="5"/>
    </row>
    <row r="503" ht="30.0" customHeight="1">
      <c r="AH503" s="5"/>
      <c r="AI503" s="5"/>
      <c r="AJ503" s="5"/>
    </row>
    <row r="504" ht="30.0" customHeight="1">
      <c r="AH504" s="5"/>
      <c r="AI504" s="5"/>
      <c r="AJ504" s="5"/>
    </row>
    <row r="505" ht="30.0" customHeight="1">
      <c r="AH505" s="5"/>
      <c r="AI505" s="5"/>
      <c r="AJ505" s="5"/>
    </row>
    <row r="506" ht="30.0" customHeight="1">
      <c r="AH506" s="5"/>
      <c r="AI506" s="5"/>
      <c r="AJ506" s="5"/>
    </row>
    <row r="507" ht="30.0" customHeight="1">
      <c r="AH507" s="5"/>
      <c r="AI507" s="5"/>
      <c r="AJ507" s="5"/>
    </row>
    <row r="508" ht="30.0" customHeight="1">
      <c r="AH508" s="5"/>
      <c r="AI508" s="5"/>
      <c r="AJ508" s="5"/>
    </row>
    <row r="509" ht="30.0" customHeight="1">
      <c r="AH509" s="5"/>
      <c r="AI509" s="5"/>
      <c r="AJ509" s="5"/>
    </row>
    <row r="510" ht="30.0" customHeight="1">
      <c r="AH510" s="5"/>
      <c r="AI510" s="5"/>
      <c r="AJ510" s="5"/>
    </row>
    <row r="511" ht="30.0" customHeight="1">
      <c r="AH511" s="5"/>
      <c r="AI511" s="5"/>
      <c r="AJ511" s="5"/>
    </row>
    <row r="512" ht="30.0" customHeight="1">
      <c r="AH512" s="5"/>
      <c r="AI512" s="5"/>
      <c r="AJ512" s="5"/>
    </row>
    <row r="513" ht="30.0" customHeight="1">
      <c r="AH513" s="5"/>
      <c r="AI513" s="5"/>
      <c r="AJ513" s="5"/>
    </row>
    <row r="514" ht="30.0" customHeight="1">
      <c r="AH514" s="5"/>
      <c r="AI514" s="5"/>
      <c r="AJ514" s="5"/>
    </row>
    <row r="515" ht="30.0" customHeight="1">
      <c r="AH515" s="5"/>
      <c r="AI515" s="5"/>
      <c r="AJ515" s="5"/>
    </row>
    <row r="516" ht="30.0" customHeight="1">
      <c r="AH516" s="5"/>
      <c r="AI516" s="5"/>
      <c r="AJ516" s="5"/>
    </row>
    <row r="517" ht="30.0" customHeight="1">
      <c r="AH517" s="5"/>
      <c r="AI517" s="5"/>
      <c r="AJ517" s="5"/>
    </row>
    <row r="518" ht="30.0" customHeight="1">
      <c r="AH518" s="5"/>
      <c r="AI518" s="5"/>
      <c r="AJ518" s="5"/>
    </row>
    <row r="519" ht="30.0" customHeight="1">
      <c r="AH519" s="5"/>
      <c r="AI519" s="5"/>
      <c r="AJ519" s="5"/>
    </row>
    <row r="520" ht="30.0" customHeight="1">
      <c r="AH520" s="5"/>
      <c r="AI520" s="5"/>
      <c r="AJ520" s="5"/>
    </row>
    <row r="521" ht="30.0" customHeight="1">
      <c r="AH521" s="5"/>
      <c r="AI521" s="5"/>
      <c r="AJ521" s="5"/>
    </row>
    <row r="522" ht="30.0" customHeight="1">
      <c r="AH522" s="5"/>
      <c r="AI522" s="5"/>
      <c r="AJ522" s="5"/>
    </row>
    <row r="523" ht="30.0" customHeight="1">
      <c r="AH523" s="5"/>
      <c r="AI523" s="5"/>
      <c r="AJ523" s="5"/>
    </row>
    <row r="524" ht="30.0" customHeight="1">
      <c r="AH524" s="5"/>
      <c r="AI524" s="5"/>
      <c r="AJ524" s="5"/>
    </row>
    <row r="525" ht="30.0" customHeight="1">
      <c r="AH525" s="5"/>
      <c r="AI525" s="5"/>
      <c r="AJ525" s="5"/>
    </row>
    <row r="526" ht="30.0" customHeight="1">
      <c r="AH526" s="5"/>
      <c r="AI526" s="5"/>
      <c r="AJ526" s="5"/>
    </row>
    <row r="527" ht="30.0" customHeight="1">
      <c r="AH527" s="5"/>
      <c r="AI527" s="5"/>
      <c r="AJ527" s="5"/>
    </row>
    <row r="528" ht="30.0" customHeight="1">
      <c r="AH528" s="5"/>
      <c r="AI528" s="5"/>
      <c r="AJ528" s="5"/>
    </row>
    <row r="529" ht="30.0" customHeight="1">
      <c r="AH529" s="5"/>
      <c r="AI529" s="5"/>
      <c r="AJ529" s="5"/>
    </row>
    <row r="530" ht="30.0" customHeight="1">
      <c r="AH530" s="5"/>
      <c r="AI530" s="5"/>
      <c r="AJ530" s="5"/>
    </row>
    <row r="531" ht="30.0" customHeight="1">
      <c r="AH531" s="5"/>
      <c r="AI531" s="5"/>
      <c r="AJ531" s="5"/>
    </row>
    <row r="532" ht="30.0" customHeight="1">
      <c r="AH532" s="5"/>
      <c r="AI532" s="5"/>
      <c r="AJ532" s="5"/>
    </row>
    <row r="533" ht="30.0" customHeight="1">
      <c r="AH533" s="5"/>
      <c r="AI533" s="5"/>
      <c r="AJ533" s="5"/>
    </row>
    <row r="534" ht="30.0" customHeight="1">
      <c r="AH534" s="5"/>
      <c r="AI534" s="5"/>
      <c r="AJ534" s="5"/>
    </row>
    <row r="535" ht="30.0" customHeight="1">
      <c r="AH535" s="5"/>
      <c r="AI535" s="5"/>
      <c r="AJ535" s="5"/>
    </row>
    <row r="536" ht="30.0" customHeight="1">
      <c r="AH536" s="5"/>
      <c r="AI536" s="5"/>
      <c r="AJ536" s="5"/>
    </row>
    <row r="537" ht="30.0" customHeight="1">
      <c r="AH537" s="5"/>
      <c r="AI537" s="5"/>
      <c r="AJ537" s="5"/>
    </row>
    <row r="538" ht="30.0" customHeight="1">
      <c r="AH538" s="5"/>
      <c r="AI538" s="5"/>
      <c r="AJ538" s="5"/>
    </row>
    <row r="539" ht="30.0" customHeight="1">
      <c r="AH539" s="5"/>
      <c r="AI539" s="5"/>
      <c r="AJ539" s="5"/>
    </row>
    <row r="540" ht="30.0" customHeight="1">
      <c r="AH540" s="5"/>
      <c r="AI540" s="5"/>
      <c r="AJ540" s="5"/>
    </row>
    <row r="541" ht="30.0" customHeight="1">
      <c r="AH541" s="5"/>
      <c r="AI541" s="5"/>
      <c r="AJ541" s="5"/>
    </row>
    <row r="542" ht="30.0" customHeight="1">
      <c r="AH542" s="5"/>
      <c r="AI542" s="5"/>
      <c r="AJ542" s="5"/>
    </row>
    <row r="543" ht="30.0" customHeight="1">
      <c r="AH543" s="5"/>
      <c r="AI543" s="5"/>
      <c r="AJ543" s="5"/>
    </row>
    <row r="544" ht="30.0" customHeight="1">
      <c r="AH544" s="5"/>
      <c r="AI544" s="5"/>
      <c r="AJ544" s="5"/>
    </row>
    <row r="545" ht="30.0" customHeight="1">
      <c r="AH545" s="5"/>
      <c r="AI545" s="5"/>
      <c r="AJ545" s="5"/>
    </row>
    <row r="546" ht="30.0" customHeight="1">
      <c r="AH546" s="5"/>
      <c r="AI546" s="5"/>
      <c r="AJ546" s="5"/>
    </row>
    <row r="547" ht="30.0" customHeight="1">
      <c r="AH547" s="5"/>
      <c r="AI547" s="5"/>
      <c r="AJ547" s="5"/>
    </row>
    <row r="548" ht="30.0" customHeight="1">
      <c r="AH548" s="5"/>
      <c r="AI548" s="5"/>
      <c r="AJ548" s="5"/>
    </row>
    <row r="549" ht="30.0" customHeight="1">
      <c r="AH549" s="5"/>
      <c r="AI549" s="5"/>
      <c r="AJ549" s="5"/>
    </row>
    <row r="550" ht="30.0" customHeight="1">
      <c r="AH550" s="5"/>
      <c r="AI550" s="5"/>
      <c r="AJ550" s="5"/>
    </row>
    <row r="551" ht="30.0" customHeight="1">
      <c r="AH551" s="5"/>
      <c r="AI551" s="5"/>
      <c r="AJ551" s="5"/>
    </row>
    <row r="552" ht="30.0" customHeight="1">
      <c r="AH552" s="5"/>
      <c r="AI552" s="5"/>
      <c r="AJ552" s="5"/>
    </row>
    <row r="553" ht="30.0" customHeight="1">
      <c r="AH553" s="5"/>
      <c r="AI553" s="5"/>
      <c r="AJ553" s="5"/>
    </row>
    <row r="554" ht="30.0" customHeight="1">
      <c r="AH554" s="5"/>
      <c r="AI554" s="5"/>
      <c r="AJ554" s="5"/>
    </row>
    <row r="555" ht="30.0" customHeight="1">
      <c r="AH555" s="5"/>
      <c r="AI555" s="5"/>
      <c r="AJ555" s="5"/>
    </row>
    <row r="556" ht="30.0" customHeight="1">
      <c r="AH556" s="5"/>
      <c r="AI556" s="5"/>
      <c r="AJ556" s="5"/>
    </row>
    <row r="557" ht="30.0" customHeight="1">
      <c r="AH557" s="5"/>
      <c r="AI557" s="5"/>
      <c r="AJ557" s="5"/>
    </row>
    <row r="558" ht="30.0" customHeight="1">
      <c r="AH558" s="5"/>
      <c r="AI558" s="5"/>
      <c r="AJ558" s="5"/>
    </row>
    <row r="559" ht="30.0" customHeight="1">
      <c r="AH559" s="5"/>
      <c r="AI559" s="5"/>
      <c r="AJ559" s="5"/>
    </row>
    <row r="560" ht="30.0" customHeight="1">
      <c r="AH560" s="5"/>
      <c r="AI560" s="5"/>
      <c r="AJ560" s="5"/>
    </row>
    <row r="561" ht="30.0" customHeight="1">
      <c r="AH561" s="5"/>
      <c r="AI561" s="5"/>
      <c r="AJ561" s="5"/>
    </row>
    <row r="562" ht="30.0" customHeight="1">
      <c r="AH562" s="5"/>
      <c r="AI562" s="5"/>
      <c r="AJ562" s="5"/>
    </row>
    <row r="563" ht="30.0" customHeight="1">
      <c r="AH563" s="5"/>
      <c r="AI563" s="5"/>
      <c r="AJ563" s="5"/>
    </row>
    <row r="564" ht="30.0" customHeight="1">
      <c r="AH564" s="5"/>
      <c r="AI564" s="5"/>
      <c r="AJ564" s="5"/>
    </row>
    <row r="565" ht="30.0" customHeight="1">
      <c r="AH565" s="5"/>
      <c r="AI565" s="5"/>
      <c r="AJ565" s="5"/>
    </row>
    <row r="566" ht="30.0" customHeight="1">
      <c r="AH566" s="5"/>
      <c r="AI566" s="5"/>
      <c r="AJ566" s="5"/>
    </row>
    <row r="567" ht="30.0" customHeight="1">
      <c r="AH567" s="5"/>
      <c r="AI567" s="5"/>
      <c r="AJ567" s="5"/>
    </row>
    <row r="568" ht="30.0" customHeight="1">
      <c r="AH568" s="5"/>
      <c r="AI568" s="5"/>
      <c r="AJ568" s="5"/>
    </row>
    <row r="569" ht="30.0" customHeight="1">
      <c r="AH569" s="5"/>
      <c r="AI569" s="5"/>
      <c r="AJ569" s="5"/>
    </row>
    <row r="570" ht="30.0" customHeight="1">
      <c r="AH570" s="5"/>
      <c r="AI570" s="5"/>
      <c r="AJ570" s="5"/>
    </row>
    <row r="571" ht="30.0" customHeight="1">
      <c r="AH571" s="5"/>
      <c r="AI571" s="5"/>
      <c r="AJ571" s="5"/>
    </row>
    <row r="572" ht="30.0" customHeight="1">
      <c r="AH572" s="5"/>
      <c r="AI572" s="5"/>
      <c r="AJ572" s="5"/>
    </row>
    <row r="573" ht="30.0" customHeight="1">
      <c r="AH573" s="5"/>
      <c r="AI573" s="5"/>
      <c r="AJ573" s="5"/>
    </row>
    <row r="574" ht="30.0" customHeight="1">
      <c r="AH574" s="5"/>
      <c r="AI574" s="5"/>
      <c r="AJ574" s="5"/>
    </row>
    <row r="575" ht="30.0" customHeight="1">
      <c r="AH575" s="5"/>
      <c r="AI575" s="5"/>
      <c r="AJ575" s="5"/>
    </row>
    <row r="576" ht="30.0" customHeight="1">
      <c r="AH576" s="5"/>
      <c r="AI576" s="5"/>
      <c r="AJ576" s="5"/>
    </row>
    <row r="577" ht="30.0" customHeight="1">
      <c r="AH577" s="5"/>
      <c r="AI577" s="5"/>
      <c r="AJ577" s="5"/>
    </row>
    <row r="578" ht="30.0" customHeight="1">
      <c r="AH578" s="5"/>
      <c r="AI578" s="5"/>
      <c r="AJ578" s="5"/>
    </row>
    <row r="579" ht="30.0" customHeight="1">
      <c r="AH579" s="5"/>
      <c r="AI579" s="5"/>
      <c r="AJ579" s="5"/>
    </row>
    <row r="580" ht="30.0" customHeight="1">
      <c r="AH580" s="5"/>
      <c r="AI580" s="5"/>
      <c r="AJ580" s="5"/>
    </row>
    <row r="581" ht="30.0" customHeight="1">
      <c r="AH581" s="5"/>
      <c r="AI581" s="5"/>
      <c r="AJ581" s="5"/>
    </row>
    <row r="582" ht="30.0" customHeight="1">
      <c r="AH582" s="5"/>
      <c r="AI582" s="5"/>
      <c r="AJ582" s="5"/>
    </row>
    <row r="583" ht="30.0" customHeight="1">
      <c r="AH583" s="5"/>
      <c r="AI583" s="5"/>
      <c r="AJ583" s="5"/>
    </row>
    <row r="584" ht="30.0" customHeight="1">
      <c r="AH584" s="5"/>
      <c r="AI584" s="5"/>
      <c r="AJ584" s="5"/>
    </row>
    <row r="585" ht="30.0" customHeight="1">
      <c r="AH585" s="5"/>
      <c r="AI585" s="5"/>
      <c r="AJ585" s="5"/>
    </row>
    <row r="586" ht="30.0" customHeight="1">
      <c r="AH586" s="5"/>
      <c r="AI586" s="5"/>
      <c r="AJ586" s="5"/>
    </row>
    <row r="587" ht="30.0" customHeight="1">
      <c r="AH587" s="5"/>
      <c r="AI587" s="5"/>
      <c r="AJ587" s="5"/>
    </row>
    <row r="588" ht="30.0" customHeight="1">
      <c r="AH588" s="5"/>
      <c r="AI588" s="5"/>
      <c r="AJ588" s="5"/>
    </row>
    <row r="589" ht="30.0" customHeight="1">
      <c r="AH589" s="5"/>
      <c r="AI589" s="5"/>
      <c r="AJ589" s="5"/>
    </row>
    <row r="590" ht="30.0" customHeight="1">
      <c r="AH590" s="5"/>
      <c r="AI590" s="5"/>
      <c r="AJ590" s="5"/>
    </row>
    <row r="591" ht="30.0" customHeight="1">
      <c r="AH591" s="5"/>
      <c r="AI591" s="5"/>
      <c r="AJ591" s="5"/>
    </row>
    <row r="592" ht="30.0" customHeight="1">
      <c r="AH592" s="5"/>
      <c r="AI592" s="5"/>
      <c r="AJ592" s="5"/>
    </row>
    <row r="593" ht="30.0" customHeight="1">
      <c r="AH593" s="5"/>
      <c r="AI593" s="5"/>
      <c r="AJ593" s="5"/>
    </row>
    <row r="594" ht="30.0" customHeight="1">
      <c r="AH594" s="5"/>
      <c r="AI594" s="5"/>
      <c r="AJ594" s="5"/>
    </row>
    <row r="595" ht="30.0" customHeight="1">
      <c r="AH595" s="5"/>
      <c r="AI595" s="5"/>
      <c r="AJ595" s="5"/>
    </row>
    <row r="596" ht="30.0" customHeight="1">
      <c r="AH596" s="5"/>
      <c r="AI596" s="5"/>
      <c r="AJ596" s="5"/>
    </row>
    <row r="597" ht="30.0" customHeight="1">
      <c r="AH597" s="5"/>
      <c r="AI597" s="5"/>
      <c r="AJ597" s="5"/>
    </row>
    <row r="598" ht="30.0" customHeight="1">
      <c r="AH598" s="5"/>
      <c r="AI598" s="5"/>
      <c r="AJ598" s="5"/>
    </row>
    <row r="599" ht="30.0" customHeight="1">
      <c r="AH599" s="5"/>
      <c r="AI599" s="5"/>
      <c r="AJ599" s="5"/>
    </row>
    <row r="600" ht="30.0" customHeight="1">
      <c r="AH600" s="5"/>
      <c r="AI600" s="5"/>
      <c r="AJ600" s="5"/>
    </row>
    <row r="601" ht="30.0" customHeight="1">
      <c r="AH601" s="5"/>
      <c r="AI601" s="5"/>
      <c r="AJ601" s="5"/>
    </row>
    <row r="602" ht="30.0" customHeight="1">
      <c r="AH602" s="5"/>
      <c r="AI602" s="5"/>
      <c r="AJ602" s="5"/>
    </row>
    <row r="603" ht="30.0" customHeight="1">
      <c r="AH603" s="5"/>
      <c r="AI603" s="5"/>
      <c r="AJ603" s="5"/>
    </row>
    <row r="604" ht="30.0" customHeight="1">
      <c r="AH604" s="5"/>
      <c r="AI604" s="5"/>
      <c r="AJ604" s="5"/>
    </row>
    <row r="605" ht="30.0" customHeight="1">
      <c r="AH605" s="5"/>
      <c r="AI605" s="5"/>
      <c r="AJ605" s="5"/>
    </row>
    <row r="606" ht="30.0" customHeight="1">
      <c r="AH606" s="5"/>
      <c r="AI606" s="5"/>
      <c r="AJ606" s="5"/>
    </row>
    <row r="607" ht="30.0" customHeight="1">
      <c r="AH607" s="5"/>
      <c r="AI607" s="5"/>
      <c r="AJ607" s="5"/>
    </row>
    <row r="608" ht="30.0" customHeight="1">
      <c r="AH608" s="5"/>
      <c r="AI608" s="5"/>
      <c r="AJ608" s="5"/>
    </row>
    <row r="609" ht="30.0" customHeight="1">
      <c r="AH609" s="5"/>
      <c r="AI609" s="5"/>
      <c r="AJ609" s="5"/>
    </row>
    <row r="610" ht="30.0" customHeight="1">
      <c r="AH610" s="5"/>
      <c r="AI610" s="5"/>
      <c r="AJ610" s="5"/>
    </row>
    <row r="611" ht="30.0" customHeight="1">
      <c r="AH611" s="5"/>
      <c r="AI611" s="5"/>
      <c r="AJ611" s="5"/>
    </row>
    <row r="612" ht="30.0" customHeight="1">
      <c r="AH612" s="5"/>
      <c r="AI612" s="5"/>
      <c r="AJ612" s="5"/>
    </row>
    <row r="613" ht="30.0" customHeight="1">
      <c r="AH613" s="5"/>
      <c r="AI613" s="5"/>
      <c r="AJ613" s="5"/>
    </row>
    <row r="614" ht="30.0" customHeight="1">
      <c r="AH614" s="5"/>
      <c r="AI614" s="5"/>
      <c r="AJ614" s="5"/>
    </row>
    <row r="615" ht="30.0" customHeight="1">
      <c r="AH615" s="5"/>
      <c r="AI615" s="5"/>
      <c r="AJ615" s="5"/>
    </row>
    <row r="616" ht="30.0" customHeight="1">
      <c r="AH616" s="5"/>
      <c r="AI616" s="5"/>
      <c r="AJ616" s="5"/>
    </row>
    <row r="617" ht="30.0" customHeight="1">
      <c r="AH617" s="5"/>
      <c r="AI617" s="5"/>
      <c r="AJ617" s="5"/>
    </row>
    <row r="618" ht="30.0" customHeight="1">
      <c r="AH618" s="5"/>
      <c r="AI618" s="5"/>
      <c r="AJ618" s="5"/>
    </row>
    <row r="619" ht="30.0" customHeight="1">
      <c r="AH619" s="5"/>
      <c r="AI619" s="5"/>
      <c r="AJ619" s="5"/>
    </row>
    <row r="620" ht="30.0" customHeight="1">
      <c r="AH620" s="5"/>
      <c r="AI620" s="5"/>
      <c r="AJ620" s="5"/>
    </row>
    <row r="621" ht="30.0" customHeight="1">
      <c r="AH621" s="5"/>
      <c r="AI621" s="5"/>
      <c r="AJ621" s="5"/>
    </row>
    <row r="622" ht="30.0" customHeight="1">
      <c r="AH622" s="5"/>
      <c r="AI622" s="5"/>
      <c r="AJ622" s="5"/>
    </row>
    <row r="623" ht="30.0" customHeight="1">
      <c r="AH623" s="5"/>
      <c r="AI623" s="5"/>
      <c r="AJ623" s="5"/>
    </row>
    <row r="624" ht="30.0" customHeight="1">
      <c r="AH624" s="5"/>
      <c r="AI624" s="5"/>
      <c r="AJ624" s="5"/>
    </row>
    <row r="625" ht="30.0" customHeight="1">
      <c r="AH625" s="5"/>
      <c r="AI625" s="5"/>
      <c r="AJ625" s="5"/>
    </row>
    <row r="626" ht="30.0" customHeight="1">
      <c r="AH626" s="5"/>
      <c r="AI626" s="5"/>
      <c r="AJ626" s="5"/>
    </row>
    <row r="627" ht="30.0" customHeight="1">
      <c r="AH627" s="5"/>
      <c r="AI627" s="5"/>
      <c r="AJ627" s="5"/>
    </row>
    <row r="628" ht="30.0" customHeight="1">
      <c r="AH628" s="5"/>
      <c r="AI628" s="5"/>
      <c r="AJ628" s="5"/>
    </row>
    <row r="629" ht="30.0" customHeight="1">
      <c r="AH629" s="5"/>
      <c r="AI629" s="5"/>
      <c r="AJ629" s="5"/>
    </row>
    <row r="630" ht="30.0" customHeight="1">
      <c r="AH630" s="5"/>
      <c r="AI630" s="5"/>
      <c r="AJ630" s="5"/>
    </row>
    <row r="631" ht="30.0" customHeight="1">
      <c r="AH631" s="5"/>
      <c r="AI631" s="5"/>
      <c r="AJ631" s="5"/>
    </row>
    <row r="632" ht="30.0" customHeight="1">
      <c r="AH632" s="5"/>
      <c r="AI632" s="5"/>
      <c r="AJ632" s="5"/>
    </row>
    <row r="633" ht="30.0" customHeight="1">
      <c r="AH633" s="5"/>
      <c r="AI633" s="5"/>
      <c r="AJ633" s="5"/>
    </row>
    <row r="634" ht="30.0" customHeight="1">
      <c r="AH634" s="5"/>
      <c r="AI634" s="5"/>
      <c r="AJ634" s="5"/>
    </row>
    <row r="635" ht="30.0" customHeight="1">
      <c r="AH635" s="5"/>
      <c r="AI635" s="5"/>
      <c r="AJ635" s="5"/>
    </row>
    <row r="636" ht="30.0" customHeight="1">
      <c r="AH636" s="5"/>
      <c r="AI636" s="5"/>
      <c r="AJ636" s="5"/>
    </row>
    <row r="637" ht="30.0" customHeight="1">
      <c r="AH637" s="5"/>
      <c r="AI637" s="5"/>
      <c r="AJ637" s="5"/>
    </row>
    <row r="638" ht="30.0" customHeight="1">
      <c r="AH638" s="5"/>
      <c r="AI638" s="5"/>
      <c r="AJ638" s="5"/>
    </row>
    <row r="639" ht="30.0" customHeight="1">
      <c r="AH639" s="5"/>
      <c r="AI639" s="5"/>
      <c r="AJ639" s="5"/>
    </row>
    <row r="640" ht="30.0" customHeight="1">
      <c r="AH640" s="5"/>
      <c r="AI640" s="5"/>
      <c r="AJ640" s="5"/>
    </row>
    <row r="641" ht="30.0" customHeight="1">
      <c r="AH641" s="5"/>
      <c r="AI641" s="5"/>
      <c r="AJ641" s="5"/>
    </row>
    <row r="642" ht="30.0" customHeight="1">
      <c r="AH642" s="5"/>
      <c r="AI642" s="5"/>
      <c r="AJ642" s="5"/>
    </row>
    <row r="643" ht="30.0" customHeight="1">
      <c r="AH643" s="5"/>
      <c r="AI643" s="5"/>
      <c r="AJ643" s="5"/>
    </row>
    <row r="644" ht="30.0" customHeight="1">
      <c r="AH644" s="5"/>
      <c r="AI644" s="5"/>
      <c r="AJ644" s="5"/>
    </row>
    <row r="645" ht="30.0" customHeight="1">
      <c r="AH645" s="5"/>
      <c r="AI645" s="5"/>
      <c r="AJ645" s="5"/>
    </row>
    <row r="646" ht="30.0" customHeight="1">
      <c r="AH646" s="5"/>
      <c r="AI646" s="5"/>
      <c r="AJ646" s="5"/>
    </row>
    <row r="647" ht="30.0" customHeight="1">
      <c r="AH647" s="5"/>
      <c r="AI647" s="5"/>
      <c r="AJ647" s="5"/>
    </row>
    <row r="648" ht="30.0" customHeight="1">
      <c r="AH648" s="5"/>
      <c r="AI648" s="5"/>
      <c r="AJ648" s="5"/>
    </row>
    <row r="649" ht="30.0" customHeight="1">
      <c r="AH649" s="5"/>
      <c r="AI649" s="5"/>
      <c r="AJ649" s="5"/>
    </row>
    <row r="650" ht="30.0" customHeight="1">
      <c r="AH650" s="5"/>
      <c r="AI650" s="5"/>
      <c r="AJ650" s="5"/>
    </row>
    <row r="651" ht="30.0" customHeight="1">
      <c r="AH651" s="5"/>
      <c r="AI651" s="5"/>
      <c r="AJ651" s="5"/>
    </row>
    <row r="652" ht="30.0" customHeight="1">
      <c r="AH652" s="5"/>
      <c r="AI652" s="5"/>
      <c r="AJ652" s="5"/>
    </row>
    <row r="653" ht="30.0" customHeight="1">
      <c r="AH653" s="5"/>
      <c r="AI653" s="5"/>
      <c r="AJ653" s="5"/>
    </row>
    <row r="654" ht="30.0" customHeight="1">
      <c r="AH654" s="5"/>
      <c r="AI654" s="5"/>
      <c r="AJ654" s="5"/>
    </row>
    <row r="655" ht="30.0" customHeight="1">
      <c r="AH655" s="5"/>
      <c r="AI655" s="5"/>
      <c r="AJ655" s="5"/>
    </row>
    <row r="656" ht="30.0" customHeight="1">
      <c r="AH656" s="5"/>
      <c r="AI656" s="5"/>
      <c r="AJ656" s="5"/>
    </row>
    <row r="657" ht="30.0" customHeight="1">
      <c r="AH657" s="5"/>
      <c r="AI657" s="5"/>
      <c r="AJ657" s="5"/>
    </row>
    <row r="658" ht="30.0" customHeight="1">
      <c r="AH658" s="5"/>
      <c r="AI658" s="5"/>
      <c r="AJ658" s="5"/>
    </row>
    <row r="659" ht="30.0" customHeight="1">
      <c r="AH659" s="5"/>
      <c r="AI659" s="5"/>
      <c r="AJ659" s="5"/>
    </row>
    <row r="660" ht="30.0" customHeight="1">
      <c r="AH660" s="5"/>
      <c r="AI660" s="5"/>
      <c r="AJ660" s="5"/>
    </row>
    <row r="661" ht="30.0" customHeight="1">
      <c r="AH661" s="5"/>
      <c r="AI661" s="5"/>
      <c r="AJ661" s="5"/>
    </row>
    <row r="662" ht="30.0" customHeight="1">
      <c r="AH662" s="5"/>
      <c r="AI662" s="5"/>
      <c r="AJ662" s="5"/>
    </row>
    <row r="663" ht="30.0" customHeight="1">
      <c r="AH663" s="5"/>
      <c r="AI663" s="5"/>
      <c r="AJ663" s="5"/>
    </row>
    <row r="664" ht="30.0" customHeight="1">
      <c r="AH664" s="5"/>
      <c r="AI664" s="5"/>
      <c r="AJ664" s="5"/>
    </row>
    <row r="665" ht="30.0" customHeight="1">
      <c r="AH665" s="5"/>
      <c r="AI665" s="5"/>
      <c r="AJ665" s="5"/>
    </row>
    <row r="666" ht="30.0" customHeight="1">
      <c r="AH666" s="5"/>
      <c r="AI666" s="5"/>
      <c r="AJ666" s="5"/>
    </row>
    <row r="667" ht="30.0" customHeight="1">
      <c r="AH667" s="5"/>
      <c r="AI667" s="5"/>
      <c r="AJ667" s="5"/>
    </row>
    <row r="668" ht="30.0" customHeight="1">
      <c r="AH668" s="5"/>
      <c r="AI668" s="5"/>
      <c r="AJ668" s="5"/>
    </row>
    <row r="669" ht="30.0" customHeight="1">
      <c r="AH669" s="5"/>
      <c r="AI669" s="5"/>
      <c r="AJ669" s="5"/>
    </row>
    <row r="670" ht="30.0" customHeight="1">
      <c r="AH670" s="5"/>
      <c r="AI670" s="5"/>
      <c r="AJ670" s="5"/>
    </row>
    <row r="671" ht="30.0" customHeight="1">
      <c r="AH671" s="5"/>
      <c r="AI671" s="5"/>
      <c r="AJ671" s="5"/>
    </row>
    <row r="672" ht="30.0" customHeight="1">
      <c r="AH672" s="5"/>
      <c r="AI672" s="5"/>
      <c r="AJ672" s="5"/>
    </row>
    <row r="673" ht="30.0" customHeight="1">
      <c r="AH673" s="5"/>
      <c r="AI673" s="5"/>
      <c r="AJ673" s="5"/>
    </row>
    <row r="674" ht="30.0" customHeight="1">
      <c r="AH674" s="5"/>
      <c r="AI674" s="5"/>
      <c r="AJ674" s="5"/>
    </row>
    <row r="675" ht="30.0" customHeight="1">
      <c r="AH675" s="5"/>
      <c r="AI675" s="5"/>
      <c r="AJ675" s="5"/>
    </row>
    <row r="676" ht="30.0" customHeight="1">
      <c r="AH676" s="5"/>
      <c r="AI676" s="5"/>
      <c r="AJ676" s="5"/>
    </row>
    <row r="677" ht="30.0" customHeight="1">
      <c r="AH677" s="5"/>
      <c r="AI677" s="5"/>
      <c r="AJ677" s="5"/>
    </row>
    <row r="678" ht="30.0" customHeight="1">
      <c r="AH678" s="5"/>
      <c r="AI678" s="5"/>
      <c r="AJ678" s="5"/>
    </row>
    <row r="679" ht="30.0" customHeight="1">
      <c r="AH679" s="5"/>
      <c r="AI679" s="5"/>
      <c r="AJ679" s="5"/>
    </row>
    <row r="680" ht="30.0" customHeight="1">
      <c r="AH680" s="5"/>
      <c r="AI680" s="5"/>
      <c r="AJ680" s="5"/>
    </row>
    <row r="681" ht="30.0" customHeight="1">
      <c r="AH681" s="5"/>
      <c r="AI681" s="5"/>
      <c r="AJ681" s="5"/>
    </row>
    <row r="682" ht="30.0" customHeight="1">
      <c r="AH682" s="5"/>
      <c r="AI682" s="5"/>
      <c r="AJ682" s="5"/>
    </row>
    <row r="683" ht="30.0" customHeight="1">
      <c r="AH683" s="5"/>
      <c r="AI683" s="5"/>
      <c r="AJ683" s="5"/>
    </row>
    <row r="684" ht="30.0" customHeight="1">
      <c r="AH684" s="5"/>
      <c r="AI684" s="5"/>
      <c r="AJ684" s="5"/>
    </row>
    <row r="685" ht="30.0" customHeight="1">
      <c r="AH685" s="5"/>
      <c r="AI685" s="5"/>
      <c r="AJ685" s="5"/>
    </row>
    <row r="686" ht="30.0" customHeight="1">
      <c r="AH686" s="5"/>
      <c r="AI686" s="5"/>
      <c r="AJ686" s="5"/>
    </row>
    <row r="687" ht="30.0" customHeight="1">
      <c r="AH687" s="5"/>
      <c r="AI687" s="5"/>
      <c r="AJ687" s="5"/>
    </row>
    <row r="688" ht="30.0" customHeight="1">
      <c r="AH688" s="5"/>
      <c r="AI688" s="5"/>
      <c r="AJ688" s="5"/>
    </row>
    <row r="689" ht="30.0" customHeight="1">
      <c r="AH689" s="5"/>
      <c r="AI689" s="5"/>
      <c r="AJ689" s="5"/>
    </row>
    <row r="690" ht="30.0" customHeight="1">
      <c r="AH690" s="5"/>
      <c r="AI690" s="5"/>
      <c r="AJ690" s="5"/>
    </row>
    <row r="691" ht="30.0" customHeight="1">
      <c r="AH691" s="5"/>
      <c r="AI691" s="5"/>
      <c r="AJ691" s="5"/>
    </row>
    <row r="692" ht="30.0" customHeight="1">
      <c r="AH692" s="5"/>
      <c r="AI692" s="5"/>
      <c r="AJ692" s="5"/>
    </row>
    <row r="693" ht="30.0" customHeight="1">
      <c r="AH693" s="5"/>
      <c r="AI693" s="5"/>
      <c r="AJ693" s="5"/>
    </row>
    <row r="694" ht="30.0" customHeight="1">
      <c r="AH694" s="5"/>
      <c r="AI694" s="5"/>
      <c r="AJ694" s="5"/>
    </row>
    <row r="695" ht="30.0" customHeight="1">
      <c r="AH695" s="5"/>
      <c r="AI695" s="5"/>
      <c r="AJ695" s="5"/>
    </row>
    <row r="696" ht="30.0" customHeight="1">
      <c r="AH696" s="5"/>
      <c r="AI696" s="5"/>
      <c r="AJ696" s="5"/>
    </row>
    <row r="697" ht="30.0" customHeight="1">
      <c r="AH697" s="5"/>
      <c r="AI697" s="5"/>
      <c r="AJ697" s="5"/>
    </row>
    <row r="698" ht="30.0" customHeight="1">
      <c r="AH698" s="5"/>
      <c r="AI698" s="5"/>
      <c r="AJ698" s="5"/>
    </row>
    <row r="699" ht="30.0" customHeight="1">
      <c r="AH699" s="5"/>
      <c r="AI699" s="5"/>
      <c r="AJ699" s="5"/>
    </row>
    <row r="700" ht="30.0" customHeight="1">
      <c r="AH700" s="5"/>
      <c r="AI700" s="5"/>
      <c r="AJ700" s="5"/>
    </row>
    <row r="701" ht="30.0" customHeight="1">
      <c r="AH701" s="5"/>
      <c r="AI701" s="5"/>
      <c r="AJ701" s="5"/>
    </row>
    <row r="702" ht="30.0" customHeight="1">
      <c r="AH702" s="5"/>
      <c r="AI702" s="5"/>
      <c r="AJ702" s="5"/>
    </row>
    <row r="703" ht="30.0" customHeight="1">
      <c r="AH703" s="5"/>
      <c r="AI703" s="5"/>
      <c r="AJ703" s="5"/>
    </row>
    <row r="704" ht="30.0" customHeight="1">
      <c r="AH704" s="5"/>
      <c r="AI704" s="5"/>
      <c r="AJ704" s="5"/>
    </row>
    <row r="705" ht="30.0" customHeight="1">
      <c r="AH705" s="5"/>
      <c r="AI705" s="5"/>
      <c r="AJ705" s="5"/>
    </row>
    <row r="706" ht="30.0" customHeight="1">
      <c r="AH706" s="5"/>
      <c r="AI706" s="5"/>
      <c r="AJ706" s="5"/>
    </row>
    <row r="707" ht="30.0" customHeight="1">
      <c r="AH707" s="5"/>
      <c r="AI707" s="5"/>
      <c r="AJ707" s="5"/>
    </row>
    <row r="708" ht="30.0" customHeight="1">
      <c r="AH708" s="5"/>
      <c r="AI708" s="5"/>
      <c r="AJ708" s="5"/>
    </row>
    <row r="709" ht="30.0" customHeight="1">
      <c r="AH709" s="5"/>
      <c r="AI709" s="5"/>
      <c r="AJ709" s="5"/>
    </row>
    <row r="710" ht="30.0" customHeight="1">
      <c r="AH710" s="5"/>
      <c r="AI710" s="5"/>
      <c r="AJ710" s="5"/>
    </row>
    <row r="711" ht="30.0" customHeight="1">
      <c r="AH711" s="5"/>
      <c r="AI711" s="5"/>
      <c r="AJ711" s="5"/>
    </row>
    <row r="712" ht="30.0" customHeight="1">
      <c r="AH712" s="5"/>
      <c r="AI712" s="5"/>
      <c r="AJ712" s="5"/>
    </row>
    <row r="713" ht="30.0" customHeight="1">
      <c r="AH713" s="5"/>
      <c r="AI713" s="5"/>
      <c r="AJ713" s="5"/>
    </row>
    <row r="714" ht="30.0" customHeight="1">
      <c r="AH714" s="5"/>
      <c r="AI714" s="5"/>
      <c r="AJ714" s="5"/>
    </row>
    <row r="715" ht="30.0" customHeight="1">
      <c r="AH715" s="5"/>
      <c r="AI715" s="5"/>
      <c r="AJ715" s="5"/>
    </row>
    <row r="716" ht="30.0" customHeight="1">
      <c r="AH716" s="5"/>
      <c r="AI716" s="5"/>
      <c r="AJ716" s="5"/>
    </row>
    <row r="717" ht="30.0" customHeight="1">
      <c r="AH717" s="5"/>
      <c r="AI717" s="5"/>
      <c r="AJ717" s="5"/>
    </row>
    <row r="718" ht="30.0" customHeight="1">
      <c r="AH718" s="5"/>
      <c r="AI718" s="5"/>
      <c r="AJ718" s="5"/>
    </row>
    <row r="719" ht="30.0" customHeight="1">
      <c r="AH719" s="5"/>
      <c r="AI719" s="5"/>
      <c r="AJ719" s="5"/>
    </row>
    <row r="720" ht="30.0" customHeight="1">
      <c r="AH720" s="5"/>
      <c r="AI720" s="5"/>
      <c r="AJ720" s="5"/>
    </row>
    <row r="721" ht="30.0" customHeight="1">
      <c r="AH721" s="5"/>
      <c r="AI721" s="5"/>
      <c r="AJ721" s="5"/>
    </row>
    <row r="722" ht="30.0" customHeight="1">
      <c r="AH722" s="5"/>
      <c r="AI722" s="5"/>
      <c r="AJ722" s="5"/>
    </row>
    <row r="723" ht="30.0" customHeight="1">
      <c r="AH723" s="5"/>
      <c r="AI723" s="5"/>
      <c r="AJ723" s="5"/>
    </row>
    <row r="724" ht="30.0" customHeight="1">
      <c r="AH724" s="5"/>
      <c r="AI724" s="5"/>
      <c r="AJ724" s="5"/>
    </row>
    <row r="725" ht="30.0" customHeight="1">
      <c r="AH725" s="5"/>
      <c r="AI725" s="5"/>
      <c r="AJ725" s="5"/>
    </row>
    <row r="726" ht="30.0" customHeight="1">
      <c r="AH726" s="5"/>
      <c r="AI726" s="5"/>
      <c r="AJ726" s="5"/>
    </row>
    <row r="727" ht="30.0" customHeight="1">
      <c r="AH727" s="5"/>
      <c r="AI727" s="5"/>
      <c r="AJ727" s="5"/>
    </row>
    <row r="728" ht="30.0" customHeight="1">
      <c r="AH728" s="5"/>
      <c r="AI728" s="5"/>
      <c r="AJ728" s="5"/>
    </row>
    <row r="729" ht="30.0" customHeight="1">
      <c r="AH729" s="5"/>
      <c r="AI729" s="5"/>
      <c r="AJ729" s="5"/>
    </row>
    <row r="730" ht="30.0" customHeight="1">
      <c r="AH730" s="5"/>
      <c r="AI730" s="5"/>
      <c r="AJ730" s="5"/>
    </row>
    <row r="731" ht="30.0" customHeight="1">
      <c r="AH731" s="5"/>
      <c r="AI731" s="5"/>
      <c r="AJ731" s="5"/>
    </row>
    <row r="732" ht="30.0" customHeight="1">
      <c r="AH732" s="5"/>
      <c r="AI732" s="5"/>
      <c r="AJ732" s="5"/>
    </row>
    <row r="733" ht="30.0" customHeight="1">
      <c r="AH733" s="5"/>
      <c r="AI733" s="5"/>
      <c r="AJ733" s="5"/>
    </row>
    <row r="734" ht="30.0" customHeight="1">
      <c r="AH734" s="5"/>
      <c r="AI734" s="5"/>
      <c r="AJ734" s="5"/>
    </row>
    <row r="735" ht="30.0" customHeight="1">
      <c r="AH735" s="5"/>
      <c r="AI735" s="5"/>
      <c r="AJ735" s="5"/>
    </row>
    <row r="736" ht="30.0" customHeight="1">
      <c r="AH736" s="5"/>
      <c r="AI736" s="5"/>
      <c r="AJ736" s="5"/>
    </row>
    <row r="737" ht="30.0" customHeight="1">
      <c r="AH737" s="5"/>
      <c r="AI737" s="5"/>
      <c r="AJ737" s="5"/>
    </row>
    <row r="738" ht="30.0" customHeight="1">
      <c r="AH738" s="5"/>
      <c r="AI738" s="5"/>
      <c r="AJ738" s="5"/>
    </row>
    <row r="739" ht="30.0" customHeight="1">
      <c r="AH739" s="5"/>
      <c r="AI739" s="5"/>
      <c r="AJ739" s="5"/>
    </row>
    <row r="740" ht="30.0" customHeight="1">
      <c r="AH740" s="5"/>
      <c r="AI740" s="5"/>
      <c r="AJ740" s="5"/>
    </row>
    <row r="741" ht="30.0" customHeight="1">
      <c r="AH741" s="5"/>
      <c r="AI741" s="5"/>
      <c r="AJ741" s="5"/>
    </row>
    <row r="742" ht="30.0" customHeight="1">
      <c r="AH742" s="5"/>
      <c r="AI742" s="5"/>
      <c r="AJ742" s="5"/>
    </row>
    <row r="743" ht="30.0" customHeight="1">
      <c r="AH743" s="5"/>
      <c r="AI743" s="5"/>
      <c r="AJ743" s="5"/>
    </row>
    <row r="744" ht="30.0" customHeight="1">
      <c r="AH744" s="5"/>
      <c r="AI744" s="5"/>
      <c r="AJ744" s="5"/>
    </row>
    <row r="745" ht="30.0" customHeight="1">
      <c r="AH745" s="5"/>
      <c r="AI745" s="5"/>
      <c r="AJ745" s="5"/>
    </row>
    <row r="746" ht="30.0" customHeight="1">
      <c r="AH746" s="5"/>
      <c r="AI746" s="5"/>
      <c r="AJ746" s="5"/>
    </row>
    <row r="747" ht="30.0" customHeight="1">
      <c r="AH747" s="5"/>
      <c r="AI747" s="5"/>
      <c r="AJ747" s="5"/>
    </row>
    <row r="748" ht="30.0" customHeight="1">
      <c r="AH748" s="5"/>
      <c r="AI748" s="5"/>
      <c r="AJ748" s="5"/>
    </row>
    <row r="749" ht="30.0" customHeight="1">
      <c r="AH749" s="5"/>
      <c r="AI749" s="5"/>
      <c r="AJ749" s="5"/>
    </row>
    <row r="750" ht="30.0" customHeight="1">
      <c r="AH750" s="5"/>
      <c r="AI750" s="5"/>
      <c r="AJ750" s="5"/>
    </row>
    <row r="751" ht="30.0" customHeight="1">
      <c r="AH751" s="5"/>
      <c r="AI751" s="5"/>
      <c r="AJ751" s="5"/>
    </row>
    <row r="752" ht="30.0" customHeight="1">
      <c r="AH752" s="5"/>
      <c r="AI752" s="5"/>
      <c r="AJ752" s="5"/>
    </row>
    <row r="753" ht="30.0" customHeight="1">
      <c r="AH753" s="5"/>
      <c r="AI753" s="5"/>
      <c r="AJ753" s="5"/>
    </row>
    <row r="754" ht="30.0" customHeight="1">
      <c r="AH754" s="5"/>
      <c r="AI754" s="5"/>
      <c r="AJ754" s="5"/>
    </row>
    <row r="755" ht="30.0" customHeight="1">
      <c r="AH755" s="5"/>
      <c r="AI755" s="5"/>
      <c r="AJ755" s="5"/>
    </row>
    <row r="756" ht="30.0" customHeight="1">
      <c r="AH756" s="5"/>
      <c r="AI756" s="5"/>
      <c r="AJ756" s="5"/>
    </row>
    <row r="757" ht="30.0" customHeight="1">
      <c r="AH757" s="5"/>
      <c r="AI757" s="5"/>
      <c r="AJ757" s="5"/>
    </row>
    <row r="758" ht="30.0" customHeight="1">
      <c r="AH758" s="5"/>
      <c r="AI758" s="5"/>
      <c r="AJ758" s="5"/>
    </row>
    <row r="759" ht="30.0" customHeight="1">
      <c r="AH759" s="5"/>
      <c r="AI759" s="5"/>
      <c r="AJ759" s="5"/>
    </row>
    <row r="760" ht="30.0" customHeight="1">
      <c r="AH760" s="5"/>
      <c r="AI760" s="5"/>
      <c r="AJ760" s="5"/>
    </row>
    <row r="761" ht="30.0" customHeight="1">
      <c r="AH761" s="5"/>
      <c r="AI761" s="5"/>
      <c r="AJ761" s="5"/>
    </row>
    <row r="762" ht="30.0" customHeight="1">
      <c r="AH762" s="5"/>
      <c r="AI762" s="5"/>
      <c r="AJ762" s="5"/>
    </row>
    <row r="763" ht="30.0" customHeight="1">
      <c r="AH763" s="5"/>
      <c r="AI763" s="5"/>
      <c r="AJ763" s="5"/>
    </row>
    <row r="764" ht="30.0" customHeight="1">
      <c r="AH764" s="5"/>
      <c r="AI764" s="5"/>
      <c r="AJ764" s="5"/>
    </row>
    <row r="765" ht="30.0" customHeight="1">
      <c r="AH765" s="5"/>
      <c r="AI765" s="5"/>
      <c r="AJ765" s="5"/>
    </row>
    <row r="766" ht="30.0" customHeight="1">
      <c r="AH766" s="5"/>
      <c r="AI766" s="5"/>
      <c r="AJ766" s="5"/>
    </row>
    <row r="767" ht="30.0" customHeight="1">
      <c r="AH767" s="5"/>
      <c r="AI767" s="5"/>
      <c r="AJ767" s="5"/>
    </row>
    <row r="768" ht="30.0" customHeight="1">
      <c r="AH768" s="5"/>
      <c r="AI768" s="5"/>
      <c r="AJ768" s="5"/>
    </row>
    <row r="769" ht="30.0" customHeight="1">
      <c r="AH769" s="5"/>
      <c r="AI769" s="5"/>
      <c r="AJ769" s="5"/>
    </row>
    <row r="770" ht="30.0" customHeight="1">
      <c r="AH770" s="5"/>
      <c r="AI770" s="5"/>
      <c r="AJ770" s="5"/>
    </row>
    <row r="771" ht="30.0" customHeight="1">
      <c r="AH771" s="5"/>
      <c r="AI771" s="5"/>
      <c r="AJ771" s="5"/>
    </row>
    <row r="772" ht="30.0" customHeight="1">
      <c r="AH772" s="5"/>
      <c r="AI772" s="5"/>
      <c r="AJ772" s="5"/>
    </row>
    <row r="773" ht="30.0" customHeight="1">
      <c r="AH773" s="5"/>
      <c r="AI773" s="5"/>
      <c r="AJ773" s="5"/>
    </row>
    <row r="774" ht="30.0" customHeight="1">
      <c r="AH774" s="5"/>
      <c r="AI774" s="5"/>
      <c r="AJ774" s="5"/>
    </row>
    <row r="775" ht="30.0" customHeight="1">
      <c r="AH775" s="5"/>
      <c r="AI775" s="5"/>
      <c r="AJ775" s="5"/>
    </row>
    <row r="776" ht="30.0" customHeight="1">
      <c r="AH776" s="5"/>
      <c r="AI776" s="5"/>
      <c r="AJ776" s="5"/>
    </row>
    <row r="777" ht="30.0" customHeight="1">
      <c r="AH777" s="5"/>
      <c r="AI777" s="5"/>
      <c r="AJ777" s="5"/>
    </row>
    <row r="778" ht="30.0" customHeight="1">
      <c r="AH778" s="5"/>
      <c r="AI778" s="5"/>
      <c r="AJ778" s="5"/>
    </row>
    <row r="779" ht="30.0" customHeight="1">
      <c r="AH779" s="5"/>
      <c r="AI779" s="5"/>
      <c r="AJ779" s="5"/>
    </row>
    <row r="780" ht="30.0" customHeight="1">
      <c r="AH780" s="5"/>
      <c r="AI780" s="5"/>
      <c r="AJ780" s="5"/>
    </row>
    <row r="781" ht="30.0" customHeight="1">
      <c r="AH781" s="5"/>
      <c r="AI781" s="5"/>
      <c r="AJ781" s="5"/>
    </row>
    <row r="782" ht="30.0" customHeight="1">
      <c r="AH782" s="5"/>
      <c r="AI782" s="5"/>
      <c r="AJ782" s="5"/>
    </row>
    <row r="783" ht="30.0" customHeight="1">
      <c r="AH783" s="5"/>
      <c r="AI783" s="5"/>
      <c r="AJ783" s="5"/>
    </row>
    <row r="784" ht="30.0" customHeight="1">
      <c r="AH784" s="5"/>
      <c r="AI784" s="5"/>
      <c r="AJ784" s="5"/>
    </row>
    <row r="785" ht="30.0" customHeight="1">
      <c r="AH785" s="5"/>
      <c r="AI785" s="5"/>
      <c r="AJ785" s="5"/>
    </row>
    <row r="786" ht="30.0" customHeight="1">
      <c r="AH786" s="5"/>
      <c r="AI786" s="5"/>
      <c r="AJ786" s="5"/>
    </row>
    <row r="787" ht="30.0" customHeight="1">
      <c r="AH787" s="5"/>
      <c r="AI787" s="5"/>
      <c r="AJ787" s="5"/>
    </row>
    <row r="788" ht="30.0" customHeight="1">
      <c r="AH788" s="5"/>
      <c r="AI788" s="5"/>
      <c r="AJ788" s="5"/>
    </row>
    <row r="789" ht="30.0" customHeight="1">
      <c r="AH789" s="5"/>
      <c r="AI789" s="5"/>
      <c r="AJ789" s="5"/>
    </row>
    <row r="790" ht="30.0" customHeight="1">
      <c r="AH790" s="5"/>
      <c r="AI790" s="5"/>
      <c r="AJ790" s="5"/>
    </row>
    <row r="791" ht="30.0" customHeight="1">
      <c r="AH791" s="5"/>
      <c r="AI791" s="5"/>
      <c r="AJ791" s="5"/>
    </row>
    <row r="792" ht="30.0" customHeight="1">
      <c r="AH792" s="5"/>
      <c r="AI792" s="5"/>
      <c r="AJ792" s="5"/>
    </row>
    <row r="793" ht="30.0" customHeight="1">
      <c r="AH793" s="5"/>
      <c r="AI793" s="5"/>
      <c r="AJ793" s="5"/>
    </row>
    <row r="794" ht="30.0" customHeight="1">
      <c r="AH794" s="5"/>
      <c r="AI794" s="5"/>
      <c r="AJ794" s="5"/>
    </row>
    <row r="795" ht="30.0" customHeight="1">
      <c r="AH795" s="5"/>
      <c r="AI795" s="5"/>
      <c r="AJ795" s="5"/>
    </row>
    <row r="796" ht="30.0" customHeight="1">
      <c r="AH796" s="5"/>
      <c r="AI796" s="5"/>
      <c r="AJ796" s="5"/>
    </row>
    <row r="797" ht="30.0" customHeight="1">
      <c r="AH797" s="5"/>
      <c r="AI797" s="5"/>
      <c r="AJ797" s="5"/>
    </row>
    <row r="798" ht="30.0" customHeight="1">
      <c r="AH798" s="5"/>
      <c r="AI798" s="5"/>
      <c r="AJ798" s="5"/>
    </row>
    <row r="799" ht="30.0" customHeight="1">
      <c r="AH799" s="5"/>
      <c r="AI799" s="5"/>
      <c r="AJ799" s="5"/>
    </row>
    <row r="800" ht="30.0" customHeight="1">
      <c r="AH800" s="5"/>
      <c r="AI800" s="5"/>
      <c r="AJ800" s="5"/>
    </row>
    <row r="801" ht="30.0" customHeight="1">
      <c r="AH801" s="5"/>
      <c r="AI801" s="5"/>
      <c r="AJ801" s="5"/>
    </row>
    <row r="802" ht="30.0" customHeight="1">
      <c r="AH802" s="5"/>
      <c r="AI802" s="5"/>
      <c r="AJ802" s="5"/>
    </row>
    <row r="803" ht="30.0" customHeight="1">
      <c r="AH803" s="5"/>
      <c r="AI803" s="5"/>
      <c r="AJ803" s="5"/>
    </row>
    <row r="804" ht="30.0" customHeight="1">
      <c r="AH804" s="5"/>
      <c r="AI804" s="5"/>
      <c r="AJ804" s="5"/>
    </row>
    <row r="805" ht="30.0" customHeight="1">
      <c r="AH805" s="5"/>
      <c r="AI805" s="5"/>
      <c r="AJ805" s="5"/>
    </row>
    <row r="806" ht="30.0" customHeight="1">
      <c r="AH806" s="5"/>
      <c r="AI806" s="5"/>
      <c r="AJ806" s="5"/>
    </row>
    <row r="807" ht="30.0" customHeight="1">
      <c r="AH807" s="5"/>
      <c r="AI807" s="5"/>
      <c r="AJ807" s="5"/>
    </row>
    <row r="808" ht="30.0" customHeight="1">
      <c r="AH808" s="5"/>
      <c r="AI808" s="5"/>
      <c r="AJ808" s="5"/>
    </row>
    <row r="809" ht="30.0" customHeight="1">
      <c r="AH809" s="5"/>
      <c r="AI809" s="5"/>
      <c r="AJ809" s="5"/>
    </row>
    <row r="810" ht="30.0" customHeight="1">
      <c r="AH810" s="5"/>
      <c r="AI810" s="5"/>
      <c r="AJ810" s="5"/>
    </row>
    <row r="811" ht="30.0" customHeight="1">
      <c r="AH811" s="5"/>
      <c r="AI811" s="5"/>
      <c r="AJ811" s="5"/>
    </row>
    <row r="812" ht="30.0" customHeight="1">
      <c r="AH812" s="5"/>
      <c r="AI812" s="5"/>
      <c r="AJ812" s="5"/>
    </row>
    <row r="813" ht="30.0" customHeight="1">
      <c r="AH813" s="5"/>
      <c r="AI813" s="5"/>
      <c r="AJ813" s="5"/>
    </row>
    <row r="814" ht="30.0" customHeight="1">
      <c r="AH814" s="5"/>
      <c r="AI814" s="5"/>
      <c r="AJ814" s="5"/>
    </row>
    <row r="815" ht="30.0" customHeight="1">
      <c r="AH815" s="5"/>
      <c r="AI815" s="5"/>
      <c r="AJ815" s="5"/>
    </row>
    <row r="816" ht="30.0" customHeight="1">
      <c r="AH816" s="5"/>
      <c r="AI816" s="5"/>
      <c r="AJ816" s="5"/>
    </row>
    <row r="817" ht="30.0" customHeight="1">
      <c r="AH817" s="5"/>
      <c r="AI817" s="5"/>
      <c r="AJ817" s="5"/>
    </row>
    <row r="818" ht="30.0" customHeight="1">
      <c r="AH818" s="5"/>
      <c r="AI818" s="5"/>
      <c r="AJ818" s="5"/>
    </row>
    <row r="819" ht="30.0" customHeight="1">
      <c r="AH819" s="5"/>
      <c r="AI819" s="5"/>
      <c r="AJ819" s="5"/>
    </row>
    <row r="820" ht="30.0" customHeight="1">
      <c r="AH820" s="5"/>
      <c r="AI820" s="5"/>
      <c r="AJ820" s="5"/>
    </row>
    <row r="821" ht="30.0" customHeight="1">
      <c r="AH821" s="5"/>
      <c r="AI821" s="5"/>
      <c r="AJ821" s="5"/>
    </row>
    <row r="822" ht="30.0" customHeight="1">
      <c r="AH822" s="5"/>
      <c r="AI822" s="5"/>
      <c r="AJ822" s="5"/>
    </row>
    <row r="823" ht="30.0" customHeight="1">
      <c r="AH823" s="5"/>
      <c r="AI823" s="5"/>
      <c r="AJ823" s="5"/>
    </row>
    <row r="824" ht="30.0" customHeight="1">
      <c r="AH824" s="5"/>
      <c r="AI824" s="5"/>
      <c r="AJ824" s="5"/>
    </row>
    <row r="825" ht="30.0" customHeight="1">
      <c r="AH825" s="5"/>
      <c r="AI825" s="5"/>
      <c r="AJ825" s="5"/>
    </row>
    <row r="826" ht="30.0" customHeight="1">
      <c r="AH826" s="5"/>
      <c r="AI826" s="5"/>
      <c r="AJ826" s="5"/>
    </row>
    <row r="827" ht="30.0" customHeight="1">
      <c r="AH827" s="5"/>
      <c r="AI827" s="5"/>
      <c r="AJ827" s="5"/>
    </row>
    <row r="828" ht="30.0" customHeight="1">
      <c r="AH828" s="5"/>
      <c r="AI828" s="5"/>
      <c r="AJ828" s="5"/>
    </row>
    <row r="829" ht="30.0" customHeight="1">
      <c r="AH829" s="5"/>
      <c r="AI829" s="5"/>
      <c r="AJ829" s="5"/>
    </row>
    <row r="830" ht="30.0" customHeight="1">
      <c r="AH830" s="5"/>
      <c r="AI830" s="5"/>
      <c r="AJ830" s="5"/>
    </row>
    <row r="831" ht="30.0" customHeight="1">
      <c r="AH831" s="5"/>
      <c r="AI831" s="5"/>
      <c r="AJ831" s="5"/>
    </row>
    <row r="832" ht="30.0" customHeight="1">
      <c r="AH832" s="5"/>
      <c r="AI832" s="5"/>
      <c r="AJ832" s="5"/>
    </row>
    <row r="833" ht="30.0" customHeight="1">
      <c r="AH833" s="5"/>
      <c r="AI833" s="5"/>
      <c r="AJ833" s="5"/>
    </row>
    <row r="834" ht="30.0" customHeight="1">
      <c r="AH834" s="5"/>
      <c r="AI834" s="5"/>
      <c r="AJ834" s="5"/>
    </row>
    <row r="835" ht="30.0" customHeight="1">
      <c r="AH835" s="5"/>
      <c r="AI835" s="5"/>
      <c r="AJ835" s="5"/>
    </row>
    <row r="836" ht="30.0" customHeight="1">
      <c r="AH836" s="5"/>
      <c r="AI836" s="5"/>
      <c r="AJ836" s="5"/>
    </row>
    <row r="837" ht="30.0" customHeight="1">
      <c r="AH837" s="5"/>
      <c r="AI837" s="5"/>
      <c r="AJ837" s="5"/>
    </row>
    <row r="838" ht="30.0" customHeight="1">
      <c r="AH838" s="5"/>
      <c r="AI838" s="5"/>
      <c r="AJ838" s="5"/>
    </row>
    <row r="839" ht="30.0" customHeight="1">
      <c r="AH839" s="5"/>
      <c r="AI839" s="5"/>
      <c r="AJ839" s="5"/>
    </row>
    <row r="840" ht="30.0" customHeight="1">
      <c r="AH840" s="5"/>
      <c r="AI840" s="5"/>
      <c r="AJ840" s="5"/>
    </row>
    <row r="841" ht="30.0" customHeight="1">
      <c r="AH841" s="5"/>
      <c r="AI841" s="5"/>
      <c r="AJ841" s="5"/>
    </row>
    <row r="842" ht="30.0" customHeight="1">
      <c r="AH842" s="5"/>
      <c r="AI842" s="5"/>
      <c r="AJ842" s="5"/>
    </row>
    <row r="843" ht="30.0" customHeight="1">
      <c r="AH843" s="5"/>
      <c r="AI843" s="5"/>
      <c r="AJ843" s="5"/>
    </row>
    <row r="844" ht="30.0" customHeight="1">
      <c r="AH844" s="5"/>
      <c r="AI844" s="5"/>
      <c r="AJ844" s="5"/>
    </row>
    <row r="845" ht="30.0" customHeight="1">
      <c r="AH845" s="5"/>
      <c r="AI845" s="5"/>
      <c r="AJ845" s="5"/>
    </row>
    <row r="846" ht="30.0" customHeight="1">
      <c r="AH846" s="5"/>
      <c r="AI846" s="5"/>
      <c r="AJ846" s="5"/>
    </row>
    <row r="847" ht="30.0" customHeight="1">
      <c r="AH847" s="5"/>
      <c r="AI847" s="5"/>
      <c r="AJ847" s="5"/>
    </row>
    <row r="848" ht="30.0" customHeight="1">
      <c r="AH848" s="5"/>
      <c r="AI848" s="5"/>
      <c r="AJ848" s="5"/>
    </row>
    <row r="849" ht="30.0" customHeight="1">
      <c r="AH849" s="5"/>
      <c r="AI849" s="5"/>
      <c r="AJ849" s="5"/>
    </row>
    <row r="850" ht="30.0" customHeight="1">
      <c r="AH850" s="5"/>
      <c r="AI850" s="5"/>
      <c r="AJ850" s="5"/>
    </row>
    <row r="851" ht="30.0" customHeight="1">
      <c r="AH851" s="5"/>
      <c r="AI851" s="5"/>
      <c r="AJ851" s="5"/>
    </row>
    <row r="852" ht="30.0" customHeight="1">
      <c r="AH852" s="5"/>
      <c r="AI852" s="5"/>
      <c r="AJ852" s="5"/>
    </row>
    <row r="853" ht="30.0" customHeight="1">
      <c r="AH853" s="5"/>
      <c r="AI853" s="5"/>
      <c r="AJ853" s="5"/>
    </row>
    <row r="854" ht="30.0" customHeight="1">
      <c r="AH854" s="5"/>
      <c r="AI854" s="5"/>
      <c r="AJ854" s="5"/>
    </row>
    <row r="855" ht="30.0" customHeight="1">
      <c r="AH855" s="5"/>
      <c r="AI855" s="5"/>
      <c r="AJ855" s="5"/>
    </row>
    <row r="856" ht="30.0" customHeight="1">
      <c r="AH856" s="5"/>
      <c r="AI856" s="5"/>
      <c r="AJ856" s="5"/>
    </row>
    <row r="857" ht="30.0" customHeight="1">
      <c r="AH857" s="5"/>
      <c r="AI857" s="5"/>
      <c r="AJ857" s="5"/>
    </row>
    <row r="858" ht="30.0" customHeight="1">
      <c r="AH858" s="5"/>
      <c r="AI858" s="5"/>
      <c r="AJ858" s="5"/>
    </row>
    <row r="859" ht="30.0" customHeight="1">
      <c r="AH859" s="5"/>
      <c r="AI859" s="5"/>
      <c r="AJ859" s="5"/>
    </row>
    <row r="860" ht="30.0" customHeight="1">
      <c r="AH860" s="5"/>
      <c r="AI860" s="5"/>
      <c r="AJ860" s="5"/>
    </row>
    <row r="861" ht="30.0" customHeight="1">
      <c r="AH861" s="5"/>
      <c r="AI861" s="5"/>
      <c r="AJ861" s="5"/>
    </row>
    <row r="862" ht="30.0" customHeight="1">
      <c r="AH862" s="5"/>
      <c r="AI862" s="5"/>
      <c r="AJ862" s="5"/>
    </row>
    <row r="863" ht="30.0" customHeight="1">
      <c r="AH863" s="5"/>
      <c r="AI863" s="5"/>
      <c r="AJ863" s="5"/>
    </row>
    <row r="864" ht="30.0" customHeight="1">
      <c r="AH864" s="5"/>
      <c r="AI864" s="5"/>
      <c r="AJ864" s="5"/>
    </row>
    <row r="865" ht="30.0" customHeight="1">
      <c r="AH865" s="5"/>
      <c r="AI865" s="5"/>
      <c r="AJ865" s="5"/>
    </row>
    <row r="866" ht="30.0" customHeight="1">
      <c r="AH866" s="5"/>
      <c r="AI866" s="5"/>
      <c r="AJ866" s="5"/>
    </row>
    <row r="867" ht="30.0" customHeight="1">
      <c r="AH867" s="5"/>
      <c r="AI867" s="5"/>
      <c r="AJ867" s="5"/>
    </row>
    <row r="868" ht="30.0" customHeight="1">
      <c r="AH868" s="5"/>
      <c r="AI868" s="5"/>
      <c r="AJ868" s="5"/>
    </row>
    <row r="869" ht="30.0" customHeight="1">
      <c r="AH869" s="5"/>
      <c r="AI869" s="5"/>
      <c r="AJ869" s="5"/>
    </row>
    <row r="870" ht="30.0" customHeight="1">
      <c r="AH870" s="5"/>
      <c r="AI870" s="5"/>
      <c r="AJ870" s="5"/>
    </row>
    <row r="871" ht="30.0" customHeight="1">
      <c r="AH871" s="5"/>
      <c r="AI871" s="5"/>
      <c r="AJ871" s="5"/>
    </row>
    <row r="872" ht="30.0" customHeight="1">
      <c r="AH872" s="5"/>
      <c r="AI872" s="5"/>
      <c r="AJ872" s="5"/>
    </row>
    <row r="873" ht="30.0" customHeight="1">
      <c r="AH873" s="5"/>
      <c r="AI873" s="5"/>
      <c r="AJ873" s="5"/>
    </row>
    <row r="874" ht="30.0" customHeight="1">
      <c r="AH874" s="5"/>
      <c r="AI874" s="5"/>
      <c r="AJ874" s="5"/>
    </row>
    <row r="875" ht="30.0" customHeight="1">
      <c r="AH875" s="5"/>
      <c r="AI875" s="5"/>
      <c r="AJ875" s="5"/>
    </row>
    <row r="876" ht="30.0" customHeight="1">
      <c r="AH876" s="5"/>
      <c r="AI876" s="5"/>
      <c r="AJ876" s="5"/>
    </row>
    <row r="877" ht="30.0" customHeight="1">
      <c r="AH877" s="5"/>
      <c r="AI877" s="5"/>
      <c r="AJ877" s="5"/>
    </row>
    <row r="878" ht="30.0" customHeight="1">
      <c r="AH878" s="5"/>
      <c r="AI878" s="5"/>
      <c r="AJ878" s="5"/>
    </row>
    <row r="879" ht="30.0" customHeight="1">
      <c r="AH879" s="5"/>
      <c r="AI879" s="5"/>
      <c r="AJ879" s="5"/>
    </row>
    <row r="880" ht="30.0" customHeight="1">
      <c r="AH880" s="5"/>
      <c r="AI880" s="5"/>
      <c r="AJ880" s="5"/>
    </row>
    <row r="881" ht="30.0" customHeight="1">
      <c r="AH881" s="5"/>
      <c r="AI881" s="5"/>
      <c r="AJ881" s="5"/>
    </row>
    <row r="882" ht="30.0" customHeight="1">
      <c r="AH882" s="5"/>
      <c r="AI882" s="5"/>
      <c r="AJ882" s="5"/>
    </row>
    <row r="883" ht="30.0" customHeight="1">
      <c r="AH883" s="5"/>
      <c r="AI883" s="5"/>
      <c r="AJ883" s="5"/>
    </row>
    <row r="884" ht="30.0" customHeight="1">
      <c r="AH884" s="5"/>
      <c r="AI884" s="5"/>
      <c r="AJ884" s="5"/>
    </row>
    <row r="885" ht="30.0" customHeight="1">
      <c r="AH885" s="5"/>
      <c r="AI885" s="5"/>
      <c r="AJ885" s="5"/>
    </row>
    <row r="886" ht="30.0" customHeight="1">
      <c r="AH886" s="5"/>
      <c r="AI886" s="5"/>
      <c r="AJ886" s="5"/>
    </row>
    <row r="887" ht="30.0" customHeight="1">
      <c r="AH887" s="5"/>
      <c r="AI887" s="5"/>
      <c r="AJ887" s="5"/>
    </row>
    <row r="888" ht="30.0" customHeight="1">
      <c r="AH888" s="5"/>
      <c r="AI888" s="5"/>
      <c r="AJ888" s="5"/>
    </row>
    <row r="889" ht="30.0" customHeight="1">
      <c r="AH889" s="5"/>
      <c r="AI889" s="5"/>
      <c r="AJ889" s="5"/>
    </row>
    <row r="890" ht="30.0" customHeight="1">
      <c r="AH890" s="5"/>
      <c r="AI890" s="5"/>
      <c r="AJ890" s="5"/>
    </row>
    <row r="891" ht="30.0" customHeight="1">
      <c r="AH891" s="5"/>
      <c r="AI891" s="5"/>
      <c r="AJ891" s="5"/>
    </row>
    <row r="892" ht="30.0" customHeight="1">
      <c r="AH892" s="5"/>
      <c r="AI892" s="5"/>
      <c r="AJ892" s="5"/>
    </row>
    <row r="893" ht="30.0" customHeight="1">
      <c r="AH893" s="5"/>
      <c r="AI893" s="5"/>
      <c r="AJ893" s="5"/>
    </row>
    <row r="894" ht="30.0" customHeight="1">
      <c r="AH894" s="5"/>
      <c r="AI894" s="5"/>
      <c r="AJ894" s="5"/>
    </row>
    <row r="895" ht="30.0" customHeight="1">
      <c r="AH895" s="5"/>
      <c r="AI895" s="5"/>
      <c r="AJ895" s="5"/>
    </row>
    <row r="896" ht="30.0" customHeight="1">
      <c r="AH896" s="5"/>
      <c r="AI896" s="5"/>
      <c r="AJ896" s="5"/>
    </row>
    <row r="897" ht="30.0" customHeight="1">
      <c r="AH897" s="5"/>
      <c r="AI897" s="5"/>
      <c r="AJ897" s="5"/>
    </row>
    <row r="898" ht="30.0" customHeight="1">
      <c r="AH898" s="5"/>
      <c r="AI898" s="5"/>
      <c r="AJ898" s="5"/>
    </row>
    <row r="899" ht="30.0" customHeight="1">
      <c r="AH899" s="5"/>
      <c r="AI899" s="5"/>
      <c r="AJ899" s="5"/>
    </row>
    <row r="900" ht="30.0" customHeight="1">
      <c r="AH900" s="5"/>
      <c r="AI900" s="5"/>
      <c r="AJ900" s="5"/>
    </row>
    <row r="901" ht="30.0" customHeight="1">
      <c r="AH901" s="5"/>
      <c r="AI901" s="5"/>
      <c r="AJ901" s="5"/>
    </row>
    <row r="902" ht="30.0" customHeight="1">
      <c r="AH902" s="5"/>
      <c r="AI902" s="5"/>
      <c r="AJ902" s="5"/>
    </row>
    <row r="903" ht="30.0" customHeight="1">
      <c r="AH903" s="5"/>
      <c r="AI903" s="5"/>
      <c r="AJ903" s="5"/>
    </row>
    <row r="904" ht="30.0" customHeight="1">
      <c r="AH904" s="5"/>
      <c r="AI904" s="5"/>
      <c r="AJ904" s="5"/>
    </row>
    <row r="905" ht="30.0" customHeight="1">
      <c r="AH905" s="5"/>
      <c r="AI905" s="5"/>
      <c r="AJ905" s="5"/>
    </row>
    <row r="906" ht="30.0" customHeight="1">
      <c r="AH906" s="5"/>
      <c r="AI906" s="5"/>
      <c r="AJ906" s="5"/>
    </row>
    <row r="907" ht="30.0" customHeight="1">
      <c r="AH907" s="5"/>
      <c r="AI907" s="5"/>
      <c r="AJ907" s="5"/>
    </row>
    <row r="908" ht="30.0" customHeight="1">
      <c r="AH908" s="5"/>
      <c r="AI908" s="5"/>
      <c r="AJ908" s="5"/>
    </row>
    <row r="909" ht="30.0" customHeight="1">
      <c r="AH909" s="5"/>
      <c r="AI909" s="5"/>
      <c r="AJ909" s="5"/>
    </row>
    <row r="910" ht="30.0" customHeight="1">
      <c r="AH910" s="5"/>
      <c r="AI910" s="5"/>
      <c r="AJ910" s="5"/>
    </row>
    <row r="911" ht="30.0" customHeight="1">
      <c r="AH911" s="5"/>
      <c r="AI911" s="5"/>
      <c r="AJ911" s="5"/>
    </row>
    <row r="912" ht="30.0" customHeight="1">
      <c r="AH912" s="5"/>
      <c r="AI912" s="5"/>
      <c r="AJ912" s="5"/>
    </row>
    <row r="913" ht="30.0" customHeight="1">
      <c r="AH913" s="5"/>
      <c r="AI913" s="5"/>
      <c r="AJ913" s="5"/>
    </row>
    <row r="914" ht="30.0" customHeight="1">
      <c r="AH914" s="5"/>
      <c r="AI914" s="5"/>
      <c r="AJ914" s="5"/>
    </row>
    <row r="915" ht="30.0" customHeight="1">
      <c r="AH915" s="5"/>
      <c r="AI915" s="5"/>
      <c r="AJ915" s="5"/>
    </row>
    <row r="916" ht="30.0" customHeight="1">
      <c r="AH916" s="5"/>
      <c r="AI916" s="5"/>
      <c r="AJ916" s="5"/>
    </row>
    <row r="917" ht="30.0" customHeight="1">
      <c r="AH917" s="5"/>
      <c r="AI917" s="5"/>
      <c r="AJ917" s="5"/>
    </row>
    <row r="918" ht="30.0" customHeight="1">
      <c r="AH918" s="5"/>
      <c r="AI918" s="5"/>
      <c r="AJ918" s="5"/>
    </row>
    <row r="919" ht="30.0" customHeight="1">
      <c r="AH919" s="5"/>
      <c r="AI919" s="5"/>
      <c r="AJ919" s="5"/>
    </row>
    <row r="920" ht="30.0" customHeight="1">
      <c r="AH920" s="5"/>
      <c r="AI920" s="5"/>
      <c r="AJ920" s="5"/>
    </row>
    <row r="921" ht="30.0" customHeight="1">
      <c r="AH921" s="5"/>
      <c r="AI921" s="5"/>
      <c r="AJ921" s="5"/>
    </row>
    <row r="922" ht="30.0" customHeight="1">
      <c r="AH922" s="5"/>
      <c r="AI922" s="5"/>
      <c r="AJ922" s="5"/>
    </row>
    <row r="923" ht="30.0" customHeight="1">
      <c r="AH923" s="5"/>
      <c r="AI923" s="5"/>
      <c r="AJ923" s="5"/>
    </row>
    <row r="924" ht="30.0" customHeight="1">
      <c r="AH924" s="5"/>
      <c r="AI924" s="5"/>
      <c r="AJ924" s="5"/>
    </row>
    <row r="925" ht="30.0" customHeight="1">
      <c r="AH925" s="5"/>
      <c r="AI925" s="5"/>
      <c r="AJ925" s="5"/>
    </row>
    <row r="926" ht="30.0" customHeight="1">
      <c r="AH926" s="5"/>
      <c r="AI926" s="5"/>
      <c r="AJ926" s="5"/>
    </row>
    <row r="927" ht="30.0" customHeight="1">
      <c r="AH927" s="5"/>
      <c r="AI927" s="5"/>
      <c r="AJ927" s="5"/>
    </row>
    <row r="928" ht="30.0" customHeight="1">
      <c r="AH928" s="5"/>
      <c r="AI928" s="5"/>
      <c r="AJ928" s="5"/>
    </row>
    <row r="929" ht="30.0" customHeight="1">
      <c r="AH929" s="5"/>
      <c r="AI929" s="5"/>
      <c r="AJ929" s="5"/>
    </row>
    <row r="930" ht="30.0" customHeight="1">
      <c r="AH930" s="5"/>
      <c r="AI930" s="5"/>
      <c r="AJ930" s="5"/>
    </row>
    <row r="931" ht="30.0" customHeight="1">
      <c r="AH931" s="5"/>
      <c r="AI931" s="5"/>
      <c r="AJ931" s="5"/>
    </row>
    <row r="932" ht="30.0" customHeight="1">
      <c r="AH932" s="5"/>
      <c r="AI932" s="5"/>
      <c r="AJ932" s="5"/>
    </row>
    <row r="933" ht="30.0" customHeight="1">
      <c r="AH933" s="5"/>
      <c r="AI933" s="5"/>
      <c r="AJ933" s="5"/>
    </row>
    <row r="934" ht="30.0" customHeight="1">
      <c r="AH934" s="5"/>
      <c r="AI934" s="5"/>
      <c r="AJ934" s="5"/>
    </row>
    <row r="935" ht="30.0" customHeight="1">
      <c r="AH935" s="5"/>
      <c r="AI935" s="5"/>
      <c r="AJ935" s="5"/>
    </row>
    <row r="936" ht="30.0" customHeight="1">
      <c r="AH936" s="5"/>
      <c r="AI936" s="5"/>
      <c r="AJ936" s="5"/>
    </row>
    <row r="937" ht="30.0" customHeight="1">
      <c r="AH937" s="5"/>
      <c r="AI937" s="5"/>
      <c r="AJ937" s="5"/>
    </row>
    <row r="938" ht="30.0" customHeight="1">
      <c r="AH938" s="5"/>
      <c r="AI938" s="5"/>
      <c r="AJ938" s="5"/>
    </row>
    <row r="939" ht="30.0" customHeight="1">
      <c r="AH939" s="5"/>
      <c r="AI939" s="5"/>
      <c r="AJ939" s="5"/>
    </row>
    <row r="940" ht="30.0" customHeight="1">
      <c r="AH940" s="5"/>
      <c r="AI940" s="5"/>
      <c r="AJ940" s="5"/>
    </row>
    <row r="941" ht="30.0" customHeight="1">
      <c r="AH941" s="5"/>
      <c r="AI941" s="5"/>
      <c r="AJ941" s="5"/>
    </row>
    <row r="942" ht="30.0" customHeight="1">
      <c r="AH942" s="5"/>
      <c r="AI942" s="5"/>
      <c r="AJ942" s="5"/>
    </row>
    <row r="943" ht="30.0" customHeight="1">
      <c r="AH943" s="5"/>
      <c r="AI943" s="5"/>
      <c r="AJ943" s="5"/>
    </row>
    <row r="944" ht="30.0" customHeight="1">
      <c r="AH944" s="5"/>
      <c r="AI944" s="5"/>
      <c r="AJ944" s="5"/>
    </row>
    <row r="945" ht="30.0" customHeight="1">
      <c r="AH945" s="5"/>
      <c r="AI945" s="5"/>
      <c r="AJ945" s="5"/>
    </row>
    <row r="946" ht="30.0" customHeight="1">
      <c r="AH946" s="5"/>
      <c r="AI946" s="5"/>
      <c r="AJ946" s="5"/>
    </row>
    <row r="947" ht="30.0" customHeight="1">
      <c r="AH947" s="5"/>
      <c r="AI947" s="5"/>
      <c r="AJ947" s="5"/>
    </row>
    <row r="948" ht="30.0" customHeight="1">
      <c r="AH948" s="5"/>
      <c r="AI948" s="5"/>
      <c r="AJ948" s="5"/>
    </row>
    <row r="949" ht="30.0" customHeight="1">
      <c r="AH949" s="5"/>
      <c r="AI949" s="5"/>
      <c r="AJ949" s="5"/>
    </row>
    <row r="950" ht="30.0" customHeight="1">
      <c r="AH950" s="5"/>
      <c r="AI950" s="5"/>
      <c r="AJ950" s="5"/>
    </row>
    <row r="951" ht="30.0" customHeight="1">
      <c r="AH951" s="5"/>
      <c r="AI951" s="5"/>
      <c r="AJ951" s="5"/>
    </row>
    <row r="952" ht="30.0" customHeight="1">
      <c r="AH952" s="5"/>
      <c r="AI952" s="5"/>
      <c r="AJ952" s="5"/>
    </row>
    <row r="953" ht="30.0" customHeight="1">
      <c r="AH953" s="5"/>
      <c r="AI953" s="5"/>
      <c r="AJ953" s="5"/>
    </row>
    <row r="954" ht="30.0" customHeight="1">
      <c r="AH954" s="5"/>
      <c r="AI954" s="5"/>
      <c r="AJ954" s="5"/>
    </row>
    <row r="955" ht="30.0" customHeight="1">
      <c r="AH955" s="5"/>
      <c r="AI955" s="5"/>
      <c r="AJ955" s="5"/>
    </row>
    <row r="956" ht="30.0" customHeight="1">
      <c r="AH956" s="5"/>
      <c r="AI956" s="5"/>
      <c r="AJ956" s="5"/>
    </row>
    <row r="957" ht="30.0" customHeight="1">
      <c r="AH957" s="5"/>
      <c r="AI957" s="5"/>
      <c r="AJ957" s="5"/>
    </row>
    <row r="958" ht="30.0" customHeight="1">
      <c r="AH958" s="5"/>
      <c r="AI958" s="5"/>
      <c r="AJ958" s="5"/>
    </row>
    <row r="959" ht="30.0" customHeight="1">
      <c r="AH959" s="5"/>
      <c r="AI959" s="5"/>
      <c r="AJ959" s="5"/>
    </row>
    <row r="960" ht="30.0" customHeight="1">
      <c r="AH960" s="5"/>
      <c r="AI960" s="5"/>
      <c r="AJ960" s="5"/>
    </row>
    <row r="961" ht="30.0" customHeight="1">
      <c r="AH961" s="5"/>
      <c r="AI961" s="5"/>
      <c r="AJ961" s="5"/>
    </row>
    <row r="962" ht="30.0" customHeight="1">
      <c r="AH962" s="5"/>
      <c r="AI962" s="5"/>
      <c r="AJ962" s="5"/>
    </row>
    <row r="963" ht="30.0" customHeight="1">
      <c r="AH963" s="5"/>
      <c r="AI963" s="5"/>
      <c r="AJ963" s="5"/>
    </row>
    <row r="964" ht="30.0" customHeight="1">
      <c r="AH964" s="5"/>
      <c r="AI964" s="5"/>
      <c r="AJ964" s="5"/>
    </row>
    <row r="965" ht="30.0" customHeight="1">
      <c r="AH965" s="5"/>
      <c r="AI965" s="5"/>
      <c r="AJ965" s="5"/>
    </row>
    <row r="966" ht="30.0" customHeight="1">
      <c r="AH966" s="5"/>
      <c r="AI966" s="5"/>
      <c r="AJ966" s="5"/>
    </row>
    <row r="967" ht="30.0" customHeight="1">
      <c r="AH967" s="5"/>
      <c r="AI967" s="5"/>
      <c r="AJ967" s="5"/>
    </row>
    <row r="968" ht="30.0" customHeight="1">
      <c r="AH968" s="5"/>
      <c r="AI968" s="5"/>
      <c r="AJ968" s="5"/>
    </row>
    <row r="969" ht="30.0" customHeight="1">
      <c r="AH969" s="5"/>
      <c r="AI969" s="5"/>
      <c r="AJ969" s="5"/>
    </row>
    <row r="970" ht="30.0" customHeight="1">
      <c r="AH970" s="5"/>
      <c r="AI970" s="5"/>
      <c r="AJ970" s="5"/>
    </row>
    <row r="971" ht="30.0" customHeight="1">
      <c r="AH971" s="5"/>
      <c r="AI971" s="5"/>
      <c r="AJ971" s="5"/>
    </row>
    <row r="972" ht="30.0" customHeight="1">
      <c r="AH972" s="5"/>
      <c r="AI972" s="5"/>
      <c r="AJ972" s="5"/>
    </row>
    <row r="973" ht="30.0" customHeight="1">
      <c r="AH973" s="5"/>
      <c r="AI973" s="5"/>
      <c r="AJ973" s="5"/>
    </row>
    <row r="974" ht="30.0" customHeight="1">
      <c r="AH974" s="5"/>
      <c r="AI974" s="5"/>
      <c r="AJ974" s="5"/>
    </row>
    <row r="975" ht="30.0" customHeight="1">
      <c r="AH975" s="5"/>
      <c r="AI975" s="5"/>
      <c r="AJ975" s="5"/>
    </row>
    <row r="976" ht="30.0" customHeight="1">
      <c r="AH976" s="5"/>
      <c r="AI976" s="5"/>
      <c r="AJ976" s="5"/>
    </row>
    <row r="977" ht="30.0" customHeight="1">
      <c r="AH977" s="5"/>
      <c r="AI977" s="5"/>
      <c r="AJ977" s="5"/>
    </row>
    <row r="978" ht="30.0" customHeight="1">
      <c r="AH978" s="5"/>
      <c r="AI978" s="5"/>
      <c r="AJ978" s="5"/>
    </row>
    <row r="979" ht="30.0" customHeight="1">
      <c r="AH979" s="5"/>
      <c r="AI979" s="5"/>
      <c r="AJ979" s="5"/>
    </row>
    <row r="980" ht="30.0" customHeight="1">
      <c r="AH980" s="5"/>
      <c r="AI980" s="5"/>
      <c r="AJ980" s="5"/>
    </row>
    <row r="981" ht="30.0" customHeight="1">
      <c r="AH981" s="5"/>
      <c r="AI981" s="5"/>
      <c r="AJ981" s="5"/>
    </row>
    <row r="982" ht="30.0" customHeight="1">
      <c r="AH982" s="5"/>
      <c r="AI982" s="5"/>
      <c r="AJ982" s="5"/>
    </row>
    <row r="983" ht="30.0" customHeight="1">
      <c r="AH983" s="5"/>
      <c r="AI983" s="5"/>
      <c r="AJ983" s="5"/>
    </row>
    <row r="984" ht="30.0" customHeight="1">
      <c r="AH984" s="5"/>
      <c r="AI984" s="5"/>
      <c r="AJ984" s="5"/>
    </row>
    <row r="985" ht="30.0" customHeight="1">
      <c r="AH985" s="5"/>
      <c r="AI985" s="5"/>
      <c r="AJ985" s="5"/>
    </row>
    <row r="986" ht="30.0" customHeight="1">
      <c r="AH986" s="5"/>
      <c r="AI986" s="5"/>
      <c r="AJ986" s="5"/>
    </row>
    <row r="987" ht="30.0" customHeight="1">
      <c r="AH987" s="5"/>
      <c r="AI987" s="5"/>
      <c r="AJ987" s="5"/>
    </row>
    <row r="988" ht="30.0" customHeight="1">
      <c r="AH988" s="5"/>
      <c r="AI988" s="5"/>
      <c r="AJ988" s="5"/>
    </row>
    <row r="989" ht="30.0" customHeight="1">
      <c r="AH989" s="5"/>
      <c r="AI989" s="5"/>
      <c r="AJ989" s="5"/>
    </row>
    <row r="990" ht="30.0" customHeight="1">
      <c r="AH990" s="5"/>
      <c r="AI990" s="5"/>
      <c r="AJ990" s="5"/>
    </row>
    <row r="991" ht="30.0" customHeight="1">
      <c r="AH991" s="5"/>
      <c r="AI991" s="5"/>
      <c r="AJ991" s="5"/>
    </row>
    <row r="992" ht="30.0" customHeight="1">
      <c r="AH992" s="5"/>
      <c r="AI992" s="5"/>
      <c r="AJ992" s="5"/>
    </row>
    <row r="993" ht="30.0" customHeight="1">
      <c r="AH993" s="5"/>
      <c r="AI993" s="5"/>
      <c r="AJ993" s="5"/>
    </row>
    <row r="994" ht="30.0" customHeight="1">
      <c r="AH994" s="5"/>
      <c r="AI994" s="5"/>
      <c r="AJ994" s="5"/>
    </row>
    <row r="995" ht="30.0" customHeight="1">
      <c r="AH995" s="5"/>
      <c r="AI995" s="5"/>
      <c r="AJ995" s="5"/>
    </row>
    <row r="996" ht="30.0" customHeight="1">
      <c r="AH996" s="5"/>
      <c r="AI996" s="5"/>
      <c r="AJ996" s="5"/>
    </row>
    <row r="997" ht="30.0" customHeight="1">
      <c r="AH997" s="5"/>
      <c r="AI997" s="5"/>
      <c r="AJ997" s="5"/>
    </row>
    <row r="998" ht="30.0" customHeight="1">
      <c r="AH998" s="5"/>
      <c r="AI998" s="5"/>
      <c r="AJ998" s="5"/>
    </row>
    <row r="999" ht="30.0" customHeight="1">
      <c r="AH999" s="5"/>
      <c r="AI999" s="5"/>
      <c r="AJ999" s="5"/>
    </row>
    <row r="1000" ht="30.0" customHeight="1">
      <c r="AH1000" s="5"/>
      <c r="AI1000" s="5"/>
      <c r="AJ1000" s="5"/>
    </row>
    <row r="1001" ht="30.0" customHeight="1">
      <c r="AH1001" s="5"/>
      <c r="AI1001" s="5"/>
      <c r="AJ1001" s="5"/>
    </row>
    <row r="1002" ht="30.0" customHeight="1">
      <c r="AH1002" s="5"/>
      <c r="AI1002" s="5"/>
      <c r="AJ1002" s="5"/>
    </row>
    <row r="1003" ht="30.0" customHeight="1">
      <c r="AH1003" s="5"/>
      <c r="AI1003" s="5"/>
      <c r="AJ1003" s="5"/>
    </row>
    <row r="1004" ht="30.0" customHeight="1">
      <c r="AH1004" s="5"/>
      <c r="AI1004" s="5"/>
      <c r="AJ1004" s="5"/>
    </row>
    <row r="1005" ht="30.0" customHeight="1">
      <c r="AH1005" s="5"/>
      <c r="AI1005" s="5"/>
      <c r="AJ1005" s="5"/>
    </row>
    <row r="1006" ht="30.0" customHeight="1">
      <c r="AH1006" s="5"/>
      <c r="AI1006" s="5"/>
      <c r="AJ1006" s="5"/>
    </row>
    <row r="1007" ht="30.0" customHeight="1">
      <c r="AH1007" s="5"/>
      <c r="AI1007" s="5"/>
      <c r="AJ1007" s="5"/>
    </row>
    <row r="1008" ht="30.0" customHeight="1">
      <c r="AH1008" s="5"/>
      <c r="AI1008" s="5"/>
      <c r="AJ1008" s="5"/>
    </row>
    <row r="1009" ht="30.0" customHeight="1">
      <c r="AH1009" s="5"/>
      <c r="AI1009" s="5"/>
      <c r="AJ1009" s="5"/>
    </row>
    <row r="1010" ht="30.0" customHeight="1">
      <c r="AH1010" s="5"/>
      <c r="AI1010" s="5"/>
      <c r="AJ1010" s="5"/>
    </row>
    <row r="1011" ht="30.0" customHeight="1">
      <c r="AH1011" s="5"/>
      <c r="AI1011" s="5"/>
      <c r="AJ1011" s="5"/>
    </row>
    <row r="1012" ht="30.0" customHeight="1">
      <c r="AH1012" s="5"/>
      <c r="AI1012" s="5"/>
      <c r="AJ1012" s="5"/>
    </row>
    <row r="1013" ht="30.0" customHeight="1">
      <c r="AH1013" s="5"/>
      <c r="AI1013" s="5"/>
      <c r="AJ1013" s="5"/>
    </row>
    <row r="1014" ht="30.0" customHeight="1">
      <c r="AH1014" s="5"/>
      <c r="AI1014" s="5"/>
      <c r="AJ1014" s="5"/>
    </row>
    <row r="1015" ht="30.0" customHeight="1">
      <c r="AH1015" s="5"/>
      <c r="AI1015" s="5"/>
      <c r="AJ1015" s="5"/>
    </row>
    <row r="1016" ht="30.0" customHeight="1">
      <c r="AH1016" s="5"/>
      <c r="AI1016" s="5"/>
      <c r="AJ1016" s="5"/>
    </row>
    <row r="1017" ht="30.0" customHeight="1">
      <c r="AH1017" s="5"/>
      <c r="AI1017" s="5"/>
      <c r="AJ1017" s="5"/>
    </row>
    <row r="1018" ht="30.0" customHeight="1">
      <c r="AH1018" s="5"/>
      <c r="AI1018" s="5"/>
      <c r="AJ1018" s="5"/>
    </row>
    <row r="1019" ht="30.0" customHeight="1">
      <c r="AH1019" s="5"/>
      <c r="AI1019" s="5"/>
      <c r="AJ1019" s="5"/>
    </row>
    <row r="1020" ht="30.0" customHeight="1">
      <c r="AH1020" s="5"/>
      <c r="AI1020" s="5"/>
      <c r="AJ1020" s="5"/>
    </row>
    <row r="1021" ht="30.0" customHeight="1">
      <c r="AH1021" s="5"/>
      <c r="AI1021" s="5"/>
      <c r="AJ1021" s="5"/>
    </row>
    <row r="1022" ht="30.0" customHeight="1">
      <c r="AH1022" s="5"/>
      <c r="AI1022" s="5"/>
      <c r="AJ1022" s="5"/>
    </row>
    <row r="1023" ht="30.0" customHeight="1">
      <c r="AH1023" s="5"/>
      <c r="AI1023" s="5"/>
      <c r="AJ1023" s="5"/>
    </row>
    <row r="1024" ht="30.0" customHeight="1">
      <c r="AH1024" s="5"/>
      <c r="AI1024" s="5"/>
      <c r="AJ1024" s="5"/>
    </row>
    <row r="1025" ht="30.0" customHeight="1">
      <c r="AH1025" s="5"/>
      <c r="AI1025" s="5"/>
      <c r="AJ1025" s="5"/>
    </row>
    <row r="1026" ht="30.0" customHeight="1">
      <c r="AH1026" s="5"/>
      <c r="AI1026" s="5"/>
      <c r="AJ1026" s="5"/>
    </row>
    <row r="1027" ht="30.0" customHeight="1">
      <c r="AH1027" s="5"/>
      <c r="AI1027" s="5"/>
      <c r="AJ1027" s="5"/>
    </row>
    <row r="1028" ht="30.0" customHeight="1">
      <c r="AH1028" s="5"/>
      <c r="AI1028" s="5"/>
      <c r="AJ1028" s="5"/>
    </row>
    <row r="1029" ht="30.0" customHeight="1">
      <c r="AH1029" s="5"/>
      <c r="AI1029" s="5"/>
      <c r="AJ1029" s="5"/>
    </row>
    <row r="1030" ht="30.0" customHeight="1">
      <c r="AH1030" s="5"/>
      <c r="AI1030" s="5"/>
      <c r="AJ1030" s="5"/>
    </row>
    <row r="1031" ht="30.0" customHeight="1">
      <c r="AH1031" s="5"/>
      <c r="AI1031" s="5"/>
      <c r="AJ1031" s="5"/>
    </row>
    <row r="1032" ht="30.0" customHeight="1">
      <c r="AH1032" s="5"/>
      <c r="AI1032" s="5"/>
      <c r="AJ1032" s="5"/>
    </row>
    <row r="1033" ht="30.0" customHeight="1">
      <c r="AH1033" s="5"/>
      <c r="AI1033" s="5"/>
      <c r="AJ1033" s="5"/>
    </row>
    <row r="1034" ht="30.0" customHeight="1">
      <c r="AH1034" s="5"/>
      <c r="AI1034" s="5"/>
      <c r="AJ1034" s="5"/>
    </row>
    <row r="1035" ht="30.0" customHeight="1">
      <c r="AH1035" s="5"/>
      <c r="AI1035" s="5"/>
      <c r="AJ1035" s="5"/>
    </row>
    <row r="1036" ht="30.0" customHeight="1">
      <c r="AH1036" s="5"/>
      <c r="AI1036" s="5"/>
      <c r="AJ1036" s="5"/>
    </row>
    <row r="1037" ht="30.0" customHeight="1">
      <c r="AH1037" s="5"/>
      <c r="AI1037" s="5"/>
      <c r="AJ1037" s="5"/>
    </row>
  </sheetData>
  <mergeCells count="16">
    <mergeCell ref="B1:X1"/>
    <mergeCell ref="D2:F2"/>
    <mergeCell ref="H2:J2"/>
    <mergeCell ref="L2:N2"/>
    <mergeCell ref="P2:S2"/>
    <mergeCell ref="U2:X2"/>
    <mergeCell ref="C4:AG4"/>
    <mergeCell ref="C179:AG179"/>
    <mergeCell ref="C189:AG189"/>
    <mergeCell ref="C10:AG10"/>
    <mergeCell ref="C37:AG37"/>
    <mergeCell ref="C64:AG64"/>
    <mergeCell ref="C97:AG97"/>
    <mergeCell ref="C123:AG123"/>
    <mergeCell ref="C149:AG149"/>
    <mergeCell ref="C166:AG166"/>
  </mergeCells>
  <conditionalFormatting sqref="C7:AG7 N33 Q33 X33:Y33">
    <cfRule type="expression" dxfId="5" priority="1" stopIfTrue="1">
      <formula>C7=""</formula>
    </cfRule>
  </conditionalFormatting>
  <conditionalFormatting sqref="K7 N7 R7 T7 C33:AC33 AE33:AG33">
    <cfRule type="expression" dxfId="5" priority="2" stopIfTrue="1">
      <formula>#REF!=""</formula>
    </cfRule>
  </conditionalFormatting>
  <conditionalFormatting sqref="AH42:AI42">
    <cfRule type="expression" dxfId="5" priority="3" stopIfTrue="1">
      <formula>AH42=""</formula>
    </cfRule>
  </conditionalFormatting>
  <conditionalFormatting sqref="C94:H94 J94:K94 M94:W94 Y94:AD94 AF94:AG94">
    <cfRule type="expression" dxfId="5" priority="4" stopIfTrue="1">
      <formula>#REF!=""</formula>
    </cfRule>
  </conditionalFormatting>
  <conditionalFormatting sqref="C120:K120 N120:AG120 C162:L163 N162:AG163">
    <cfRule type="expression" dxfId="5" priority="5" stopIfTrue="1">
      <formula>#REF!=""</formula>
    </cfRule>
  </conditionalFormatting>
  <dataValidations>
    <dataValidation type="list" allowBlank="1" showErrorMessage="1" sqref="B7 B13:B33 B40:B59 B67:B94 B102:B120 B128:B144 B153:B163 B171:B176 B184:B186 B194:B196">
      <formula1>'Nombres de los alumnos '!$B$4:$B$1016</formula1>
    </dataValidation>
    <dataValidation type="list" allowBlank="1" showErrorMessage="1" sqref="B100:B101 B126:B127 B152 B169:B170 B182:B183 B192:B193">
      <formula1>'Nombres de los alumnos '!$B$4:$B$999999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1E11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3" width="4.71"/>
    <col customWidth="1" min="34" max="36" width="20.86"/>
  </cols>
  <sheetData>
    <row r="1" ht="49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AH1" s="5"/>
      <c r="AI1" s="5"/>
      <c r="AJ1" s="5"/>
    </row>
    <row r="2" ht="15.0" customHeight="1">
      <c r="B2" s="6" t="s">
        <v>1</v>
      </c>
      <c r="C2" s="7" t="s">
        <v>2</v>
      </c>
      <c r="D2" s="8" t="s">
        <v>3</v>
      </c>
      <c r="E2" s="3"/>
      <c r="F2" s="4"/>
      <c r="G2" s="9" t="s">
        <v>4</v>
      </c>
      <c r="H2" s="8" t="s">
        <v>5</v>
      </c>
      <c r="I2" s="3"/>
      <c r="J2" s="4"/>
      <c r="K2" s="10" t="s">
        <v>6</v>
      </c>
      <c r="L2" s="8" t="s">
        <v>7</v>
      </c>
      <c r="M2" s="3"/>
      <c r="N2" s="4"/>
      <c r="O2" s="11" t="s">
        <v>8</v>
      </c>
      <c r="P2" s="8" t="s">
        <v>9</v>
      </c>
      <c r="Q2" s="3"/>
      <c r="R2" s="3"/>
      <c r="S2" s="4"/>
      <c r="T2" s="12" t="s">
        <v>10</v>
      </c>
      <c r="U2" s="8" t="s">
        <v>11</v>
      </c>
      <c r="V2" s="3"/>
      <c r="W2" s="3"/>
      <c r="X2" s="4"/>
      <c r="AH2" s="5"/>
      <c r="AI2" s="5"/>
      <c r="AJ2" s="5"/>
    </row>
    <row r="3" ht="15.0" customHeight="1">
      <c r="AH3" s="13"/>
      <c r="AI3" s="13"/>
      <c r="AJ3" s="13"/>
    </row>
    <row r="4" ht="30.0" customHeight="1">
      <c r="B4" s="14" t="s">
        <v>12</v>
      </c>
      <c r="C4" s="15" t="s">
        <v>13</v>
      </c>
      <c r="AH4" s="15">
        <v>2026.0</v>
      </c>
      <c r="AI4" s="15"/>
      <c r="AJ4" s="15"/>
    </row>
    <row r="5" ht="15.0" customHeight="1">
      <c r="B5" s="14"/>
      <c r="C5" s="16" t="str">
        <f>TEXT(WEEKDAY(DATE(Setiembre!CalendarioAño,1,1),1),"ddd")</f>
        <v>jue</v>
      </c>
      <c r="D5" s="16" t="str">
        <f>TEXT(WEEKDAY(DATE(Setiembre!CalendarioAño,1,2),1),"ddd")</f>
        <v>vie</v>
      </c>
      <c r="E5" s="16" t="str">
        <f>TEXT(WEEKDAY(DATE(Setiembre!CalendarioAño,1,3),1),"ddd")</f>
        <v>sáb</v>
      </c>
      <c r="F5" s="16" t="str">
        <f>TEXT(WEEKDAY(DATE(Setiembre!CalendarioAño,1,4),1),"ddd")</f>
        <v>dom</v>
      </c>
      <c r="G5" s="16" t="str">
        <f>TEXT(WEEKDAY(DATE(Setiembre!CalendarioAño,1,5),1),"ddd")</f>
        <v>lun</v>
      </c>
      <c r="H5" s="16" t="str">
        <f>TEXT(WEEKDAY(DATE(Setiembre!CalendarioAño,1,6),1),"ddd")</f>
        <v>mar</v>
      </c>
      <c r="I5" s="16" t="str">
        <f>TEXT(WEEKDAY(DATE(Setiembre!CalendarioAño,1,7),1),"ddd")</f>
        <v>mié</v>
      </c>
      <c r="J5" s="16" t="str">
        <f>TEXT(WEEKDAY(DATE(Setiembre!CalendarioAño,1,8),1),"ddd")</f>
        <v>jue</v>
      </c>
      <c r="K5" s="16" t="str">
        <f>TEXT(WEEKDAY(DATE(Setiembre!CalendarioAño,1,9),1),"ddd")</f>
        <v>vie</v>
      </c>
      <c r="L5" s="16" t="str">
        <f>TEXT(WEEKDAY(DATE(Setiembre!CalendarioAño,1,10),1),"ddd")</f>
        <v>sáb</v>
      </c>
      <c r="M5" s="16" t="str">
        <f>TEXT(WEEKDAY(DATE(Setiembre!CalendarioAño,1,11),1),"ddd")</f>
        <v>dom</v>
      </c>
      <c r="N5" s="16" t="str">
        <f>TEXT(WEEKDAY(DATE(Setiembre!CalendarioAño,1,12),1),"ddd")</f>
        <v>lun</v>
      </c>
      <c r="O5" s="16" t="str">
        <f>TEXT(WEEKDAY(DATE(Setiembre!CalendarioAño,1,13),1),"ddd")</f>
        <v>mar</v>
      </c>
      <c r="P5" s="16" t="str">
        <f>TEXT(WEEKDAY(DATE(Setiembre!CalendarioAño,1,14),1),"ddd")</f>
        <v>mié</v>
      </c>
      <c r="Q5" s="16" t="str">
        <f>TEXT(WEEKDAY(DATE(Setiembre!CalendarioAño,1,15),1),"ddd")</f>
        <v>jue</v>
      </c>
      <c r="R5" s="16" t="str">
        <f>TEXT(WEEKDAY(DATE(Setiembre!CalendarioAño,1,16),1),"ddd")</f>
        <v>vie</v>
      </c>
      <c r="S5" s="16" t="str">
        <f>TEXT(WEEKDAY(DATE(Setiembre!CalendarioAño,1,17),1),"ddd")</f>
        <v>sáb</v>
      </c>
      <c r="T5" s="16" t="str">
        <f>TEXT(WEEKDAY(DATE(Setiembre!CalendarioAño,1,18),1),"ddd")</f>
        <v>dom</v>
      </c>
      <c r="U5" s="16" t="str">
        <f>TEXT(WEEKDAY(DATE(Setiembre!CalendarioAño,1,19),1),"ddd")</f>
        <v>lun</v>
      </c>
      <c r="V5" s="16" t="str">
        <f>TEXT(WEEKDAY(DATE(Setiembre!CalendarioAño,1,20),1),"ddd")</f>
        <v>mar</v>
      </c>
      <c r="W5" s="16" t="str">
        <f>TEXT(WEEKDAY(DATE(Setiembre!CalendarioAño,1,21),1),"ddd")</f>
        <v>mié</v>
      </c>
      <c r="X5" s="16" t="str">
        <f>TEXT(WEEKDAY(DATE(Setiembre!CalendarioAño,1,22),1),"ddd")</f>
        <v>jue</v>
      </c>
      <c r="Y5" s="16" t="str">
        <f>TEXT(WEEKDAY(DATE(Setiembre!CalendarioAño,1,23),1),"ddd")</f>
        <v>vie</v>
      </c>
      <c r="Z5" s="16" t="str">
        <f>TEXT(WEEKDAY(DATE(Setiembre!CalendarioAño,1,24),1),"ddd")</f>
        <v>sáb</v>
      </c>
      <c r="AA5" s="16" t="str">
        <f>TEXT(WEEKDAY(DATE(Setiembre!CalendarioAño,1,25),1),"ddd")</f>
        <v>dom</v>
      </c>
      <c r="AB5" s="16" t="str">
        <f>TEXT(WEEKDAY(DATE(Setiembre!CalendarioAño,1,26),1),"ddd")</f>
        <v>lun</v>
      </c>
      <c r="AC5" s="16" t="str">
        <f>TEXT(WEEKDAY(DATE(Setiembre!CalendarioAño,1,27),1),"ddd")</f>
        <v>mar</v>
      </c>
      <c r="AD5" s="16" t="str">
        <f>TEXT(WEEKDAY(DATE(Setiembre!CalendarioAño,1,28),1),"ddd")</f>
        <v>mié</v>
      </c>
      <c r="AE5" s="16" t="str">
        <f>TEXT(WEEKDAY(DATE(Setiembre!CalendarioAño,1,29),1),"ddd")</f>
        <v>jue</v>
      </c>
      <c r="AF5" s="16" t="str">
        <f>TEXT(WEEKDAY(DATE(Setiembre!CalendarioAño,1,30),1),"ddd")</f>
        <v>vie</v>
      </c>
      <c r="AG5" s="16" t="str">
        <f>TEXT(WEEKDAY(DATE(Setiembre!CalendarioAño,1,31),1),"ddd")</f>
        <v>sáb</v>
      </c>
      <c r="AH5" s="14"/>
      <c r="AI5" s="14"/>
      <c r="AJ5" s="14"/>
    </row>
    <row r="6" ht="15.0" customHeight="1">
      <c r="A6" s="17"/>
      <c r="B6" s="18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  <c r="I6" s="19" t="s">
        <v>21</v>
      </c>
      <c r="J6" s="19" t="s">
        <v>22</v>
      </c>
      <c r="K6" s="19" t="s">
        <v>23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19" t="s">
        <v>36</v>
      </c>
      <c r="Y6" s="19" t="s">
        <v>37</v>
      </c>
      <c r="Z6" s="19" t="s">
        <v>38</v>
      </c>
      <c r="AA6" s="19" t="s">
        <v>39</v>
      </c>
      <c r="AB6" s="19" t="s">
        <v>40</v>
      </c>
      <c r="AC6" s="19" t="s">
        <v>41</v>
      </c>
      <c r="AD6" s="19" t="s">
        <v>42</v>
      </c>
      <c r="AE6" s="19" t="s">
        <v>43</v>
      </c>
      <c r="AF6" s="19" t="s">
        <v>44</v>
      </c>
      <c r="AG6" s="19" t="s">
        <v>45</v>
      </c>
      <c r="AH6" s="19" t="s">
        <v>46</v>
      </c>
      <c r="AI6" s="19"/>
      <c r="AJ6" s="19"/>
    </row>
    <row r="7" ht="30.0" customHeight="1">
      <c r="B7" s="20"/>
      <c r="C7" s="21"/>
      <c r="D7" s="21"/>
      <c r="E7" s="21"/>
      <c r="F7" s="22"/>
      <c r="G7" s="22"/>
      <c r="H7" s="21"/>
      <c r="I7" s="21"/>
      <c r="J7" s="21"/>
      <c r="K7" s="22"/>
      <c r="L7" s="21"/>
      <c r="M7" s="21"/>
      <c r="N7" s="22"/>
      <c r="O7" s="21"/>
      <c r="P7" s="21"/>
      <c r="Q7" s="21"/>
      <c r="R7" s="22"/>
      <c r="S7" s="21"/>
      <c r="T7" s="22"/>
      <c r="U7" s="22"/>
      <c r="V7" s="21"/>
      <c r="W7" s="21"/>
      <c r="X7" s="21"/>
      <c r="Y7" s="22"/>
      <c r="Z7" s="21"/>
      <c r="AA7" s="22"/>
      <c r="AB7" s="22"/>
      <c r="AC7" s="21"/>
      <c r="AD7" s="21"/>
      <c r="AE7" s="21"/>
      <c r="AF7" s="22"/>
      <c r="AG7" s="21"/>
      <c r="AH7" s="23"/>
      <c r="AI7" s="23"/>
      <c r="AJ7" s="23"/>
    </row>
    <row r="8" ht="30.0" customHeight="1">
      <c r="B8" s="24" t="str">
        <f>Setiembre!MonthName&amp;" Total"</f>
        <v>Enero Total</v>
      </c>
      <c r="C8" s="25">
        <f>SUBTOTAL(103,Setiembre!$C$7)</f>
        <v>0</v>
      </c>
      <c r="D8" s="25">
        <f>SUBTOTAL(103,Setiembre!$D$7)</f>
        <v>0</v>
      </c>
      <c r="E8" s="25">
        <f>SUBTOTAL(103,Setiembre!$E$7)</f>
        <v>0</v>
      </c>
      <c r="F8" s="25">
        <f>SUBTOTAL(103,Setiembre!$F$7)</f>
        <v>0</v>
      </c>
      <c r="G8" s="25">
        <f>SUBTOTAL(103,Setiembre!$G$7)</f>
        <v>0</v>
      </c>
      <c r="H8" s="25">
        <f>SUBTOTAL(103,Setiembre!$H$7)</f>
        <v>0</v>
      </c>
      <c r="I8" s="25">
        <f>SUBTOTAL(103,Setiembre!$I$7)</f>
        <v>0</v>
      </c>
      <c r="J8" s="25">
        <f>SUBTOTAL(103,Setiembre!$J$7)</f>
        <v>0</v>
      </c>
      <c r="K8" s="25">
        <f>SUBTOTAL(103,Setiembre!$K$7)</f>
        <v>0</v>
      </c>
      <c r="L8" s="25">
        <f>SUBTOTAL(103,Setiembre!$L$7)</f>
        <v>0</v>
      </c>
      <c r="M8" s="25">
        <f>SUBTOTAL(103,Setiembre!$M$7)</f>
        <v>0</v>
      </c>
      <c r="N8" s="25">
        <f>SUBTOTAL(103,Setiembre!$N$7)</f>
        <v>0</v>
      </c>
      <c r="O8" s="25">
        <f>SUBTOTAL(103,Setiembre!$O$7)</f>
        <v>0</v>
      </c>
      <c r="P8" s="25">
        <f>SUBTOTAL(103,Setiembre!$P$7)</f>
        <v>0</v>
      </c>
      <c r="Q8" s="25">
        <f>SUBTOTAL(103,Setiembre!$Q$7)</f>
        <v>0</v>
      </c>
      <c r="R8" s="25">
        <f>SUBTOTAL(103,Setiembre!$R$7)</f>
        <v>0</v>
      </c>
      <c r="S8" s="25">
        <f>SUBTOTAL(103,Setiembre!$S$7)</f>
        <v>0</v>
      </c>
      <c r="T8" s="25">
        <f>SUBTOTAL(103,Setiembre!$T$7)</f>
        <v>0</v>
      </c>
      <c r="U8" s="25">
        <f>SUBTOTAL(103,Setiembre!$U$7)</f>
        <v>0</v>
      </c>
      <c r="V8" s="25">
        <f>SUBTOTAL(103,Setiembre!$V$7)</f>
        <v>0</v>
      </c>
      <c r="W8" s="25">
        <f>SUBTOTAL(103,Setiembre!$W$7)</f>
        <v>0</v>
      </c>
      <c r="X8" s="25">
        <f>SUBTOTAL(103,Setiembre!$X$7)</f>
        <v>0</v>
      </c>
      <c r="Y8" s="25">
        <f>SUBTOTAL(103,Setiembre!$Y$7)</f>
        <v>0</v>
      </c>
      <c r="Z8" s="25">
        <f>SUBTOTAL(103,Setiembre!$Z$7)</f>
        <v>0</v>
      </c>
      <c r="AA8" s="25">
        <f>SUBTOTAL(103,Setiembre!$AA$7)</f>
        <v>0</v>
      </c>
      <c r="AB8" s="25">
        <f>SUBTOTAL(103,Setiembre!$AB$7)</f>
        <v>0</v>
      </c>
      <c r="AC8" s="25">
        <f>SUBTOTAL(103,Setiembre!$AC$7)</f>
        <v>0</v>
      </c>
      <c r="AD8" s="25">
        <f>SUBTOTAL(103,Setiembre!$AD$7)</f>
        <v>0</v>
      </c>
      <c r="AE8" s="25">
        <f>SUBTOTAL(103,Setiembre!$AE$7)</f>
        <v>0</v>
      </c>
      <c r="AF8" s="25">
        <f>SUBTOTAL(103,Setiembre!$AF$7)</f>
        <v>0</v>
      </c>
      <c r="AG8" s="25">
        <f>SUBTOTAL(103,Setiembre!$AG$7)</f>
        <v>0</v>
      </c>
      <c r="AH8" s="25"/>
      <c r="AI8" s="25"/>
      <c r="AJ8" s="25"/>
    </row>
    <row r="9" ht="30.0" customHeight="1">
      <c r="AH9" s="5"/>
      <c r="AI9" s="5"/>
      <c r="AJ9" s="5"/>
    </row>
    <row r="10" ht="30.0" customHeight="1">
      <c r="B10" s="26" t="s">
        <v>12</v>
      </c>
      <c r="C10" s="27" t="s">
        <v>47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9">
        <v>2026.0</v>
      </c>
      <c r="AI10" s="15"/>
      <c r="AJ10" s="15"/>
    </row>
    <row r="11" ht="30.0" customHeight="1">
      <c r="B11" s="30"/>
      <c r="C11" s="16" t="str">
        <f>TEXT(WEEKDAY(DATE(Setiembre!CalendarioAño,1,1),1),"ddd")</f>
        <v>jue</v>
      </c>
      <c r="D11" s="16" t="str">
        <f>TEXT(WEEKDAY(DATE(Setiembre!CalendarioAño,1,2),1),"ddd")</f>
        <v>vie</v>
      </c>
      <c r="E11" s="16" t="str">
        <f>TEXT(WEEKDAY(DATE(Setiembre!CalendarioAño,1,3),1),"ddd")</f>
        <v>sáb</v>
      </c>
      <c r="F11" s="16" t="str">
        <f>TEXT(WEEKDAY(DATE(Setiembre!CalendarioAño,1,4),1),"ddd")</f>
        <v>dom</v>
      </c>
      <c r="G11" s="16" t="str">
        <f>TEXT(WEEKDAY(DATE(Setiembre!CalendarioAño,1,5),1),"ddd")</f>
        <v>lun</v>
      </c>
      <c r="H11" s="16" t="str">
        <f>TEXT(WEEKDAY(DATE(Setiembre!CalendarioAño,1,6),1),"ddd")</f>
        <v>mar</v>
      </c>
      <c r="I11" s="16" t="str">
        <f>TEXT(WEEKDAY(DATE(Setiembre!CalendarioAño,1,7),1),"ddd")</f>
        <v>mié</v>
      </c>
      <c r="J11" s="16" t="str">
        <f>TEXT(WEEKDAY(DATE(Setiembre!CalendarioAño,1,8),1),"ddd")</f>
        <v>jue</v>
      </c>
      <c r="K11" s="16" t="str">
        <f>TEXT(WEEKDAY(DATE(Setiembre!CalendarioAño,1,9),1),"ddd")</f>
        <v>vie</v>
      </c>
      <c r="L11" s="16" t="str">
        <f>TEXT(WEEKDAY(DATE(Setiembre!CalendarioAño,1,10),1),"ddd")</f>
        <v>sáb</v>
      </c>
      <c r="M11" s="16" t="str">
        <f>TEXT(WEEKDAY(DATE(Setiembre!CalendarioAño,1,11),1),"ddd")</f>
        <v>dom</v>
      </c>
      <c r="N11" s="16" t="str">
        <f>TEXT(WEEKDAY(DATE(Setiembre!CalendarioAño,1,12),1),"ddd")</f>
        <v>lun</v>
      </c>
      <c r="O11" s="16" t="str">
        <f>TEXT(WEEKDAY(DATE(Setiembre!CalendarioAño,1,13),1),"ddd")</f>
        <v>mar</v>
      </c>
      <c r="P11" s="16" t="str">
        <f>TEXT(WEEKDAY(DATE(Setiembre!CalendarioAño,1,14),1),"ddd")</f>
        <v>mié</v>
      </c>
      <c r="Q11" s="16" t="str">
        <f>TEXT(WEEKDAY(DATE(Setiembre!CalendarioAño,1,15),1),"ddd")</f>
        <v>jue</v>
      </c>
      <c r="R11" s="16" t="str">
        <f>TEXT(WEEKDAY(DATE(Setiembre!CalendarioAño,1,16),1),"ddd")</f>
        <v>vie</v>
      </c>
      <c r="S11" s="16" t="str">
        <f>TEXT(WEEKDAY(DATE(Setiembre!CalendarioAño,1,17),1),"ddd")</f>
        <v>sáb</v>
      </c>
      <c r="T11" s="16" t="str">
        <f>TEXT(WEEKDAY(DATE(Setiembre!CalendarioAño,1,18),1),"ddd")</f>
        <v>dom</v>
      </c>
      <c r="U11" s="16" t="str">
        <f>TEXT(WEEKDAY(DATE(Setiembre!CalendarioAño,1,19),1),"ddd")</f>
        <v>lun</v>
      </c>
      <c r="V11" s="16" t="str">
        <f>TEXT(WEEKDAY(DATE(Setiembre!CalendarioAño,1,20),1),"ddd")</f>
        <v>mar</v>
      </c>
      <c r="W11" s="16" t="str">
        <f>TEXT(WEEKDAY(DATE(Setiembre!CalendarioAño,1,21),1),"ddd")</f>
        <v>mié</v>
      </c>
      <c r="X11" s="16" t="str">
        <f>TEXT(WEEKDAY(DATE(Setiembre!CalendarioAño,1,22),1),"ddd")</f>
        <v>jue</v>
      </c>
      <c r="Y11" s="16" t="str">
        <f>TEXT(WEEKDAY(DATE(Setiembre!CalendarioAño,1,23),1),"ddd")</f>
        <v>vie</v>
      </c>
      <c r="Z11" s="16" t="str">
        <f>TEXT(WEEKDAY(DATE(Setiembre!CalendarioAño,1,24),1),"ddd")</f>
        <v>sáb</v>
      </c>
      <c r="AA11" s="16" t="str">
        <f>TEXT(WEEKDAY(DATE(Setiembre!CalendarioAño,1,25),1),"ddd")</f>
        <v>dom</v>
      </c>
      <c r="AB11" s="16" t="str">
        <f>TEXT(WEEKDAY(DATE(Setiembre!CalendarioAño,1,26),1),"ddd")</f>
        <v>lun</v>
      </c>
      <c r="AC11" s="16" t="str">
        <f>TEXT(WEEKDAY(DATE(Setiembre!CalendarioAño,1,27),1),"ddd")</f>
        <v>mar</v>
      </c>
      <c r="AD11" s="16" t="str">
        <f>TEXT(WEEKDAY(DATE(Setiembre!CalendarioAño,1,28),1),"ddd")</f>
        <v>mié</v>
      </c>
      <c r="AE11" s="16" t="str">
        <f>TEXT(WEEKDAY(DATE(Setiembre!CalendarioAño,1,29),1),"ddd")</f>
        <v>jue</v>
      </c>
      <c r="AF11" s="16" t="str">
        <f>TEXT(WEEKDAY(DATE(Setiembre!CalendarioAño,1,30),1),"ddd")</f>
        <v>vie</v>
      </c>
      <c r="AG11" s="16" t="str">
        <f>TEXT(WEEKDAY(DATE(Setiembre!CalendarioAño,1,31),1),"ddd")</f>
        <v>sáb</v>
      </c>
      <c r="AH11" s="30"/>
      <c r="AI11" s="14"/>
      <c r="AJ11" s="14"/>
    </row>
    <row r="12" ht="21.75" customHeight="1">
      <c r="A12" s="17"/>
      <c r="B12" s="31" t="s">
        <v>14</v>
      </c>
      <c r="C12" s="19" t="s">
        <v>15</v>
      </c>
      <c r="D12" s="19" t="s">
        <v>16</v>
      </c>
      <c r="E12" s="19" t="s">
        <v>17</v>
      </c>
      <c r="F12" s="19" t="s">
        <v>18</v>
      </c>
      <c r="G12" s="19" t="s">
        <v>19</v>
      </c>
      <c r="H12" s="19" t="s">
        <v>20</v>
      </c>
      <c r="I12" s="19" t="s">
        <v>21</v>
      </c>
      <c r="J12" s="19" t="s">
        <v>22</v>
      </c>
      <c r="K12" s="19" t="s">
        <v>23</v>
      </c>
      <c r="L12" s="19" t="s">
        <v>24</v>
      </c>
      <c r="M12" s="19" t="s">
        <v>25</v>
      </c>
      <c r="N12" s="19" t="s">
        <v>26</v>
      </c>
      <c r="O12" s="19" t="s">
        <v>27</v>
      </c>
      <c r="P12" s="19" t="s">
        <v>28</v>
      </c>
      <c r="Q12" s="19" t="s">
        <v>29</v>
      </c>
      <c r="R12" s="19" t="s">
        <v>30</v>
      </c>
      <c r="S12" s="19" t="s">
        <v>31</v>
      </c>
      <c r="T12" s="19" t="s">
        <v>32</v>
      </c>
      <c r="U12" s="19" t="s">
        <v>33</v>
      </c>
      <c r="V12" s="19" t="s">
        <v>34</v>
      </c>
      <c r="W12" s="19" t="s">
        <v>35</v>
      </c>
      <c r="X12" s="19" t="s">
        <v>36</v>
      </c>
      <c r="Y12" s="19" t="s">
        <v>37</v>
      </c>
      <c r="Z12" s="19" t="s">
        <v>38</v>
      </c>
      <c r="AA12" s="19" t="s">
        <v>39</v>
      </c>
      <c r="AB12" s="19" t="s">
        <v>40</v>
      </c>
      <c r="AC12" s="19" t="s">
        <v>41</v>
      </c>
      <c r="AD12" s="19" t="s">
        <v>42</v>
      </c>
      <c r="AE12" s="19" t="s">
        <v>43</v>
      </c>
      <c r="AF12" s="19" t="s">
        <v>44</v>
      </c>
      <c r="AG12" s="19" t="s">
        <v>45</v>
      </c>
      <c r="AH12" s="19" t="s">
        <v>46</v>
      </c>
      <c r="AI12" s="19"/>
      <c r="AJ12" s="19"/>
    </row>
    <row r="13" ht="30.0" customHeight="1">
      <c r="B13" s="32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23"/>
      <c r="AI13" s="23"/>
      <c r="AJ13" s="23"/>
    </row>
    <row r="14" ht="30.0" customHeight="1">
      <c r="B14" s="32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23"/>
      <c r="AI14" s="23"/>
      <c r="AJ14" s="23"/>
    </row>
    <row r="15" ht="30.0" customHeight="1">
      <c r="B15" s="32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23"/>
      <c r="AI15" s="23"/>
      <c r="AJ15" s="23"/>
    </row>
    <row r="16" ht="30.0" customHeight="1">
      <c r="B16" s="32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23"/>
      <c r="AI16" s="23"/>
      <c r="AJ16" s="23"/>
    </row>
    <row r="17" ht="30.0" customHeight="1">
      <c r="B17" s="32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23"/>
      <c r="AI17" s="23"/>
      <c r="AJ17" s="23"/>
    </row>
    <row r="18" ht="30.0" customHeight="1">
      <c r="B18" s="32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23"/>
      <c r="AI18" s="23"/>
      <c r="AJ18" s="23"/>
    </row>
    <row r="19" ht="30.0" customHeight="1">
      <c r="B19" s="32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23"/>
      <c r="AI19" s="23"/>
      <c r="AJ19" s="23"/>
    </row>
    <row r="20" ht="30.0" customHeight="1">
      <c r="B20" s="32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23"/>
      <c r="AI20" s="23"/>
      <c r="AJ20" s="23"/>
    </row>
    <row r="21" ht="30.0" customHeight="1">
      <c r="B21" s="32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23"/>
      <c r="AI21" s="23"/>
      <c r="AJ21" s="23"/>
    </row>
    <row r="22" ht="30.0" customHeight="1">
      <c r="B22" s="32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23"/>
      <c r="AI22" s="23"/>
      <c r="AJ22" s="23"/>
    </row>
    <row r="23" ht="30.0" customHeight="1">
      <c r="B23" s="32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23"/>
      <c r="AI23" s="23"/>
      <c r="AJ23" s="23"/>
    </row>
    <row r="24" ht="30.0" customHeight="1">
      <c r="B24" s="32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23"/>
      <c r="AI24" s="23"/>
      <c r="AJ24" s="23"/>
    </row>
    <row r="25" ht="30.0" customHeight="1">
      <c r="B25" s="32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23"/>
      <c r="AI25" s="23"/>
      <c r="AJ25" s="23"/>
    </row>
    <row r="26" ht="30.0" customHeight="1">
      <c r="B26" s="32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23"/>
      <c r="AI26" s="23"/>
      <c r="AJ26" s="23"/>
    </row>
    <row r="27" ht="30.0" customHeight="1">
      <c r="B27" s="32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23"/>
      <c r="AI27" s="23"/>
      <c r="AJ27" s="23"/>
    </row>
    <row r="28" ht="30.0" customHeight="1">
      <c r="B28" s="32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23"/>
      <c r="AI28" s="23"/>
      <c r="AJ28" s="23"/>
    </row>
    <row r="29" ht="30.0" customHeight="1">
      <c r="B29" s="32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23"/>
      <c r="AI29" s="23"/>
      <c r="AJ29" s="23"/>
    </row>
    <row r="30" ht="30.0" customHeight="1">
      <c r="B30" s="32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23"/>
      <c r="AI30" s="23"/>
      <c r="AJ30" s="23"/>
    </row>
    <row r="31" ht="30.0" customHeight="1">
      <c r="B31" s="32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23"/>
      <c r="AI31" s="23"/>
      <c r="AJ31" s="23"/>
    </row>
    <row r="32" ht="30.0" customHeight="1">
      <c r="B32" s="32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23"/>
      <c r="AI32" s="23"/>
      <c r="AJ32" s="23"/>
    </row>
    <row r="33" ht="30.0" customHeight="1">
      <c r="B33" s="32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2"/>
      <c r="O33" s="21"/>
      <c r="P33" s="21"/>
      <c r="Q33" s="22"/>
      <c r="R33" s="21"/>
      <c r="S33" s="21"/>
      <c r="T33" s="21"/>
      <c r="U33" s="21"/>
      <c r="V33" s="21"/>
      <c r="W33" s="21"/>
      <c r="X33" s="22"/>
      <c r="Y33" s="22"/>
      <c r="Z33" s="21"/>
      <c r="AA33" s="21"/>
      <c r="AB33" s="21"/>
      <c r="AC33" s="21"/>
      <c r="AD33" s="33"/>
      <c r="AE33" s="22"/>
      <c r="AF33" s="21"/>
      <c r="AG33" s="22"/>
      <c r="AH33" s="23"/>
      <c r="AI33" s="23"/>
      <c r="AJ33" s="23"/>
    </row>
    <row r="34" ht="30.0" customHeight="1">
      <c r="B34" s="24" t="str">
        <f>Setiembre!MonthName&amp;" Total"</f>
        <v>Enero Total</v>
      </c>
      <c r="C34" s="25">
        <f>SUBTOTAL(103,Setiembre!$C$7)</f>
        <v>0</v>
      </c>
      <c r="D34" s="25">
        <f>SUBTOTAL(103,Setiembre!$D$7)</f>
        <v>0</v>
      </c>
      <c r="E34" s="25">
        <f>SUBTOTAL(103,Setiembre!$E$7)</f>
        <v>0</v>
      </c>
      <c r="F34" s="25"/>
      <c r="G34" s="25">
        <f>SUBTOTAL(103,Setiembre!$G$7)</f>
        <v>0</v>
      </c>
      <c r="H34" s="25">
        <f>SUBTOTAL(103,Setiembre!$H$7)</f>
        <v>0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ht="30.0" customHeight="1">
      <c r="AH35" s="5"/>
      <c r="AI35" s="5"/>
      <c r="AJ35" s="5"/>
    </row>
    <row r="36" ht="30.0" customHeight="1">
      <c r="AH36" s="5"/>
      <c r="AI36" s="5"/>
      <c r="AJ36" s="5"/>
    </row>
    <row r="37" ht="30.0" customHeight="1">
      <c r="B37" s="30" t="s">
        <v>12</v>
      </c>
      <c r="C37" s="27" t="s">
        <v>67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39">
        <v>2026.0</v>
      </c>
      <c r="AI37" s="15"/>
      <c r="AJ37" s="15"/>
    </row>
    <row r="38" ht="30.0" customHeight="1">
      <c r="B38" s="30"/>
      <c r="C38" s="16" t="str">
        <f>TEXT(WEEKDAY(DATE(Setiembre!CalendarioAño,1,1),1),"ddd")</f>
        <v>jue</v>
      </c>
      <c r="D38" s="16" t="str">
        <f>TEXT(WEEKDAY(DATE(Setiembre!CalendarioAño,1,2),1),"ddd")</f>
        <v>vie</v>
      </c>
      <c r="E38" s="16" t="str">
        <f>TEXT(WEEKDAY(DATE(Setiembre!CalendarioAño,1,3),1),"ddd")</f>
        <v>sáb</v>
      </c>
      <c r="F38" s="16" t="str">
        <f>TEXT(WEEKDAY(DATE(Setiembre!CalendarioAño,1,4),1),"ddd")</f>
        <v>dom</v>
      </c>
      <c r="G38" s="16" t="str">
        <f>TEXT(WEEKDAY(DATE(Setiembre!CalendarioAño,1,5),1),"ddd")</f>
        <v>lun</v>
      </c>
      <c r="H38" s="16" t="str">
        <f>TEXT(WEEKDAY(DATE(Setiembre!CalendarioAño,1,6),1),"ddd")</f>
        <v>mar</v>
      </c>
      <c r="I38" s="16" t="str">
        <f>TEXT(WEEKDAY(DATE(Setiembre!CalendarioAño,1,7),1),"ddd")</f>
        <v>mié</v>
      </c>
      <c r="J38" s="16" t="str">
        <f>TEXT(WEEKDAY(DATE(Setiembre!CalendarioAño,1,8),1),"ddd")</f>
        <v>jue</v>
      </c>
      <c r="K38" s="16" t="str">
        <f>TEXT(WEEKDAY(DATE(Setiembre!CalendarioAño,1,9),1),"ddd")</f>
        <v>vie</v>
      </c>
      <c r="L38" s="16" t="str">
        <f>TEXT(WEEKDAY(DATE(Setiembre!CalendarioAño,1,10),1),"ddd")</f>
        <v>sáb</v>
      </c>
      <c r="M38" s="16" t="str">
        <f>TEXT(WEEKDAY(DATE(Setiembre!CalendarioAño,1,11),1),"ddd")</f>
        <v>dom</v>
      </c>
      <c r="N38" s="16" t="str">
        <f>TEXT(WEEKDAY(DATE(Setiembre!CalendarioAño,1,12),1),"ddd")</f>
        <v>lun</v>
      </c>
      <c r="O38" s="16" t="str">
        <f>TEXT(WEEKDAY(DATE(Setiembre!CalendarioAño,1,13),1),"ddd")</f>
        <v>mar</v>
      </c>
      <c r="P38" s="16" t="str">
        <f>TEXT(WEEKDAY(DATE(Setiembre!CalendarioAño,1,14),1),"ddd")</f>
        <v>mié</v>
      </c>
      <c r="Q38" s="16" t="str">
        <f>TEXT(WEEKDAY(DATE(Setiembre!CalendarioAño,1,15),1),"ddd")</f>
        <v>jue</v>
      </c>
      <c r="R38" s="16" t="str">
        <f>TEXT(WEEKDAY(DATE(Setiembre!CalendarioAño,1,16),1),"ddd")</f>
        <v>vie</v>
      </c>
      <c r="S38" s="16" t="str">
        <f>TEXT(WEEKDAY(DATE(Setiembre!CalendarioAño,1,17),1),"ddd")</f>
        <v>sáb</v>
      </c>
      <c r="T38" s="16" t="str">
        <f>TEXT(WEEKDAY(DATE(Setiembre!CalendarioAño,1,18),1),"ddd")</f>
        <v>dom</v>
      </c>
      <c r="U38" s="16" t="str">
        <f>TEXT(WEEKDAY(DATE(Setiembre!CalendarioAño,1,19),1),"ddd")</f>
        <v>lun</v>
      </c>
      <c r="V38" s="16" t="str">
        <f>TEXT(WEEKDAY(DATE(Setiembre!CalendarioAño,1,20),1),"ddd")</f>
        <v>mar</v>
      </c>
      <c r="W38" s="16" t="str">
        <f>TEXT(WEEKDAY(DATE(Setiembre!CalendarioAño,1,21),1),"ddd")</f>
        <v>mié</v>
      </c>
      <c r="X38" s="16" t="str">
        <f>TEXT(WEEKDAY(DATE(Setiembre!CalendarioAño,1,22),1),"ddd")</f>
        <v>jue</v>
      </c>
      <c r="Y38" s="16" t="str">
        <f>TEXT(WEEKDAY(DATE(Setiembre!CalendarioAño,1,23),1),"ddd")</f>
        <v>vie</v>
      </c>
      <c r="Z38" s="16" t="str">
        <f>TEXT(WEEKDAY(DATE(Setiembre!CalendarioAño,1,24),1),"ddd")</f>
        <v>sáb</v>
      </c>
      <c r="AA38" s="16" t="str">
        <f>TEXT(WEEKDAY(DATE(Setiembre!CalendarioAño,1,25),1),"ddd")</f>
        <v>dom</v>
      </c>
      <c r="AB38" s="16" t="str">
        <f>TEXT(WEEKDAY(DATE(Setiembre!CalendarioAño,1,26),1),"ddd")</f>
        <v>lun</v>
      </c>
      <c r="AC38" s="16" t="str">
        <f>TEXT(WEEKDAY(DATE(Setiembre!CalendarioAño,1,27),1),"ddd")</f>
        <v>mar</v>
      </c>
      <c r="AD38" s="16" t="str">
        <f>TEXT(WEEKDAY(DATE(Setiembre!CalendarioAño,1,28),1),"ddd")</f>
        <v>mié</v>
      </c>
      <c r="AE38" s="16" t="str">
        <f>TEXT(WEEKDAY(DATE(Setiembre!CalendarioAño,1,29),1),"ddd")</f>
        <v>jue</v>
      </c>
      <c r="AF38" s="16" t="str">
        <f>TEXT(WEEKDAY(DATE(Setiembre!CalendarioAño,1,30),1),"ddd")</f>
        <v>vie</v>
      </c>
      <c r="AG38" s="16" t="str">
        <f>TEXT(WEEKDAY(DATE(Setiembre!CalendarioAño,1,31),1),"ddd")</f>
        <v>sáb</v>
      </c>
      <c r="AH38" s="30"/>
      <c r="AI38" s="14"/>
      <c r="AJ38" s="14"/>
    </row>
    <row r="39" ht="30.0" customHeight="1">
      <c r="A39" s="17"/>
      <c r="B39" s="31" t="s">
        <v>14</v>
      </c>
      <c r="C39" s="19" t="s">
        <v>15</v>
      </c>
      <c r="D39" s="19" t="s">
        <v>16</v>
      </c>
      <c r="E39" s="19" t="s">
        <v>17</v>
      </c>
      <c r="F39" s="19" t="s">
        <v>18</v>
      </c>
      <c r="G39" s="19" t="s">
        <v>19</v>
      </c>
      <c r="H39" s="19" t="s">
        <v>20</v>
      </c>
      <c r="I39" s="19" t="s">
        <v>21</v>
      </c>
      <c r="J39" s="19" t="s">
        <v>22</v>
      </c>
      <c r="K39" s="19" t="s">
        <v>23</v>
      </c>
      <c r="L39" s="19" t="s">
        <v>24</v>
      </c>
      <c r="M39" s="19" t="s">
        <v>25</v>
      </c>
      <c r="N39" s="19" t="s">
        <v>26</v>
      </c>
      <c r="O39" s="19" t="s">
        <v>27</v>
      </c>
      <c r="P39" s="19" t="s">
        <v>28</v>
      </c>
      <c r="Q39" s="19" t="s">
        <v>29</v>
      </c>
      <c r="R39" s="19" t="s">
        <v>30</v>
      </c>
      <c r="S39" s="19" t="s">
        <v>31</v>
      </c>
      <c r="T39" s="19" t="s">
        <v>32</v>
      </c>
      <c r="U39" s="19" t="s">
        <v>33</v>
      </c>
      <c r="V39" s="19" t="s">
        <v>34</v>
      </c>
      <c r="W39" s="19" t="s">
        <v>35</v>
      </c>
      <c r="X39" s="19" t="s">
        <v>36</v>
      </c>
      <c r="Y39" s="19" t="s">
        <v>37</v>
      </c>
      <c r="Z39" s="19" t="s">
        <v>38</v>
      </c>
      <c r="AA39" s="19" t="s">
        <v>39</v>
      </c>
      <c r="AB39" s="19" t="s">
        <v>40</v>
      </c>
      <c r="AC39" s="19" t="s">
        <v>41</v>
      </c>
      <c r="AD39" s="19" t="s">
        <v>42</v>
      </c>
      <c r="AE39" s="19" t="s">
        <v>43</v>
      </c>
      <c r="AF39" s="19" t="s">
        <v>44</v>
      </c>
      <c r="AG39" s="19" t="s">
        <v>45</v>
      </c>
      <c r="AH39" s="19" t="s">
        <v>46</v>
      </c>
      <c r="AI39" s="19"/>
      <c r="AJ39" s="19"/>
    </row>
    <row r="40" ht="30.0" customHeight="1">
      <c r="B40" s="40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23"/>
      <c r="AI40" s="23"/>
      <c r="AJ40" s="23"/>
    </row>
    <row r="41" ht="30.0" customHeight="1">
      <c r="B41" s="4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23"/>
      <c r="AI41" s="23"/>
      <c r="AJ41" s="23"/>
    </row>
    <row r="42" ht="30.0" customHeight="1">
      <c r="B42" s="32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21"/>
      <c r="AI42" s="21"/>
      <c r="AJ42" s="33"/>
    </row>
    <row r="43" ht="30.0" customHeight="1">
      <c r="B43" s="32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23"/>
      <c r="AI43" s="23"/>
      <c r="AJ43" s="23"/>
    </row>
    <row r="44" ht="30.0" customHeight="1">
      <c r="B44" s="32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121"/>
      <c r="AI44" s="23"/>
      <c r="AJ44" s="23"/>
    </row>
    <row r="45" ht="30.0" customHeight="1">
      <c r="B45" s="32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23"/>
      <c r="AI45" s="23"/>
      <c r="AJ45" s="23"/>
    </row>
    <row r="46" ht="30.0" customHeight="1">
      <c r="B46" s="32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23"/>
      <c r="AI46" s="23"/>
      <c r="AJ46" s="23"/>
    </row>
    <row r="47" ht="30.0" customHeight="1">
      <c r="B47" s="32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23"/>
      <c r="AI47" s="23"/>
      <c r="AJ47" s="23"/>
    </row>
    <row r="48" ht="30.0" customHeight="1">
      <c r="B48" s="32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23"/>
      <c r="AI48" s="23"/>
      <c r="AJ48" s="23"/>
    </row>
    <row r="49" ht="30.0" customHeight="1">
      <c r="B49" s="40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23"/>
      <c r="AI49" s="23"/>
      <c r="AJ49" s="23"/>
    </row>
    <row r="50" ht="30.0" customHeight="1">
      <c r="B50" s="32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23"/>
      <c r="AI50" s="23"/>
      <c r="AJ50" s="23"/>
    </row>
    <row r="51" ht="30.0" customHeight="1">
      <c r="B51" s="32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23"/>
      <c r="AI51" s="23"/>
      <c r="AJ51" s="23"/>
    </row>
    <row r="52" ht="30.0" customHeight="1">
      <c r="B52" s="32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23"/>
      <c r="AI52" s="23"/>
      <c r="AJ52" s="23"/>
    </row>
    <row r="53" ht="30.0" customHeight="1">
      <c r="B53" s="32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23"/>
      <c r="AI53" s="23"/>
      <c r="AJ53" s="23"/>
    </row>
    <row r="54" ht="30.0" customHeight="1">
      <c r="B54" s="32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23"/>
      <c r="AI54" s="23"/>
      <c r="AJ54" s="23"/>
    </row>
    <row r="55" ht="30.0" customHeight="1">
      <c r="B55" s="32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23"/>
      <c r="AI55" s="23"/>
      <c r="AJ55" s="23"/>
    </row>
    <row r="56" ht="30.0" customHeight="1">
      <c r="B56" s="32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25"/>
      <c r="AI56" s="25"/>
      <c r="AJ56" s="25"/>
    </row>
    <row r="57" ht="30.0" customHeight="1">
      <c r="B57" s="32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25"/>
      <c r="AI57" s="25"/>
      <c r="AJ57" s="25"/>
    </row>
    <row r="58" ht="30.0" customHeight="1">
      <c r="B58" s="32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25"/>
      <c r="AI58" s="25"/>
      <c r="AJ58" s="25"/>
    </row>
    <row r="59" ht="30.0" customHeight="1">
      <c r="B59" s="32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25"/>
      <c r="AI59" s="25"/>
      <c r="AJ59" s="25"/>
    </row>
    <row r="60" ht="30.0" customHeight="1">
      <c r="B60" s="24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ht="30.0" customHeight="1">
      <c r="B61" s="24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ht="30.0" customHeight="1">
      <c r="B62" s="24" t="str">
        <f>Setiembre!MonthName&amp;" Total"</f>
        <v>Enero Total</v>
      </c>
      <c r="C62" s="25">
        <f>SUBTOTAL(103,Setiembre!$C$7)</f>
        <v>0</v>
      </c>
      <c r="D62" s="25">
        <f>SUBTOTAL(103,Setiembre!$D$7)</f>
        <v>0</v>
      </c>
      <c r="E62" s="25">
        <f>SUBTOTAL(103,Setiembre!$E$7)</f>
        <v>0</v>
      </c>
      <c r="F62" s="25"/>
      <c r="G62" s="25">
        <f>SUBTOTAL(103,Setiembre!$G$7)</f>
        <v>0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ht="30.0" customHeight="1">
      <c r="AH63" s="5"/>
      <c r="AI63" s="5"/>
      <c r="AJ63" s="5"/>
    </row>
    <row r="64" ht="30.0" customHeight="1">
      <c r="B64" s="30" t="s">
        <v>12</v>
      </c>
      <c r="C64" s="27" t="s">
        <v>89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39">
        <v>2026.0</v>
      </c>
      <c r="AI64" s="15"/>
      <c r="AJ64" s="15"/>
    </row>
    <row r="65" ht="30.0" customHeight="1">
      <c r="B65" s="30"/>
      <c r="C65" s="16" t="str">
        <f>TEXT(WEEKDAY(DATE(Setiembre!CalendarioAño,1,1),1),"ddd")</f>
        <v>jue</v>
      </c>
      <c r="D65" s="16" t="str">
        <f>TEXT(WEEKDAY(DATE(Setiembre!CalendarioAño,1,2),1),"ddd")</f>
        <v>vie</v>
      </c>
      <c r="E65" s="16" t="str">
        <f>TEXT(WEEKDAY(DATE(Setiembre!CalendarioAño,1,3),1),"ddd")</f>
        <v>sáb</v>
      </c>
      <c r="F65" s="16" t="str">
        <f>TEXT(WEEKDAY(DATE(Setiembre!CalendarioAño,1,4),1),"ddd")</f>
        <v>dom</v>
      </c>
      <c r="G65" s="16" t="str">
        <f>TEXT(WEEKDAY(DATE(Setiembre!CalendarioAño,1,5),1),"ddd")</f>
        <v>lun</v>
      </c>
      <c r="H65" s="16" t="str">
        <f>TEXT(WEEKDAY(DATE(Setiembre!CalendarioAño,1,6),1),"ddd")</f>
        <v>mar</v>
      </c>
      <c r="I65" s="16" t="str">
        <f>TEXT(WEEKDAY(DATE(Setiembre!CalendarioAño,1,7),1),"ddd")</f>
        <v>mié</v>
      </c>
      <c r="J65" s="16" t="str">
        <f>TEXT(WEEKDAY(DATE(Setiembre!CalendarioAño,1,8),1),"ddd")</f>
        <v>jue</v>
      </c>
      <c r="K65" s="16" t="str">
        <f>TEXT(WEEKDAY(DATE(Setiembre!CalendarioAño,1,9),1),"ddd")</f>
        <v>vie</v>
      </c>
      <c r="L65" s="16" t="str">
        <f>TEXT(WEEKDAY(DATE(Setiembre!CalendarioAño,1,10),1),"ddd")</f>
        <v>sáb</v>
      </c>
      <c r="M65" s="16" t="str">
        <f>TEXT(WEEKDAY(DATE(Setiembre!CalendarioAño,1,11),1),"ddd")</f>
        <v>dom</v>
      </c>
      <c r="N65" s="16" t="str">
        <f>TEXT(WEEKDAY(DATE(Setiembre!CalendarioAño,1,12),1),"ddd")</f>
        <v>lun</v>
      </c>
      <c r="O65" s="16" t="str">
        <f>TEXT(WEEKDAY(DATE(Setiembre!CalendarioAño,1,13),1),"ddd")</f>
        <v>mar</v>
      </c>
      <c r="P65" s="16" t="str">
        <f>TEXT(WEEKDAY(DATE(Setiembre!CalendarioAño,1,14),1),"ddd")</f>
        <v>mié</v>
      </c>
      <c r="Q65" s="16" t="str">
        <f>TEXT(WEEKDAY(DATE(Setiembre!CalendarioAño,1,15),1),"ddd")</f>
        <v>jue</v>
      </c>
      <c r="R65" s="16" t="str">
        <f>TEXT(WEEKDAY(DATE(Setiembre!CalendarioAño,1,16),1),"ddd")</f>
        <v>vie</v>
      </c>
      <c r="S65" s="16" t="str">
        <f>TEXT(WEEKDAY(DATE(Setiembre!CalendarioAño,1,17),1),"ddd")</f>
        <v>sáb</v>
      </c>
      <c r="T65" s="16" t="str">
        <f>TEXT(WEEKDAY(DATE(Setiembre!CalendarioAño,1,18),1),"ddd")</f>
        <v>dom</v>
      </c>
      <c r="U65" s="16" t="str">
        <f>TEXT(WEEKDAY(DATE(Setiembre!CalendarioAño,1,19),1),"ddd")</f>
        <v>lun</v>
      </c>
      <c r="V65" s="16" t="str">
        <f>TEXT(WEEKDAY(DATE(Setiembre!CalendarioAño,1,20),1),"ddd")</f>
        <v>mar</v>
      </c>
      <c r="W65" s="16" t="str">
        <f>TEXT(WEEKDAY(DATE(Setiembre!CalendarioAño,1,21),1),"ddd")</f>
        <v>mié</v>
      </c>
      <c r="X65" s="16" t="str">
        <f>TEXT(WEEKDAY(DATE(Setiembre!CalendarioAño,1,22),1),"ddd")</f>
        <v>jue</v>
      </c>
      <c r="Y65" s="16" t="str">
        <f>TEXT(WEEKDAY(DATE(Setiembre!CalendarioAño,1,23),1),"ddd")</f>
        <v>vie</v>
      </c>
      <c r="Z65" s="16" t="str">
        <f>TEXT(WEEKDAY(DATE(Setiembre!CalendarioAño,1,24),1),"ddd")</f>
        <v>sáb</v>
      </c>
      <c r="AA65" s="16" t="str">
        <f>TEXT(WEEKDAY(DATE(Setiembre!CalendarioAño,1,25),1),"ddd")</f>
        <v>dom</v>
      </c>
      <c r="AB65" s="16" t="str">
        <f>TEXT(WEEKDAY(DATE(Setiembre!CalendarioAño,1,26),1),"ddd")</f>
        <v>lun</v>
      </c>
      <c r="AC65" s="16" t="str">
        <f>TEXT(WEEKDAY(DATE(Setiembre!CalendarioAño,1,27),1),"ddd")</f>
        <v>mar</v>
      </c>
      <c r="AD65" s="16" t="str">
        <f>TEXT(WEEKDAY(DATE(Setiembre!CalendarioAño,1,28),1),"ddd")</f>
        <v>mié</v>
      </c>
      <c r="AE65" s="16" t="str">
        <f>TEXT(WEEKDAY(DATE(Setiembre!CalendarioAño,1,29),1),"ddd")</f>
        <v>jue</v>
      </c>
      <c r="AF65" s="16" t="str">
        <f>TEXT(WEEKDAY(DATE(Setiembre!CalendarioAño,1,30),1),"ddd")</f>
        <v>vie</v>
      </c>
      <c r="AG65" s="16" t="str">
        <f>TEXT(WEEKDAY(DATE(Setiembre!CalendarioAño,1,31),1),"ddd")</f>
        <v>sáb</v>
      </c>
      <c r="AH65" s="30"/>
      <c r="AI65" s="14"/>
      <c r="AJ65" s="14"/>
    </row>
    <row r="66" ht="30.0" customHeight="1">
      <c r="A66" s="17"/>
      <c r="B66" s="31" t="s">
        <v>14</v>
      </c>
      <c r="C66" s="19" t="s">
        <v>15</v>
      </c>
      <c r="D66" s="19" t="s">
        <v>16</v>
      </c>
      <c r="E66" s="19" t="s">
        <v>17</v>
      </c>
      <c r="F66" s="19" t="s">
        <v>18</v>
      </c>
      <c r="G66" s="19" t="s">
        <v>19</v>
      </c>
      <c r="H66" s="19" t="s">
        <v>20</v>
      </c>
      <c r="I66" s="19" t="s">
        <v>21</v>
      </c>
      <c r="J66" s="19" t="s">
        <v>22</v>
      </c>
      <c r="K66" s="19" t="s">
        <v>23</v>
      </c>
      <c r="L66" s="19" t="s">
        <v>24</v>
      </c>
      <c r="M66" s="19" t="s">
        <v>25</v>
      </c>
      <c r="N66" s="19" t="s">
        <v>26</v>
      </c>
      <c r="O66" s="19" t="s">
        <v>27</v>
      </c>
      <c r="P66" s="19" t="s">
        <v>28</v>
      </c>
      <c r="Q66" s="19" t="s">
        <v>29</v>
      </c>
      <c r="R66" s="19" t="s">
        <v>30</v>
      </c>
      <c r="S66" s="19" t="s">
        <v>31</v>
      </c>
      <c r="T66" s="19" t="s">
        <v>32</v>
      </c>
      <c r="U66" s="19" t="s">
        <v>33</v>
      </c>
      <c r="V66" s="19" t="s">
        <v>34</v>
      </c>
      <c r="W66" s="19" t="s">
        <v>35</v>
      </c>
      <c r="X66" s="19" t="s">
        <v>36</v>
      </c>
      <c r="Y66" s="19" t="s">
        <v>37</v>
      </c>
      <c r="Z66" s="19" t="s">
        <v>38</v>
      </c>
      <c r="AA66" s="19" t="s">
        <v>39</v>
      </c>
      <c r="AB66" s="19" t="s">
        <v>40</v>
      </c>
      <c r="AC66" s="19" t="s">
        <v>41</v>
      </c>
      <c r="AD66" s="19" t="s">
        <v>42</v>
      </c>
      <c r="AE66" s="19" t="s">
        <v>43</v>
      </c>
      <c r="AF66" s="19" t="s">
        <v>44</v>
      </c>
      <c r="AG66" s="19" t="s">
        <v>45</v>
      </c>
      <c r="AH66" s="19" t="s">
        <v>46</v>
      </c>
      <c r="AI66" s="19"/>
      <c r="AJ66" s="19"/>
    </row>
    <row r="67" ht="30.0" customHeight="1">
      <c r="B67" s="40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23"/>
      <c r="AI67" s="23"/>
      <c r="AJ67" s="23"/>
    </row>
    <row r="68" ht="30.0" customHeight="1">
      <c r="B68" s="40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23"/>
      <c r="AI68" s="23"/>
      <c r="AJ68" s="23"/>
    </row>
    <row r="69" ht="30.0" customHeight="1">
      <c r="B69" s="40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23"/>
      <c r="AI69" s="23"/>
      <c r="AJ69" s="23"/>
    </row>
    <row r="70" ht="30.0" customHeight="1">
      <c r="B70" s="40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23"/>
      <c r="AI70" s="23"/>
      <c r="AJ70" s="23"/>
    </row>
    <row r="71" ht="30.0" customHeight="1">
      <c r="B71" s="32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23"/>
      <c r="AI71" s="23"/>
      <c r="AJ71" s="23"/>
    </row>
    <row r="72" ht="30.0" customHeight="1">
      <c r="B72" s="40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23"/>
      <c r="AI72" s="23"/>
      <c r="AJ72" s="23"/>
    </row>
    <row r="73" ht="30.0" customHeight="1">
      <c r="B73" s="32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23"/>
      <c r="AI73" s="23"/>
      <c r="AJ73" s="23"/>
    </row>
    <row r="74" ht="30.0" customHeight="1">
      <c r="B74" s="32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23"/>
      <c r="AI74" s="23"/>
      <c r="AJ74" s="23"/>
    </row>
    <row r="75" ht="30.0" customHeight="1">
      <c r="B75" s="32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23"/>
      <c r="AI75" s="23"/>
      <c r="AJ75" s="23"/>
    </row>
    <row r="76" ht="30.0" customHeight="1">
      <c r="B76" s="32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23"/>
      <c r="AI76" s="23"/>
      <c r="AJ76" s="23"/>
    </row>
    <row r="77" ht="30.0" customHeight="1">
      <c r="B77" s="32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23"/>
      <c r="AI77" s="23"/>
      <c r="AJ77" s="23"/>
    </row>
    <row r="78" ht="30.0" customHeight="1">
      <c r="B78" s="32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23"/>
      <c r="AI78" s="23"/>
      <c r="AJ78" s="23"/>
    </row>
    <row r="79" ht="30.0" customHeight="1">
      <c r="B79" s="32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23"/>
      <c r="AI79" s="23"/>
      <c r="AJ79" s="23"/>
    </row>
    <row r="80" ht="30.0" customHeight="1">
      <c r="B80" s="32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23"/>
      <c r="AI80" s="23"/>
      <c r="AJ80" s="23"/>
    </row>
    <row r="81" ht="30.0" customHeight="1">
      <c r="B81" s="32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23"/>
      <c r="AI81" s="23"/>
      <c r="AJ81" s="23"/>
    </row>
    <row r="82" ht="30.0" customHeight="1">
      <c r="B82" s="32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23"/>
      <c r="AI82" s="23"/>
      <c r="AJ82" s="23"/>
    </row>
    <row r="83" ht="30.0" customHeight="1">
      <c r="B83" s="40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23"/>
      <c r="AI83" s="23"/>
      <c r="AJ83" s="23"/>
    </row>
    <row r="84" ht="30.0" customHeight="1">
      <c r="B84" s="40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23"/>
      <c r="AI84" s="23"/>
      <c r="AJ84" s="23"/>
    </row>
    <row r="85" ht="30.0" customHeight="1">
      <c r="B85" s="32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23"/>
      <c r="AI85" s="23"/>
      <c r="AJ85" s="23"/>
    </row>
    <row r="86" ht="30.0" customHeight="1">
      <c r="B86" s="32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23"/>
      <c r="AI86" s="23"/>
      <c r="AJ86" s="23"/>
    </row>
    <row r="87" ht="30.0" customHeight="1">
      <c r="B87" s="32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23"/>
      <c r="AI87" s="23"/>
      <c r="AJ87" s="23"/>
    </row>
    <row r="88" ht="30.0" customHeight="1">
      <c r="B88" s="32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23"/>
      <c r="AI88" s="23"/>
      <c r="AJ88" s="23"/>
    </row>
    <row r="89" ht="30.0" customHeight="1">
      <c r="B89" s="32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23"/>
      <c r="AI89" s="23"/>
      <c r="AJ89" s="23"/>
    </row>
    <row r="90" ht="30.0" customHeight="1">
      <c r="B90" s="32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23"/>
      <c r="AI90" s="23"/>
      <c r="AJ90" s="23"/>
    </row>
    <row r="91" ht="30.0" customHeight="1">
      <c r="B91" s="32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23"/>
      <c r="AI91" s="23"/>
      <c r="AJ91" s="23"/>
    </row>
    <row r="92" ht="30.0" customHeight="1">
      <c r="B92" s="32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23"/>
      <c r="AI92" s="23"/>
      <c r="AJ92" s="23"/>
    </row>
    <row r="93" ht="30.0" customHeight="1">
      <c r="B93" s="32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23"/>
      <c r="AI93" s="23"/>
      <c r="AJ93" s="23"/>
    </row>
    <row r="94" ht="30.0" customHeight="1">
      <c r="B94" s="20"/>
      <c r="C94" s="21"/>
      <c r="D94" s="21"/>
      <c r="E94" s="21"/>
      <c r="F94" s="21"/>
      <c r="G94" s="21"/>
      <c r="H94" s="21"/>
      <c r="I94" s="43"/>
      <c r="J94" s="43"/>
      <c r="K94" s="43"/>
      <c r="L94" s="43"/>
      <c r="M94" s="43"/>
      <c r="N94" s="21"/>
      <c r="O94" s="43"/>
      <c r="P94" s="43"/>
      <c r="Q94" s="43"/>
      <c r="R94" s="21"/>
      <c r="S94" s="43"/>
      <c r="T94" s="21"/>
      <c r="U94" s="21"/>
      <c r="V94" s="21"/>
      <c r="W94" s="21"/>
      <c r="X94" s="43"/>
      <c r="Y94" s="21"/>
      <c r="Z94" s="43"/>
      <c r="AA94" s="21"/>
      <c r="AB94" s="21"/>
      <c r="AC94" s="21"/>
      <c r="AD94" s="21"/>
      <c r="AE94" s="33"/>
      <c r="AF94" s="21"/>
      <c r="AG94" s="21"/>
      <c r="AH94" s="23"/>
      <c r="AI94" s="23"/>
      <c r="AJ94" s="23"/>
    </row>
    <row r="95" ht="30.0" customHeight="1">
      <c r="B95" s="48" t="str">
        <f>Setiembre!MonthName&amp;" Total"</f>
        <v>Enero Total</v>
      </c>
      <c r="C95" s="25">
        <f>SUBTOTAL(103,Setiembre!$C$7)</f>
        <v>0</v>
      </c>
      <c r="D95" s="25">
        <f>SUBTOTAL(103,Setiembre!$D$7)</f>
        <v>0</v>
      </c>
      <c r="E95" s="25">
        <f>SUBTOTAL(103,Setiembre!$E$7)</f>
        <v>0</v>
      </c>
      <c r="F95" s="25"/>
      <c r="G95" s="25">
        <f>SUBTOTAL(103,Setiembre!$G$7)</f>
        <v>0</v>
      </c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</row>
    <row r="96" ht="30.0" customHeight="1">
      <c r="AH96" s="5"/>
      <c r="AI96" s="5"/>
      <c r="AJ96" s="5"/>
    </row>
    <row r="97" ht="30.0" customHeight="1">
      <c r="B97" s="30" t="s">
        <v>12</v>
      </c>
      <c r="C97" s="27" t="s">
        <v>118</v>
      </c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39">
        <v>2026.0</v>
      </c>
      <c r="AI97" s="15"/>
      <c r="AJ97" s="15"/>
    </row>
    <row r="98" ht="30.0" customHeight="1">
      <c r="B98" s="30"/>
      <c r="C98" s="16" t="str">
        <f>TEXT(WEEKDAY(DATE(Setiembre!CalendarioAño,1,1),1),"ddd")</f>
        <v>jue</v>
      </c>
      <c r="D98" s="16" t="str">
        <f>TEXT(WEEKDAY(DATE(Setiembre!CalendarioAño,1,2),1),"ddd")</f>
        <v>vie</v>
      </c>
      <c r="E98" s="16" t="str">
        <f>TEXT(WEEKDAY(DATE(Setiembre!CalendarioAño,1,3),1),"ddd")</f>
        <v>sáb</v>
      </c>
      <c r="F98" s="16" t="str">
        <f>TEXT(WEEKDAY(DATE(Setiembre!CalendarioAño,1,4),1),"ddd")</f>
        <v>dom</v>
      </c>
      <c r="G98" s="16" t="str">
        <f>TEXT(WEEKDAY(DATE(Setiembre!CalendarioAño,1,5),1),"ddd")</f>
        <v>lun</v>
      </c>
      <c r="H98" s="16" t="str">
        <f>TEXT(WEEKDAY(DATE(Setiembre!CalendarioAño,1,6),1),"ddd")</f>
        <v>mar</v>
      </c>
      <c r="I98" s="16" t="str">
        <f>TEXT(WEEKDAY(DATE(Setiembre!CalendarioAño,1,7),1),"ddd")</f>
        <v>mié</v>
      </c>
      <c r="J98" s="16" t="str">
        <f>TEXT(WEEKDAY(DATE(Setiembre!CalendarioAño,1,8),1),"ddd")</f>
        <v>jue</v>
      </c>
      <c r="K98" s="16" t="str">
        <f>TEXT(WEEKDAY(DATE(Setiembre!CalendarioAño,1,9),1),"ddd")</f>
        <v>vie</v>
      </c>
      <c r="L98" s="16" t="str">
        <f>TEXT(WEEKDAY(DATE(Setiembre!CalendarioAño,1,10),1),"ddd")</f>
        <v>sáb</v>
      </c>
      <c r="M98" s="16" t="str">
        <f>TEXT(WEEKDAY(DATE(Setiembre!CalendarioAño,1,11),1),"ddd")</f>
        <v>dom</v>
      </c>
      <c r="N98" s="16" t="str">
        <f>TEXT(WEEKDAY(DATE(Setiembre!CalendarioAño,1,12),1),"ddd")</f>
        <v>lun</v>
      </c>
      <c r="O98" s="16" t="str">
        <f>TEXT(WEEKDAY(DATE(Setiembre!CalendarioAño,1,13),1),"ddd")</f>
        <v>mar</v>
      </c>
      <c r="P98" s="16" t="str">
        <f>TEXT(WEEKDAY(DATE(Setiembre!CalendarioAño,1,14),1),"ddd")</f>
        <v>mié</v>
      </c>
      <c r="Q98" s="16" t="str">
        <f>TEXT(WEEKDAY(DATE(Setiembre!CalendarioAño,1,15),1),"ddd")</f>
        <v>jue</v>
      </c>
      <c r="R98" s="16" t="str">
        <f>TEXT(WEEKDAY(DATE(Setiembre!CalendarioAño,1,16),1),"ddd")</f>
        <v>vie</v>
      </c>
      <c r="S98" s="16" t="str">
        <f>TEXT(WEEKDAY(DATE(Setiembre!CalendarioAño,1,17),1),"ddd")</f>
        <v>sáb</v>
      </c>
      <c r="T98" s="16" t="str">
        <f>TEXT(WEEKDAY(DATE(Setiembre!CalendarioAño,1,18),1),"ddd")</f>
        <v>dom</v>
      </c>
      <c r="U98" s="16" t="str">
        <f>TEXT(WEEKDAY(DATE(Setiembre!CalendarioAño,1,19),1),"ddd")</f>
        <v>lun</v>
      </c>
      <c r="V98" s="16" t="str">
        <f>TEXT(WEEKDAY(DATE(Setiembre!CalendarioAño,1,20),1),"ddd")</f>
        <v>mar</v>
      </c>
      <c r="W98" s="16" t="str">
        <f>TEXT(WEEKDAY(DATE(Setiembre!CalendarioAño,1,21),1),"ddd")</f>
        <v>mié</v>
      </c>
      <c r="X98" s="16" t="str">
        <f>TEXT(WEEKDAY(DATE(Setiembre!CalendarioAño,1,22),1),"ddd")</f>
        <v>jue</v>
      </c>
      <c r="Y98" s="16" t="str">
        <f>TEXT(WEEKDAY(DATE(Setiembre!CalendarioAño,1,23),1),"ddd")</f>
        <v>vie</v>
      </c>
      <c r="Z98" s="16" t="str">
        <f>TEXT(WEEKDAY(DATE(Setiembre!CalendarioAño,1,24),1),"ddd")</f>
        <v>sáb</v>
      </c>
      <c r="AA98" s="16" t="str">
        <f>TEXT(WEEKDAY(DATE(Setiembre!CalendarioAño,1,25),1),"ddd")</f>
        <v>dom</v>
      </c>
      <c r="AB98" s="16" t="str">
        <f>TEXT(WEEKDAY(DATE(Setiembre!CalendarioAño,1,26),1),"ddd")</f>
        <v>lun</v>
      </c>
      <c r="AC98" s="16" t="str">
        <f>TEXT(WEEKDAY(DATE(Setiembre!CalendarioAño,1,27),1),"ddd")</f>
        <v>mar</v>
      </c>
      <c r="AD98" s="16" t="str">
        <f>TEXT(WEEKDAY(DATE(Setiembre!CalendarioAño,1,28),1),"ddd")</f>
        <v>mié</v>
      </c>
      <c r="AE98" s="16" t="str">
        <f>TEXT(WEEKDAY(DATE(Setiembre!CalendarioAño,1,29),1),"ddd")</f>
        <v>jue</v>
      </c>
      <c r="AF98" s="16" t="str">
        <f>TEXT(WEEKDAY(DATE(Setiembre!CalendarioAño,1,30),1),"ddd")</f>
        <v>vie</v>
      </c>
      <c r="AG98" s="16" t="str">
        <f>TEXT(WEEKDAY(DATE(Setiembre!CalendarioAño,1,31),1),"ddd")</f>
        <v>sáb</v>
      </c>
      <c r="AH98" s="30"/>
      <c r="AI98" s="14"/>
      <c r="AJ98" s="14"/>
    </row>
    <row r="99" ht="30.0" customHeight="1">
      <c r="A99" s="17"/>
      <c r="B99" s="31" t="s">
        <v>14</v>
      </c>
      <c r="C99" s="19" t="s">
        <v>15</v>
      </c>
      <c r="D99" s="19" t="s">
        <v>16</v>
      </c>
      <c r="E99" s="19" t="s">
        <v>17</v>
      </c>
      <c r="F99" s="19" t="s">
        <v>18</v>
      </c>
      <c r="G99" s="19" t="s">
        <v>19</v>
      </c>
      <c r="H99" s="19" t="s">
        <v>20</v>
      </c>
      <c r="I99" s="19" t="s">
        <v>21</v>
      </c>
      <c r="J99" s="19" t="s">
        <v>22</v>
      </c>
      <c r="K99" s="19" t="s">
        <v>23</v>
      </c>
      <c r="L99" s="19" t="s">
        <v>24</v>
      </c>
      <c r="M99" s="19" t="s">
        <v>25</v>
      </c>
      <c r="N99" s="19" t="s">
        <v>26</v>
      </c>
      <c r="O99" s="19" t="s">
        <v>27</v>
      </c>
      <c r="P99" s="19" t="s">
        <v>28</v>
      </c>
      <c r="Q99" s="19" t="s">
        <v>29</v>
      </c>
      <c r="R99" s="19" t="s">
        <v>30</v>
      </c>
      <c r="S99" s="19" t="s">
        <v>31</v>
      </c>
      <c r="T99" s="19" t="s">
        <v>32</v>
      </c>
      <c r="U99" s="19" t="s">
        <v>33</v>
      </c>
      <c r="V99" s="19" t="s">
        <v>34</v>
      </c>
      <c r="W99" s="19" t="s">
        <v>35</v>
      </c>
      <c r="X99" s="19" t="s">
        <v>36</v>
      </c>
      <c r="Y99" s="19" t="s">
        <v>37</v>
      </c>
      <c r="Z99" s="19" t="s">
        <v>38</v>
      </c>
      <c r="AA99" s="19" t="s">
        <v>39</v>
      </c>
      <c r="AB99" s="19" t="s">
        <v>40</v>
      </c>
      <c r="AC99" s="19" t="s">
        <v>41</v>
      </c>
      <c r="AD99" s="19" t="s">
        <v>42</v>
      </c>
      <c r="AE99" s="19" t="s">
        <v>43</v>
      </c>
      <c r="AF99" s="19" t="s">
        <v>44</v>
      </c>
      <c r="AG99" s="19" t="s">
        <v>45</v>
      </c>
      <c r="AH99" s="19" t="s">
        <v>46</v>
      </c>
      <c r="AI99" s="19"/>
      <c r="AJ99" s="19"/>
    </row>
    <row r="100" ht="30.0" customHeight="1">
      <c r="B100" s="32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23"/>
      <c r="AI100" s="23"/>
      <c r="AJ100" s="23"/>
    </row>
    <row r="101" ht="30.0" customHeight="1">
      <c r="B101" s="32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23"/>
      <c r="AI101" s="23"/>
      <c r="AJ101" s="23"/>
    </row>
    <row r="102" ht="30.0" customHeight="1">
      <c r="B102" s="32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23"/>
      <c r="AI102" s="23"/>
      <c r="AJ102" s="23"/>
    </row>
    <row r="103" ht="30.0" customHeight="1">
      <c r="B103" s="32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23"/>
      <c r="AI103" s="23"/>
      <c r="AJ103" s="23"/>
    </row>
    <row r="104" ht="30.0" customHeight="1">
      <c r="B104" s="32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23"/>
      <c r="AI104" s="23"/>
      <c r="AJ104" s="23"/>
    </row>
    <row r="105" ht="30.0" customHeight="1">
      <c r="B105" s="32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23"/>
      <c r="AI105" s="23"/>
      <c r="AJ105" s="23"/>
    </row>
    <row r="106" ht="30.0" customHeight="1">
      <c r="B106" s="32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23"/>
      <c r="AI106" s="23"/>
      <c r="AJ106" s="23"/>
    </row>
    <row r="107" ht="30.0" customHeight="1">
      <c r="B107" s="32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23"/>
      <c r="AI107" s="23"/>
      <c r="AJ107" s="23"/>
    </row>
    <row r="108" ht="30.0" customHeight="1">
      <c r="B108" s="32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23"/>
      <c r="AI108" s="23"/>
      <c r="AJ108" s="23"/>
    </row>
    <row r="109" ht="30.0" customHeight="1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23"/>
      <c r="AI109" s="23"/>
      <c r="AJ109" s="23"/>
    </row>
    <row r="110" ht="30.0" customHeight="1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23"/>
      <c r="AI110" s="23"/>
      <c r="AJ110" s="23"/>
    </row>
    <row r="111" ht="30.0" customHeight="1">
      <c r="A111" s="50"/>
      <c r="B111" s="5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23"/>
      <c r="AI111" s="23"/>
      <c r="AJ111" s="23"/>
    </row>
    <row r="112" ht="30.0" customHeight="1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23"/>
      <c r="AI112" s="23"/>
      <c r="AJ112" s="23"/>
    </row>
    <row r="113" ht="30.0" customHeight="1">
      <c r="A113" s="50"/>
      <c r="B113" s="5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23"/>
      <c r="AI113" s="23"/>
      <c r="AJ113" s="23"/>
    </row>
    <row r="114" ht="30.0" customHeight="1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23"/>
      <c r="AI114" s="23"/>
      <c r="AJ114" s="23"/>
    </row>
    <row r="115" ht="30.0" customHeight="1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23"/>
      <c r="AI115" s="23"/>
      <c r="AJ115" s="23"/>
    </row>
    <row r="116" ht="30.0" customHeight="1">
      <c r="A116" s="50"/>
      <c r="B116" s="5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23"/>
      <c r="AI116" s="23"/>
      <c r="AJ116" s="23"/>
    </row>
    <row r="117" ht="30.0" customHeight="1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23"/>
      <c r="AI117" s="23"/>
      <c r="AJ117" s="23"/>
    </row>
    <row r="118" ht="30.0" customHeight="1">
      <c r="A118" s="50"/>
      <c r="B118" s="5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23"/>
      <c r="AI118" s="23"/>
      <c r="AJ118" s="23"/>
    </row>
    <row r="119" ht="30.0" customHeight="1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23"/>
      <c r="AI119" s="23"/>
      <c r="AJ119" s="23"/>
    </row>
    <row r="120" ht="30.0" customHeight="1">
      <c r="A120" s="50"/>
      <c r="B120" s="71"/>
      <c r="C120" s="36"/>
      <c r="D120" s="36"/>
      <c r="E120" s="36"/>
      <c r="F120" s="36"/>
      <c r="G120" s="36"/>
      <c r="H120" s="36"/>
      <c r="I120" s="36"/>
      <c r="J120" s="36"/>
      <c r="K120" s="52"/>
      <c r="L120" s="43"/>
      <c r="M120" s="43"/>
      <c r="N120" s="36"/>
      <c r="O120" s="43"/>
      <c r="P120" s="43"/>
      <c r="Q120" s="36"/>
      <c r="R120" s="36"/>
      <c r="S120" s="36"/>
      <c r="T120" s="43"/>
      <c r="U120" s="36"/>
      <c r="V120" s="36"/>
      <c r="W120" s="36"/>
      <c r="X120" s="36"/>
      <c r="Y120" s="36"/>
      <c r="Z120" s="36"/>
      <c r="AA120" s="43"/>
      <c r="AB120" s="36"/>
      <c r="AC120" s="36"/>
      <c r="AD120" s="36"/>
      <c r="AE120" s="36"/>
      <c r="AF120" s="33"/>
      <c r="AG120" s="36"/>
      <c r="AH120" s="23"/>
      <c r="AI120" s="23"/>
      <c r="AJ120" s="23"/>
    </row>
    <row r="121" ht="30.0" customHeight="1">
      <c r="B121" s="48" t="str">
        <f>Setiembre!MonthName&amp;" Total"</f>
        <v>Enero Total</v>
      </c>
      <c r="C121" s="25">
        <f>SUBTOTAL(103,Setiembre!$C$7)</f>
        <v>0</v>
      </c>
      <c r="D121" s="25">
        <f>SUBTOTAL(103,Setiembre!$D$7)</f>
        <v>0</v>
      </c>
      <c r="E121" s="25">
        <f>SUBTOTAL(103,Setiembre!$E$7)</f>
        <v>0</v>
      </c>
      <c r="F121" s="25"/>
      <c r="G121" s="25"/>
      <c r="H121" s="25">
        <f>SUBTOTAL(103,Setiembre!$H$7)</f>
        <v>0</v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</row>
    <row r="122" ht="30.0" customHeight="1">
      <c r="AH122" s="5"/>
      <c r="AI122" s="5"/>
      <c r="AJ122" s="5"/>
    </row>
    <row r="123" ht="30.0" customHeight="1">
      <c r="B123" s="30" t="s">
        <v>12</v>
      </c>
      <c r="C123" s="27" t="s">
        <v>140</v>
      </c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39">
        <v>2026.0</v>
      </c>
      <c r="AI123" s="15"/>
      <c r="AJ123" s="15"/>
    </row>
    <row r="124" ht="30.0" customHeight="1">
      <c r="B124" s="30"/>
      <c r="C124" s="16" t="str">
        <f>TEXT(WEEKDAY(DATE(Setiembre!CalendarioAño,1,1),1),"ddd")</f>
        <v>jue</v>
      </c>
      <c r="D124" s="16" t="str">
        <f>TEXT(WEEKDAY(DATE(Setiembre!CalendarioAño,1,2),1),"ddd")</f>
        <v>vie</v>
      </c>
      <c r="E124" s="16" t="str">
        <f>TEXT(WEEKDAY(DATE(Setiembre!CalendarioAño,1,3),1),"ddd")</f>
        <v>sáb</v>
      </c>
      <c r="F124" s="16" t="str">
        <f>TEXT(WEEKDAY(DATE(Setiembre!CalendarioAño,1,4),1),"ddd")</f>
        <v>dom</v>
      </c>
      <c r="G124" s="16" t="str">
        <f>TEXT(WEEKDAY(DATE(Setiembre!CalendarioAño,1,5),1),"ddd")</f>
        <v>lun</v>
      </c>
      <c r="H124" s="16" t="str">
        <f>TEXT(WEEKDAY(DATE(Setiembre!CalendarioAño,1,6),1),"ddd")</f>
        <v>mar</v>
      </c>
      <c r="I124" s="16" t="str">
        <f>TEXT(WEEKDAY(DATE(Setiembre!CalendarioAño,1,7),1),"ddd")</f>
        <v>mié</v>
      </c>
      <c r="J124" s="16" t="str">
        <f>TEXT(WEEKDAY(DATE(Setiembre!CalendarioAño,1,8),1),"ddd")</f>
        <v>jue</v>
      </c>
      <c r="K124" s="16" t="str">
        <f>TEXT(WEEKDAY(DATE(Setiembre!CalendarioAño,1,9),1),"ddd")</f>
        <v>vie</v>
      </c>
      <c r="L124" s="16" t="str">
        <f>TEXT(WEEKDAY(DATE(Setiembre!CalendarioAño,1,10),1),"ddd")</f>
        <v>sáb</v>
      </c>
      <c r="M124" s="16" t="str">
        <f>TEXT(WEEKDAY(DATE(Setiembre!CalendarioAño,1,11),1),"ddd")</f>
        <v>dom</v>
      </c>
      <c r="N124" s="16" t="str">
        <f>TEXT(WEEKDAY(DATE(Setiembre!CalendarioAño,1,12),1),"ddd")</f>
        <v>lun</v>
      </c>
      <c r="O124" s="16" t="str">
        <f>TEXT(WEEKDAY(DATE(Setiembre!CalendarioAño,1,13),1),"ddd")</f>
        <v>mar</v>
      </c>
      <c r="P124" s="16" t="str">
        <f>TEXT(WEEKDAY(DATE(Setiembre!CalendarioAño,1,14),1),"ddd")</f>
        <v>mié</v>
      </c>
      <c r="Q124" s="16" t="str">
        <f>TEXT(WEEKDAY(DATE(Setiembre!CalendarioAño,1,15),1),"ddd")</f>
        <v>jue</v>
      </c>
      <c r="R124" s="16" t="str">
        <f>TEXT(WEEKDAY(DATE(Setiembre!CalendarioAño,1,16),1),"ddd")</f>
        <v>vie</v>
      </c>
      <c r="S124" s="16" t="str">
        <f>TEXT(WEEKDAY(DATE(Setiembre!CalendarioAño,1,17),1),"ddd")</f>
        <v>sáb</v>
      </c>
      <c r="T124" s="16" t="str">
        <f>TEXT(WEEKDAY(DATE(Setiembre!CalendarioAño,1,18),1),"ddd")</f>
        <v>dom</v>
      </c>
      <c r="U124" s="16" t="str">
        <f>TEXT(WEEKDAY(DATE(Setiembre!CalendarioAño,1,19),1),"ddd")</f>
        <v>lun</v>
      </c>
      <c r="V124" s="16" t="str">
        <f>TEXT(WEEKDAY(DATE(Setiembre!CalendarioAño,1,20),1),"ddd")</f>
        <v>mar</v>
      </c>
      <c r="W124" s="16" t="str">
        <f>TEXT(WEEKDAY(DATE(Setiembre!CalendarioAño,1,21),1),"ddd")</f>
        <v>mié</v>
      </c>
      <c r="X124" s="16" t="str">
        <f>TEXT(WEEKDAY(DATE(Setiembre!CalendarioAño,1,22),1),"ddd")</f>
        <v>jue</v>
      </c>
      <c r="Y124" s="16" t="str">
        <f>TEXT(WEEKDAY(DATE(Setiembre!CalendarioAño,1,23),1),"ddd")</f>
        <v>vie</v>
      </c>
      <c r="Z124" s="16" t="str">
        <f>TEXT(WEEKDAY(DATE(Setiembre!CalendarioAño,1,24),1),"ddd")</f>
        <v>sáb</v>
      </c>
      <c r="AA124" s="16" t="str">
        <f>TEXT(WEEKDAY(DATE(Setiembre!CalendarioAño,1,25),1),"ddd")</f>
        <v>dom</v>
      </c>
      <c r="AB124" s="16" t="str">
        <f>TEXT(WEEKDAY(DATE(Setiembre!CalendarioAño,1,26),1),"ddd")</f>
        <v>lun</v>
      </c>
      <c r="AC124" s="16" t="str">
        <f>TEXT(WEEKDAY(DATE(Setiembre!CalendarioAño,1,27),1),"ddd")</f>
        <v>mar</v>
      </c>
      <c r="AD124" s="16" t="str">
        <f>TEXT(WEEKDAY(DATE(Setiembre!CalendarioAño,1,28),1),"ddd")</f>
        <v>mié</v>
      </c>
      <c r="AE124" s="16" t="str">
        <f>TEXT(WEEKDAY(DATE(Setiembre!CalendarioAño,1,29),1),"ddd")</f>
        <v>jue</v>
      </c>
      <c r="AF124" s="16" t="str">
        <f>TEXT(WEEKDAY(DATE(Setiembre!CalendarioAño,1,30),1),"ddd")</f>
        <v>vie</v>
      </c>
      <c r="AG124" s="16" t="str">
        <f>TEXT(WEEKDAY(DATE(Setiembre!CalendarioAño,1,31),1),"ddd")</f>
        <v>sáb</v>
      </c>
      <c r="AH124" s="30"/>
      <c r="AI124" s="14"/>
      <c r="AJ124" s="14"/>
    </row>
    <row r="125" ht="30.0" customHeight="1">
      <c r="A125" s="17"/>
      <c r="B125" s="31" t="s">
        <v>14</v>
      </c>
      <c r="C125" s="19" t="s">
        <v>15</v>
      </c>
      <c r="D125" s="19" t="s">
        <v>16</v>
      </c>
      <c r="E125" s="19" t="s">
        <v>17</v>
      </c>
      <c r="F125" s="19" t="s">
        <v>18</v>
      </c>
      <c r="G125" s="19" t="s">
        <v>19</v>
      </c>
      <c r="H125" s="19" t="s">
        <v>20</v>
      </c>
      <c r="I125" s="19" t="s">
        <v>21</v>
      </c>
      <c r="J125" s="19" t="s">
        <v>22</v>
      </c>
      <c r="K125" s="19" t="s">
        <v>23</v>
      </c>
      <c r="L125" s="19" t="s">
        <v>24</v>
      </c>
      <c r="M125" s="19" t="s">
        <v>25</v>
      </c>
      <c r="N125" s="19" t="s">
        <v>26</v>
      </c>
      <c r="O125" s="19" t="s">
        <v>27</v>
      </c>
      <c r="P125" s="19" t="s">
        <v>28</v>
      </c>
      <c r="Q125" s="19" t="s">
        <v>29</v>
      </c>
      <c r="R125" s="19" t="s">
        <v>30</v>
      </c>
      <c r="S125" s="19" t="s">
        <v>31</v>
      </c>
      <c r="T125" s="19" t="s">
        <v>32</v>
      </c>
      <c r="U125" s="19" t="s">
        <v>33</v>
      </c>
      <c r="V125" s="19" t="s">
        <v>34</v>
      </c>
      <c r="W125" s="19" t="s">
        <v>35</v>
      </c>
      <c r="X125" s="19" t="s">
        <v>36</v>
      </c>
      <c r="Y125" s="19" t="s">
        <v>37</v>
      </c>
      <c r="Z125" s="19" t="s">
        <v>38</v>
      </c>
      <c r="AA125" s="19" t="s">
        <v>39</v>
      </c>
      <c r="AB125" s="19" t="s">
        <v>40</v>
      </c>
      <c r="AC125" s="19" t="s">
        <v>41</v>
      </c>
      <c r="AD125" s="19" t="s">
        <v>42</v>
      </c>
      <c r="AE125" s="19" t="s">
        <v>43</v>
      </c>
      <c r="AF125" s="19" t="s">
        <v>44</v>
      </c>
      <c r="AG125" s="19" t="s">
        <v>45</v>
      </c>
      <c r="AH125" s="19" t="s">
        <v>46</v>
      </c>
      <c r="AI125" s="19"/>
      <c r="AJ125" s="19"/>
    </row>
    <row r="126" ht="30.0" customHeight="1">
      <c r="B126" s="40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23"/>
      <c r="AI126" s="23"/>
      <c r="AJ126" s="23"/>
    </row>
    <row r="127" ht="30.0" customHeight="1">
      <c r="B127" s="32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23"/>
      <c r="AI127" s="23"/>
      <c r="AJ127" s="23"/>
    </row>
    <row r="128" ht="30.0" customHeight="1">
      <c r="B128" s="32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23"/>
      <c r="AI128" s="23"/>
      <c r="AJ128" s="23"/>
    </row>
    <row r="129" ht="30.0" customHeight="1">
      <c r="B129" s="32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23"/>
      <c r="AI129" s="23"/>
      <c r="AJ129" s="23"/>
    </row>
    <row r="130" ht="30.0" customHeight="1">
      <c r="B130" s="32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23"/>
      <c r="AI130" s="23"/>
      <c r="AJ130" s="23"/>
    </row>
    <row r="131" ht="30.0" customHeight="1">
      <c r="B131" s="40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23"/>
      <c r="AI131" s="23"/>
      <c r="AJ131" s="23"/>
    </row>
    <row r="132" ht="30.0" customHeight="1">
      <c r="B132" s="32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23"/>
      <c r="AI132" s="23"/>
      <c r="AJ132" s="23"/>
    </row>
    <row r="133" ht="30.0" customHeight="1">
      <c r="B133" s="32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23"/>
      <c r="AI133" s="23"/>
      <c r="AJ133" s="23"/>
    </row>
    <row r="134" ht="30.0" customHeight="1">
      <c r="B134" s="32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23"/>
      <c r="AI134" s="23"/>
      <c r="AJ134" s="23"/>
    </row>
    <row r="135" ht="30.0" customHeight="1">
      <c r="B135" s="32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23"/>
      <c r="AI135" s="23"/>
      <c r="AJ135" s="23"/>
    </row>
    <row r="136" ht="30.0" customHeight="1">
      <c r="B136" s="32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23"/>
      <c r="AI136" s="23"/>
      <c r="AJ136" s="23"/>
    </row>
    <row r="137" ht="30.0" customHeight="1">
      <c r="B137" s="32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23"/>
      <c r="AI137" s="23"/>
      <c r="AJ137" s="23"/>
    </row>
    <row r="138" ht="30.0" customHeight="1">
      <c r="B138" s="32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23"/>
      <c r="AI138" s="23"/>
      <c r="AJ138" s="23"/>
    </row>
    <row r="139" ht="30.0" customHeight="1">
      <c r="B139" s="32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23"/>
      <c r="AI139" s="23"/>
      <c r="AJ139" s="23"/>
    </row>
    <row r="140" ht="30.0" customHeight="1">
      <c r="B140" s="32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23"/>
      <c r="AI140" s="23"/>
      <c r="AJ140" s="23"/>
    </row>
    <row r="141" ht="30.0" customHeight="1">
      <c r="B141" s="32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23"/>
      <c r="AI141" s="23"/>
      <c r="AJ141" s="23"/>
    </row>
    <row r="142" ht="30.0" customHeight="1">
      <c r="B142" s="32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25"/>
      <c r="AI142" s="25"/>
      <c r="AJ142" s="25"/>
    </row>
    <row r="143" ht="30.0" customHeight="1">
      <c r="B143" s="32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25"/>
      <c r="AI143" s="25"/>
      <c r="AJ143" s="25"/>
    </row>
    <row r="144" ht="30.0" customHeight="1">
      <c r="B144" s="32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25"/>
      <c r="AI144" s="25"/>
      <c r="AJ144" s="25"/>
    </row>
    <row r="145" ht="30.0" customHeight="1">
      <c r="B145" s="48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25"/>
      <c r="AI145" s="25"/>
      <c r="AJ145" s="25"/>
    </row>
    <row r="146" ht="30.0" customHeight="1">
      <c r="B146" s="48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</row>
    <row r="147" ht="30.0" customHeight="1">
      <c r="B147" s="48" t="str">
        <f>Setiembre!MonthName&amp;" Total"</f>
        <v>Enero Total</v>
      </c>
      <c r="C147" s="25">
        <f>SUBTOTAL(103,Setiembre!$C$7)</f>
        <v>0</v>
      </c>
      <c r="D147" s="25">
        <f>SUBTOTAL(103,Setiembre!$D$7)</f>
        <v>0</v>
      </c>
      <c r="E147" s="25">
        <f>SUBTOTAL(103,Setiembre!$E$7)</f>
        <v>0</v>
      </c>
      <c r="F147" s="25"/>
      <c r="G147" s="25"/>
      <c r="H147" s="25">
        <f>SUBTOTAL(103,Setiembre!$H$7)</f>
        <v>0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>
        <f>SUBTOTAL(103,Setiembre!$AE$7)</f>
        <v>0</v>
      </c>
      <c r="AF147" s="25">
        <f>SUBTOTAL(103,Setiembre!$AF$7)</f>
        <v>0</v>
      </c>
      <c r="AG147" s="25">
        <f>SUBTOTAL(103,Setiembre!$AG$7)</f>
        <v>0</v>
      </c>
      <c r="AH147" s="25">
        <f>SUM(C147:AG147)</f>
        <v>0</v>
      </c>
      <c r="AI147" s="25"/>
      <c r="AJ147" s="25"/>
    </row>
    <row r="148" ht="30.0" customHeight="1">
      <c r="AH148" s="5"/>
      <c r="AI148" s="5"/>
      <c r="AJ148" s="5"/>
    </row>
    <row r="149" ht="30.0" customHeight="1">
      <c r="B149" s="30" t="s">
        <v>12</v>
      </c>
      <c r="C149" s="27" t="s">
        <v>160</v>
      </c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39">
        <v>2026.0</v>
      </c>
      <c r="AI149" s="15"/>
      <c r="AJ149" s="15"/>
    </row>
    <row r="150" ht="30.0" customHeight="1">
      <c r="B150" s="30"/>
      <c r="C150" s="16" t="str">
        <f>TEXT(WEEKDAY(DATE(Setiembre!CalendarioAño,1,1),1),"ddd")</f>
        <v>jue</v>
      </c>
      <c r="D150" s="16" t="str">
        <f>TEXT(WEEKDAY(DATE(Setiembre!CalendarioAño,1,2),1),"ddd")</f>
        <v>vie</v>
      </c>
      <c r="E150" s="16" t="str">
        <f>TEXT(WEEKDAY(DATE(Setiembre!CalendarioAño,1,3),1),"ddd")</f>
        <v>sáb</v>
      </c>
      <c r="F150" s="16" t="str">
        <f>TEXT(WEEKDAY(DATE(Setiembre!CalendarioAño,1,4),1),"ddd")</f>
        <v>dom</v>
      </c>
      <c r="G150" s="16" t="str">
        <f>TEXT(WEEKDAY(DATE(Setiembre!CalendarioAño,1,5),1),"ddd")</f>
        <v>lun</v>
      </c>
      <c r="H150" s="16" t="str">
        <f>TEXT(WEEKDAY(DATE(Setiembre!CalendarioAño,1,6),1),"ddd")</f>
        <v>mar</v>
      </c>
      <c r="I150" s="16" t="str">
        <f>TEXT(WEEKDAY(DATE(Setiembre!CalendarioAño,1,7),1),"ddd")</f>
        <v>mié</v>
      </c>
      <c r="J150" s="16" t="str">
        <f>TEXT(WEEKDAY(DATE(Setiembre!CalendarioAño,1,8),1),"ddd")</f>
        <v>jue</v>
      </c>
      <c r="K150" s="16" t="str">
        <f>TEXT(WEEKDAY(DATE(Setiembre!CalendarioAño,1,9),1),"ddd")</f>
        <v>vie</v>
      </c>
      <c r="L150" s="16" t="str">
        <f>TEXT(WEEKDAY(DATE(Setiembre!CalendarioAño,1,10),1),"ddd")</f>
        <v>sáb</v>
      </c>
      <c r="M150" s="16" t="str">
        <f>TEXT(WEEKDAY(DATE(Setiembre!CalendarioAño,1,11),1),"ddd")</f>
        <v>dom</v>
      </c>
      <c r="N150" s="16" t="str">
        <f>TEXT(WEEKDAY(DATE(Setiembre!CalendarioAño,1,12),1),"ddd")</f>
        <v>lun</v>
      </c>
      <c r="O150" s="16" t="str">
        <f>TEXT(WEEKDAY(DATE(Setiembre!CalendarioAño,1,13),1),"ddd")</f>
        <v>mar</v>
      </c>
      <c r="P150" s="16" t="str">
        <f>TEXT(WEEKDAY(DATE(Setiembre!CalendarioAño,1,14),1),"ddd")</f>
        <v>mié</v>
      </c>
      <c r="Q150" s="16" t="str">
        <f>TEXT(WEEKDAY(DATE(Setiembre!CalendarioAño,1,15),1),"ddd")</f>
        <v>jue</v>
      </c>
      <c r="R150" s="16" t="str">
        <f>TEXT(WEEKDAY(DATE(Setiembre!CalendarioAño,1,16),1),"ddd")</f>
        <v>vie</v>
      </c>
      <c r="S150" s="16" t="str">
        <f>TEXT(WEEKDAY(DATE(Setiembre!CalendarioAño,1,17),1),"ddd")</f>
        <v>sáb</v>
      </c>
      <c r="T150" s="16" t="str">
        <f>TEXT(WEEKDAY(DATE(Setiembre!CalendarioAño,1,18),1),"ddd")</f>
        <v>dom</v>
      </c>
      <c r="U150" s="16" t="str">
        <f>TEXT(WEEKDAY(DATE(Setiembre!CalendarioAño,1,19),1),"ddd")</f>
        <v>lun</v>
      </c>
      <c r="V150" s="16" t="str">
        <f>TEXT(WEEKDAY(DATE(Setiembre!CalendarioAño,1,20),1),"ddd")</f>
        <v>mar</v>
      </c>
      <c r="W150" s="16" t="str">
        <f>TEXT(WEEKDAY(DATE(Setiembre!CalendarioAño,1,21),1),"ddd")</f>
        <v>mié</v>
      </c>
      <c r="X150" s="16" t="str">
        <f>TEXT(WEEKDAY(DATE(Setiembre!CalendarioAño,1,22),1),"ddd")</f>
        <v>jue</v>
      </c>
      <c r="Y150" s="16" t="str">
        <f>TEXT(WEEKDAY(DATE(Setiembre!CalendarioAño,1,23),1),"ddd")</f>
        <v>vie</v>
      </c>
      <c r="Z150" s="16" t="str">
        <f>TEXT(WEEKDAY(DATE(Setiembre!CalendarioAño,1,24),1),"ddd")</f>
        <v>sáb</v>
      </c>
      <c r="AA150" s="16" t="str">
        <f>TEXT(WEEKDAY(DATE(Setiembre!CalendarioAño,1,25),1),"ddd")</f>
        <v>dom</v>
      </c>
      <c r="AB150" s="16" t="str">
        <f>TEXT(WEEKDAY(DATE(Setiembre!CalendarioAño,1,26),1),"ddd")</f>
        <v>lun</v>
      </c>
      <c r="AC150" s="16" t="str">
        <f>TEXT(WEEKDAY(DATE(Setiembre!CalendarioAño,1,27),1),"ddd")</f>
        <v>mar</v>
      </c>
      <c r="AD150" s="16" t="str">
        <f>TEXT(WEEKDAY(DATE(Setiembre!CalendarioAño,1,28),1),"ddd")</f>
        <v>mié</v>
      </c>
      <c r="AE150" s="16" t="str">
        <f>TEXT(WEEKDAY(DATE(Setiembre!CalendarioAño,1,29),1),"ddd")</f>
        <v>jue</v>
      </c>
      <c r="AF150" s="16" t="str">
        <f>TEXT(WEEKDAY(DATE(Setiembre!CalendarioAño,1,30),1),"ddd")</f>
        <v>vie</v>
      </c>
      <c r="AG150" s="16" t="str">
        <f>TEXT(WEEKDAY(DATE(Setiembre!CalendarioAño,1,31),1),"ddd")</f>
        <v>sáb</v>
      </c>
      <c r="AH150" s="30"/>
      <c r="AI150" s="14"/>
      <c r="AJ150" s="14"/>
    </row>
    <row r="151" ht="30.0" customHeight="1">
      <c r="A151" s="17"/>
      <c r="B151" s="31" t="s">
        <v>14</v>
      </c>
      <c r="C151" s="19" t="s">
        <v>15</v>
      </c>
      <c r="D151" s="19" t="s">
        <v>16</v>
      </c>
      <c r="E151" s="19" t="s">
        <v>17</v>
      </c>
      <c r="F151" s="19" t="s">
        <v>18</v>
      </c>
      <c r="G151" s="19" t="s">
        <v>19</v>
      </c>
      <c r="H151" s="19" t="s">
        <v>20</v>
      </c>
      <c r="I151" s="19" t="s">
        <v>21</v>
      </c>
      <c r="J151" s="19" t="s">
        <v>22</v>
      </c>
      <c r="K151" s="19" t="s">
        <v>23</v>
      </c>
      <c r="L151" s="19" t="s">
        <v>24</v>
      </c>
      <c r="M151" s="19" t="s">
        <v>25</v>
      </c>
      <c r="N151" s="19" t="s">
        <v>26</v>
      </c>
      <c r="O151" s="19" t="s">
        <v>27</v>
      </c>
      <c r="P151" s="19" t="s">
        <v>28</v>
      </c>
      <c r="Q151" s="19" t="s">
        <v>29</v>
      </c>
      <c r="R151" s="19" t="s">
        <v>30</v>
      </c>
      <c r="S151" s="19" t="s">
        <v>31</v>
      </c>
      <c r="T151" s="19" t="s">
        <v>32</v>
      </c>
      <c r="U151" s="19" t="s">
        <v>33</v>
      </c>
      <c r="V151" s="19" t="s">
        <v>34</v>
      </c>
      <c r="W151" s="19" t="s">
        <v>35</v>
      </c>
      <c r="X151" s="19" t="s">
        <v>36</v>
      </c>
      <c r="Y151" s="19" t="s">
        <v>37</v>
      </c>
      <c r="Z151" s="19" t="s">
        <v>38</v>
      </c>
      <c r="AA151" s="19" t="s">
        <v>39</v>
      </c>
      <c r="AB151" s="19" t="s">
        <v>40</v>
      </c>
      <c r="AC151" s="19" t="s">
        <v>41</v>
      </c>
      <c r="AD151" s="19" t="s">
        <v>42</v>
      </c>
      <c r="AE151" s="19" t="s">
        <v>43</v>
      </c>
      <c r="AF151" s="19" t="s">
        <v>44</v>
      </c>
      <c r="AG151" s="19" t="s">
        <v>45</v>
      </c>
      <c r="AH151" s="19" t="s">
        <v>46</v>
      </c>
      <c r="AI151" s="19"/>
      <c r="AJ151" s="19"/>
    </row>
    <row r="152" ht="30.0" customHeight="1">
      <c r="B152" s="32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23"/>
      <c r="AI152" s="23"/>
      <c r="AJ152" s="23"/>
    </row>
    <row r="153" ht="30.0" customHeight="1">
      <c r="B153" s="40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23"/>
      <c r="AI153" s="23"/>
      <c r="AJ153" s="23"/>
    </row>
    <row r="154" ht="30.0" customHeight="1">
      <c r="B154" s="40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23"/>
      <c r="AI154" s="23"/>
      <c r="AJ154" s="23"/>
    </row>
    <row r="155" ht="30.0" customHeight="1">
      <c r="B155" s="32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23"/>
      <c r="AI155" s="23"/>
      <c r="AJ155" s="23"/>
    </row>
    <row r="156" ht="30.0" customHeight="1">
      <c r="B156" s="32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23"/>
      <c r="AI156" s="23"/>
      <c r="AJ156" s="23"/>
    </row>
    <row r="157" ht="30.0" customHeight="1">
      <c r="B157" s="32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23"/>
      <c r="AI157" s="23"/>
      <c r="AJ157" s="23"/>
    </row>
    <row r="158" ht="30.0" customHeight="1">
      <c r="B158" s="32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23"/>
      <c r="AI158" s="23"/>
      <c r="AJ158" s="23"/>
    </row>
    <row r="159" ht="30.0" customHeight="1">
      <c r="B159" s="32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23"/>
      <c r="AI159" s="23"/>
      <c r="AJ159" s="23"/>
    </row>
    <row r="160" ht="30.0" customHeight="1">
      <c r="B160" s="32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23"/>
      <c r="AI160" s="23"/>
      <c r="AJ160" s="23"/>
    </row>
    <row r="161" ht="30.0" customHeight="1">
      <c r="B161" s="32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23"/>
      <c r="AI161" s="23"/>
      <c r="AJ161" s="23"/>
    </row>
    <row r="162" ht="30.0" customHeight="1">
      <c r="B162" s="20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33"/>
      <c r="N162" s="21"/>
      <c r="O162" s="21"/>
      <c r="P162" s="21"/>
      <c r="Q162" s="21"/>
      <c r="R162" s="21"/>
      <c r="S162" s="21"/>
      <c r="T162" s="33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3"/>
      <c r="AI162" s="23"/>
      <c r="AJ162" s="23"/>
    </row>
    <row r="163" ht="30.0" customHeight="1">
      <c r="B163" s="20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33"/>
      <c r="N163" s="21"/>
      <c r="O163" s="21"/>
      <c r="P163" s="21"/>
      <c r="Q163" s="21"/>
      <c r="R163" s="21"/>
      <c r="S163" s="21"/>
      <c r="T163" s="33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3"/>
      <c r="AI163" s="23"/>
      <c r="AJ163" s="23"/>
    </row>
    <row r="164" ht="30.0" customHeight="1">
      <c r="B164" s="48" t="str">
        <f>Setiembre!MonthName&amp;" Total"</f>
        <v>Enero Total</v>
      </c>
      <c r="C164" s="25">
        <f>SUBTOTAL(103,Setiembre!$C$7)</f>
        <v>0</v>
      </c>
      <c r="D164" s="25">
        <f>SUBTOTAL(103,Setiembre!$D$7)</f>
        <v>0</v>
      </c>
      <c r="E164" s="25">
        <f>SUBTOTAL(103,Setiembre!$E$7)</f>
        <v>0</v>
      </c>
      <c r="F164" s="25"/>
      <c r="G164" s="25"/>
      <c r="H164" s="25">
        <f>SUBTOTAL(103,Setiembre!$H$7)</f>
        <v>0</v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>
        <f>SUBTOTAL(103,Setiembre!$Y$7)</f>
        <v>0</v>
      </c>
      <c r="Z164" s="25">
        <f>SUBTOTAL(103,Setiembre!$Z$7)</f>
        <v>0</v>
      </c>
      <c r="AA164" s="25">
        <f>SUBTOTAL(103,Setiembre!$AA$7)</f>
        <v>0</v>
      </c>
      <c r="AB164" s="25">
        <f>SUBTOTAL(103,Setiembre!$AB$7)</f>
        <v>0</v>
      </c>
      <c r="AC164" s="25">
        <f>SUBTOTAL(103,Setiembre!$AC$7)</f>
        <v>0</v>
      </c>
      <c r="AD164" s="25">
        <f>SUBTOTAL(103,Setiembre!$AD$7)</f>
        <v>0</v>
      </c>
      <c r="AE164" s="25">
        <f>SUBTOTAL(103,Setiembre!$AE$7)</f>
        <v>0</v>
      </c>
      <c r="AF164" s="25">
        <f>SUBTOTAL(103,Setiembre!$AF$7)</f>
        <v>0</v>
      </c>
      <c r="AG164" s="25">
        <f>SUBTOTAL(103,Setiembre!$AG$7)</f>
        <v>0</v>
      </c>
      <c r="AH164" s="25">
        <f>SUM(C164:AG164)</f>
        <v>0</v>
      </c>
      <c r="AI164" s="25"/>
      <c r="AJ164" s="25"/>
    </row>
    <row r="165" ht="30.0" customHeight="1">
      <c r="AH165" s="5"/>
      <c r="AI165" s="5"/>
      <c r="AJ165" s="5"/>
    </row>
    <row r="166" ht="30.0" customHeight="1">
      <c r="A166" s="50"/>
      <c r="B166" s="30" t="s">
        <v>12</v>
      </c>
      <c r="C166" s="27" t="s">
        <v>171</v>
      </c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39">
        <v>2026.0</v>
      </c>
      <c r="AI166" s="15"/>
      <c r="AJ166" s="15"/>
    </row>
    <row r="167" ht="30.0" customHeight="1">
      <c r="A167" s="50"/>
      <c r="B167" s="56"/>
      <c r="C167" s="16" t="str">
        <f>TEXT(WEEKDAY(DATE(Setiembre!CalendarioAño,1,1),1),"ddd")</f>
        <v>jue</v>
      </c>
      <c r="D167" s="16" t="str">
        <f>TEXT(WEEKDAY(DATE(Setiembre!CalendarioAño,1,2),1),"ddd")</f>
        <v>vie</v>
      </c>
      <c r="E167" s="16" t="str">
        <f>TEXT(WEEKDAY(DATE(Setiembre!CalendarioAño,1,3),1),"ddd")</f>
        <v>sáb</v>
      </c>
      <c r="F167" s="16" t="str">
        <f>TEXT(WEEKDAY(DATE(Setiembre!CalendarioAño,1,4),1),"ddd")</f>
        <v>dom</v>
      </c>
      <c r="G167" s="16" t="str">
        <f>TEXT(WEEKDAY(DATE(Setiembre!CalendarioAño,1,5),1),"ddd")</f>
        <v>lun</v>
      </c>
      <c r="H167" s="16" t="str">
        <f>TEXT(WEEKDAY(DATE(Setiembre!CalendarioAño,1,6),1),"ddd")</f>
        <v>mar</v>
      </c>
      <c r="I167" s="16" t="str">
        <f>TEXT(WEEKDAY(DATE(Setiembre!CalendarioAño,1,7),1),"ddd")</f>
        <v>mié</v>
      </c>
      <c r="J167" s="16" t="str">
        <f>TEXT(WEEKDAY(DATE(Setiembre!CalendarioAño,1,8),1),"ddd")</f>
        <v>jue</v>
      </c>
      <c r="K167" s="16" t="str">
        <f>TEXT(WEEKDAY(DATE(Setiembre!CalendarioAño,1,9),1),"ddd")</f>
        <v>vie</v>
      </c>
      <c r="L167" s="16" t="str">
        <f>TEXT(WEEKDAY(DATE(Setiembre!CalendarioAño,1,10),1),"ddd")</f>
        <v>sáb</v>
      </c>
      <c r="M167" s="16" t="str">
        <f>TEXT(WEEKDAY(DATE(Setiembre!CalendarioAño,1,11),1),"ddd")</f>
        <v>dom</v>
      </c>
      <c r="N167" s="16" t="str">
        <f>TEXT(WEEKDAY(DATE(Setiembre!CalendarioAño,1,12),1),"ddd")</f>
        <v>lun</v>
      </c>
      <c r="O167" s="16" t="str">
        <f>TEXT(WEEKDAY(DATE(Setiembre!CalendarioAño,1,13),1),"ddd")</f>
        <v>mar</v>
      </c>
      <c r="P167" s="16" t="str">
        <f>TEXT(WEEKDAY(DATE(Setiembre!CalendarioAño,1,14),1),"ddd")</f>
        <v>mié</v>
      </c>
      <c r="Q167" s="16" t="str">
        <f>TEXT(WEEKDAY(DATE(Setiembre!CalendarioAño,1,15),1),"ddd")</f>
        <v>jue</v>
      </c>
      <c r="R167" s="16" t="str">
        <f>TEXT(WEEKDAY(DATE(Setiembre!CalendarioAño,1,16),1),"ddd")</f>
        <v>vie</v>
      </c>
      <c r="S167" s="16" t="str">
        <f>TEXT(WEEKDAY(DATE(Setiembre!CalendarioAño,1,17),1),"ddd")</f>
        <v>sáb</v>
      </c>
      <c r="T167" s="16" t="str">
        <f>TEXT(WEEKDAY(DATE(Setiembre!CalendarioAño,1,18),1),"ddd")</f>
        <v>dom</v>
      </c>
      <c r="U167" s="16" t="str">
        <f>TEXT(WEEKDAY(DATE(Setiembre!CalendarioAño,1,19),1),"ddd")</f>
        <v>lun</v>
      </c>
      <c r="V167" s="16" t="str">
        <f>TEXT(WEEKDAY(DATE(Setiembre!CalendarioAño,1,20),1),"ddd")</f>
        <v>mar</v>
      </c>
      <c r="W167" s="16" t="str">
        <f>TEXT(WEEKDAY(DATE(Setiembre!CalendarioAño,1,21),1),"ddd")</f>
        <v>mié</v>
      </c>
      <c r="X167" s="16" t="str">
        <f>TEXT(WEEKDAY(DATE(Setiembre!CalendarioAño,1,22),1),"ddd")</f>
        <v>jue</v>
      </c>
      <c r="Y167" s="16" t="str">
        <f>TEXT(WEEKDAY(DATE(Setiembre!CalendarioAño,1,23),1),"ddd")</f>
        <v>vie</v>
      </c>
      <c r="Z167" s="16" t="str">
        <f>TEXT(WEEKDAY(DATE(Setiembre!CalendarioAño,1,24),1),"ddd")</f>
        <v>sáb</v>
      </c>
      <c r="AA167" s="16" t="str">
        <f>TEXT(WEEKDAY(DATE(Setiembre!CalendarioAño,1,25),1),"ddd")</f>
        <v>dom</v>
      </c>
      <c r="AB167" s="16" t="str">
        <f>TEXT(WEEKDAY(DATE(Setiembre!CalendarioAño,1,26),1),"ddd")</f>
        <v>lun</v>
      </c>
      <c r="AC167" s="16" t="str">
        <f>TEXT(WEEKDAY(DATE(Setiembre!CalendarioAño,1,27),1),"ddd")</f>
        <v>mar</v>
      </c>
      <c r="AD167" s="16" t="str">
        <f>TEXT(WEEKDAY(DATE(Setiembre!CalendarioAño,1,28),1),"ddd")</f>
        <v>mié</v>
      </c>
      <c r="AE167" s="16" t="str">
        <f>TEXT(WEEKDAY(DATE(Setiembre!CalendarioAño,1,29),1),"ddd")</f>
        <v>jue</v>
      </c>
      <c r="AF167" s="16" t="str">
        <f>TEXT(WEEKDAY(DATE(Setiembre!CalendarioAño,1,30),1),"ddd")</f>
        <v>vie</v>
      </c>
      <c r="AG167" s="16" t="str">
        <f>TEXT(WEEKDAY(DATE(Setiembre!CalendarioAño,1,31),1),"ddd")</f>
        <v>sáb</v>
      </c>
      <c r="AH167" s="57"/>
      <c r="AI167" s="119"/>
      <c r="AJ167" s="119"/>
    </row>
    <row r="168" ht="30.0" customHeight="1">
      <c r="A168" s="18"/>
      <c r="B168" s="31" t="s">
        <v>14</v>
      </c>
      <c r="C168" s="19" t="s">
        <v>15</v>
      </c>
      <c r="D168" s="19" t="s">
        <v>16</v>
      </c>
      <c r="E168" s="19" t="s">
        <v>17</v>
      </c>
      <c r="F168" s="19" t="s">
        <v>18</v>
      </c>
      <c r="G168" s="19" t="s">
        <v>19</v>
      </c>
      <c r="H168" s="19" t="s">
        <v>20</v>
      </c>
      <c r="I168" s="19" t="s">
        <v>21</v>
      </c>
      <c r="J168" s="19" t="s">
        <v>22</v>
      </c>
      <c r="K168" s="19" t="s">
        <v>23</v>
      </c>
      <c r="L168" s="19" t="s">
        <v>24</v>
      </c>
      <c r="M168" s="19" t="s">
        <v>25</v>
      </c>
      <c r="N168" s="19" t="s">
        <v>26</v>
      </c>
      <c r="O168" s="19" t="s">
        <v>27</v>
      </c>
      <c r="P168" s="19" t="s">
        <v>28</v>
      </c>
      <c r="Q168" s="19" t="s">
        <v>29</v>
      </c>
      <c r="R168" s="19" t="s">
        <v>30</v>
      </c>
      <c r="S168" s="19" t="s">
        <v>31</v>
      </c>
      <c r="T168" s="19" t="s">
        <v>32</v>
      </c>
      <c r="U168" s="19" t="s">
        <v>33</v>
      </c>
      <c r="V168" s="19" t="s">
        <v>34</v>
      </c>
      <c r="W168" s="19" t="s">
        <v>35</v>
      </c>
      <c r="X168" s="19" t="s">
        <v>36</v>
      </c>
      <c r="Y168" s="19" t="s">
        <v>37</v>
      </c>
      <c r="Z168" s="19" t="s">
        <v>38</v>
      </c>
      <c r="AA168" s="19" t="s">
        <v>39</v>
      </c>
      <c r="AB168" s="19" t="s">
        <v>40</v>
      </c>
      <c r="AC168" s="19" t="s">
        <v>41</v>
      </c>
      <c r="AD168" s="19" t="s">
        <v>42</v>
      </c>
      <c r="AE168" s="19" t="s">
        <v>43</v>
      </c>
      <c r="AF168" s="19" t="s">
        <v>44</v>
      </c>
      <c r="AG168" s="19" t="s">
        <v>45</v>
      </c>
      <c r="AH168" s="19" t="s">
        <v>46</v>
      </c>
      <c r="AI168" s="19"/>
      <c r="AJ168" s="19"/>
    </row>
    <row r="169" ht="30.0" customHeight="1">
      <c r="A169" s="50"/>
      <c r="B169" s="58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59"/>
      <c r="AI169" s="59"/>
      <c r="AJ169" s="59"/>
    </row>
    <row r="170" ht="30.0" customHeight="1">
      <c r="A170" s="50"/>
      <c r="B170" s="60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59"/>
      <c r="AI170" s="59"/>
      <c r="AJ170" s="59"/>
    </row>
    <row r="171" ht="30.0" customHeight="1">
      <c r="A171" s="50"/>
      <c r="B171" s="58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59"/>
      <c r="AI171" s="59"/>
      <c r="AJ171" s="59"/>
    </row>
    <row r="172" ht="30.0" customHeight="1">
      <c r="A172" s="50"/>
      <c r="B172" s="60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59"/>
      <c r="AI172" s="59"/>
      <c r="AJ172" s="59"/>
    </row>
    <row r="173" ht="30.0" customHeight="1">
      <c r="A173" s="50"/>
      <c r="B173" s="60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59"/>
      <c r="AI173" s="59"/>
      <c r="AJ173" s="59"/>
    </row>
    <row r="174" ht="30.0" customHeight="1">
      <c r="A174" s="50"/>
      <c r="B174" s="58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59"/>
      <c r="AI174" s="59"/>
      <c r="AJ174" s="59"/>
    </row>
    <row r="175" ht="30.0" customHeight="1">
      <c r="A175" s="50"/>
      <c r="B175" s="58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59"/>
      <c r="AI175" s="59"/>
      <c r="AJ175" s="59"/>
    </row>
    <row r="176" ht="30.0" customHeight="1">
      <c r="A176" s="50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59"/>
      <c r="AI176" s="59"/>
      <c r="AJ176" s="59"/>
    </row>
    <row r="177" ht="30.0" customHeight="1">
      <c r="A177" s="50"/>
      <c r="B177" s="62" t="str">
        <f>Setiembre!MonthName&amp;" Total"</f>
        <v>Enero Total</v>
      </c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5"/>
      <c r="AI177" s="65"/>
      <c r="AJ177" s="65"/>
    </row>
    <row r="178" ht="30.0" customHeight="1">
      <c r="B178" s="123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124"/>
      <c r="AI178" s="124"/>
      <c r="AJ178" s="124"/>
    </row>
    <row r="179" ht="30.0" customHeight="1">
      <c r="A179" s="50"/>
      <c r="B179" s="30" t="s">
        <v>12</v>
      </c>
      <c r="C179" s="27" t="s">
        <v>179</v>
      </c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39">
        <v>2026.0</v>
      </c>
      <c r="AI179" s="15"/>
      <c r="AJ179" s="15"/>
    </row>
    <row r="180" ht="30.0" customHeight="1">
      <c r="A180" s="50"/>
      <c r="B180" s="56"/>
      <c r="C180" s="16" t="str">
        <f>TEXT(WEEKDAY(DATE(Setiembre!CalendarioAño,1,1),1),"ddd")</f>
        <v>jue</v>
      </c>
      <c r="D180" s="16" t="str">
        <f>TEXT(WEEKDAY(DATE(Setiembre!CalendarioAño,1,2),1),"ddd")</f>
        <v>vie</v>
      </c>
      <c r="E180" s="16" t="str">
        <f>TEXT(WEEKDAY(DATE(Setiembre!CalendarioAño,1,3),1),"ddd")</f>
        <v>sáb</v>
      </c>
      <c r="F180" s="16" t="str">
        <f>TEXT(WEEKDAY(DATE(Setiembre!CalendarioAño,1,4),1),"ddd")</f>
        <v>dom</v>
      </c>
      <c r="G180" s="16" t="str">
        <f>TEXT(WEEKDAY(DATE(Setiembre!CalendarioAño,1,5),1),"ddd")</f>
        <v>lun</v>
      </c>
      <c r="H180" s="16" t="str">
        <f>TEXT(WEEKDAY(DATE(Setiembre!CalendarioAño,1,6),1),"ddd")</f>
        <v>mar</v>
      </c>
      <c r="I180" s="16" t="str">
        <f>TEXT(WEEKDAY(DATE(Setiembre!CalendarioAño,1,7),1),"ddd")</f>
        <v>mié</v>
      </c>
      <c r="J180" s="16" t="str">
        <f>TEXT(WEEKDAY(DATE(Setiembre!CalendarioAño,1,8),1),"ddd")</f>
        <v>jue</v>
      </c>
      <c r="K180" s="16" t="str">
        <f>TEXT(WEEKDAY(DATE(Setiembre!CalendarioAño,1,9),1),"ddd")</f>
        <v>vie</v>
      </c>
      <c r="L180" s="16" t="str">
        <f>TEXT(WEEKDAY(DATE(Setiembre!CalendarioAño,1,10),1),"ddd")</f>
        <v>sáb</v>
      </c>
      <c r="M180" s="16" t="str">
        <f>TEXT(WEEKDAY(DATE(Setiembre!CalendarioAño,1,11),1),"ddd")</f>
        <v>dom</v>
      </c>
      <c r="N180" s="16" t="str">
        <f>TEXT(WEEKDAY(DATE(Setiembre!CalendarioAño,1,12),1),"ddd")</f>
        <v>lun</v>
      </c>
      <c r="O180" s="16" t="str">
        <f>TEXT(WEEKDAY(DATE(Setiembre!CalendarioAño,1,13),1),"ddd")</f>
        <v>mar</v>
      </c>
      <c r="P180" s="16" t="str">
        <f>TEXT(WEEKDAY(DATE(Setiembre!CalendarioAño,1,14),1),"ddd")</f>
        <v>mié</v>
      </c>
      <c r="Q180" s="16" t="str">
        <f>TEXT(WEEKDAY(DATE(Setiembre!CalendarioAño,1,15),1),"ddd")</f>
        <v>jue</v>
      </c>
      <c r="R180" s="16" t="str">
        <f>TEXT(WEEKDAY(DATE(Setiembre!CalendarioAño,1,16),1),"ddd")</f>
        <v>vie</v>
      </c>
      <c r="S180" s="16" t="str">
        <f>TEXT(WEEKDAY(DATE(Setiembre!CalendarioAño,1,17),1),"ddd")</f>
        <v>sáb</v>
      </c>
      <c r="T180" s="16" t="str">
        <f>TEXT(WEEKDAY(DATE(Setiembre!CalendarioAño,1,18),1),"ddd")</f>
        <v>dom</v>
      </c>
      <c r="U180" s="16" t="str">
        <f>TEXT(WEEKDAY(DATE(Setiembre!CalendarioAño,1,19),1),"ddd")</f>
        <v>lun</v>
      </c>
      <c r="V180" s="16" t="str">
        <f>TEXT(WEEKDAY(DATE(Setiembre!CalendarioAño,1,20),1),"ddd")</f>
        <v>mar</v>
      </c>
      <c r="W180" s="16" t="str">
        <f>TEXT(WEEKDAY(DATE(Setiembre!CalendarioAño,1,21),1),"ddd")</f>
        <v>mié</v>
      </c>
      <c r="X180" s="16" t="str">
        <f>TEXT(WEEKDAY(DATE(Setiembre!CalendarioAño,1,22),1),"ddd")</f>
        <v>jue</v>
      </c>
      <c r="Y180" s="16" t="str">
        <f>TEXT(WEEKDAY(DATE(Setiembre!CalendarioAño,1,23),1),"ddd")</f>
        <v>vie</v>
      </c>
      <c r="Z180" s="16" t="str">
        <f>TEXT(WEEKDAY(DATE(Setiembre!CalendarioAño,1,24),1),"ddd")</f>
        <v>sáb</v>
      </c>
      <c r="AA180" s="16" t="str">
        <f>TEXT(WEEKDAY(DATE(Setiembre!CalendarioAño,1,25),1),"ddd")</f>
        <v>dom</v>
      </c>
      <c r="AB180" s="16" t="str">
        <f>TEXT(WEEKDAY(DATE(Setiembre!CalendarioAño,1,26),1),"ddd")</f>
        <v>lun</v>
      </c>
      <c r="AC180" s="16" t="str">
        <f>TEXT(WEEKDAY(DATE(Setiembre!CalendarioAño,1,27),1),"ddd")</f>
        <v>mar</v>
      </c>
      <c r="AD180" s="16" t="str">
        <f>TEXT(WEEKDAY(DATE(Setiembre!CalendarioAño,1,28),1),"ddd")</f>
        <v>mié</v>
      </c>
      <c r="AE180" s="16" t="str">
        <f>TEXT(WEEKDAY(DATE(Setiembre!CalendarioAño,1,29),1),"ddd")</f>
        <v>jue</v>
      </c>
      <c r="AF180" s="16" t="str">
        <f>TEXT(WEEKDAY(DATE(Setiembre!CalendarioAño,1,30),1),"ddd")</f>
        <v>vie</v>
      </c>
      <c r="AG180" s="16" t="str">
        <f>TEXT(WEEKDAY(DATE(Setiembre!CalendarioAño,1,31),1),"ddd")</f>
        <v>sáb</v>
      </c>
      <c r="AH180" s="57"/>
      <c r="AI180" s="119"/>
      <c r="AJ180" s="119"/>
    </row>
    <row r="181" ht="30.0" customHeight="1">
      <c r="A181" s="18"/>
      <c r="B181" s="31" t="s">
        <v>14</v>
      </c>
      <c r="C181" s="19" t="s">
        <v>15</v>
      </c>
      <c r="D181" s="19" t="s">
        <v>16</v>
      </c>
      <c r="E181" s="19" t="s">
        <v>17</v>
      </c>
      <c r="F181" s="19" t="s">
        <v>18</v>
      </c>
      <c r="G181" s="19" t="s">
        <v>19</v>
      </c>
      <c r="H181" s="19" t="s">
        <v>20</v>
      </c>
      <c r="I181" s="19" t="s">
        <v>21</v>
      </c>
      <c r="J181" s="19" t="s">
        <v>22</v>
      </c>
      <c r="K181" s="19" t="s">
        <v>23</v>
      </c>
      <c r="L181" s="19" t="s">
        <v>24</v>
      </c>
      <c r="M181" s="19" t="s">
        <v>25</v>
      </c>
      <c r="N181" s="19" t="s">
        <v>26</v>
      </c>
      <c r="O181" s="19" t="s">
        <v>27</v>
      </c>
      <c r="P181" s="19" t="s">
        <v>28</v>
      </c>
      <c r="Q181" s="19" t="s">
        <v>29</v>
      </c>
      <c r="R181" s="19" t="s">
        <v>30</v>
      </c>
      <c r="S181" s="19" t="s">
        <v>31</v>
      </c>
      <c r="T181" s="19" t="s">
        <v>32</v>
      </c>
      <c r="U181" s="19" t="s">
        <v>33</v>
      </c>
      <c r="V181" s="19" t="s">
        <v>34</v>
      </c>
      <c r="W181" s="19" t="s">
        <v>35</v>
      </c>
      <c r="X181" s="19" t="s">
        <v>36</v>
      </c>
      <c r="Y181" s="19" t="s">
        <v>37</v>
      </c>
      <c r="Z181" s="19" t="s">
        <v>38</v>
      </c>
      <c r="AA181" s="19" t="s">
        <v>39</v>
      </c>
      <c r="AB181" s="19" t="s">
        <v>40</v>
      </c>
      <c r="AC181" s="19" t="s">
        <v>41</v>
      </c>
      <c r="AD181" s="19" t="s">
        <v>42</v>
      </c>
      <c r="AE181" s="19" t="s">
        <v>43</v>
      </c>
      <c r="AF181" s="19" t="s">
        <v>44</v>
      </c>
      <c r="AG181" s="19" t="s">
        <v>45</v>
      </c>
      <c r="AH181" s="19" t="s">
        <v>46</v>
      </c>
      <c r="AI181" s="19"/>
      <c r="AJ181" s="19"/>
    </row>
    <row r="182" ht="30.0" customHeight="1">
      <c r="A182" s="50"/>
      <c r="B182" s="58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59"/>
      <c r="AI182" s="59"/>
      <c r="AJ182" s="59"/>
    </row>
    <row r="183" ht="30.0" customHeight="1">
      <c r="A183" s="50"/>
      <c r="B183" s="60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59"/>
      <c r="AI183" s="59"/>
      <c r="AJ183" s="59"/>
    </row>
    <row r="184" ht="30.0" customHeight="1">
      <c r="A184" s="50"/>
      <c r="B184" s="58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59"/>
      <c r="AI184" s="59"/>
      <c r="AJ184" s="59"/>
    </row>
    <row r="185" ht="30.0" customHeight="1">
      <c r="A185" s="50"/>
      <c r="B185" s="36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59"/>
      <c r="AI185" s="59"/>
      <c r="AJ185" s="59"/>
    </row>
    <row r="186" ht="30.0" customHeight="1">
      <c r="A186" s="50"/>
      <c r="B186" s="6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59"/>
      <c r="AI186" s="59"/>
      <c r="AJ186" s="59"/>
    </row>
    <row r="187" ht="30.0" customHeight="1">
      <c r="A187" s="50"/>
      <c r="B187" s="62"/>
      <c r="C187" s="63">
        <f>SUBTOTAL(103,Setiembre!$C$7)</f>
        <v>0</v>
      </c>
      <c r="D187" s="63">
        <f>SUBTOTAL(103,Setiembre!$D$7)</f>
        <v>0</v>
      </c>
      <c r="E187" s="63">
        <f>SUBTOTAL(103,Setiembre!$E$7)</f>
        <v>0</v>
      </c>
      <c r="F187" s="63"/>
      <c r="G187" s="63"/>
      <c r="H187" s="63">
        <f>SUBTOTAL(103,Setiembre!$H$7)</f>
        <v>0</v>
      </c>
      <c r="I187" s="63">
        <f>SUBTOTAL(103,Setiembre!$I$7)</f>
        <v>0</v>
      </c>
      <c r="J187" s="63">
        <f>SUBTOTAL(103,Setiembre!$J$7)</f>
        <v>0</v>
      </c>
      <c r="K187" s="63">
        <f>SUBTOTAL(103,Setiembre!$K$7)</f>
        <v>0</v>
      </c>
      <c r="L187" s="63">
        <f>SUBTOTAL(103,Setiembre!$L$7)</f>
        <v>0</v>
      </c>
      <c r="M187" s="63"/>
      <c r="N187" s="63">
        <f>SUBTOTAL(103,Setiembre!$N$7)</f>
        <v>0</v>
      </c>
      <c r="O187" s="63">
        <f>SUBTOTAL(103,Setiembre!$O$7)</f>
        <v>0</v>
      </c>
      <c r="P187" s="63">
        <f>SUBTOTAL(103,Setiembre!$P$7)</f>
        <v>0</v>
      </c>
      <c r="Q187" s="63">
        <f>SUBTOTAL(103,Setiembre!$Q$7)</f>
        <v>0</v>
      </c>
      <c r="R187" s="63">
        <f>SUBTOTAL(103,Setiembre!$R$7)</f>
        <v>0</v>
      </c>
      <c r="S187" s="63">
        <f>SUBTOTAL(103,Setiembre!$S$7)</f>
        <v>0</v>
      </c>
      <c r="T187" s="63">
        <f>SUBTOTAL(103,Setiembre!$T$7)</f>
        <v>0</v>
      </c>
      <c r="U187" s="63">
        <f>SUBTOTAL(103,Setiembre!$U$7)</f>
        <v>0</v>
      </c>
      <c r="V187" s="63"/>
      <c r="W187" s="63">
        <f>SUBTOTAL(103,Setiembre!$W$7)</f>
        <v>0</v>
      </c>
      <c r="X187" s="63">
        <f>SUBTOTAL(103,Setiembre!$X$7)</f>
        <v>0</v>
      </c>
      <c r="Y187" s="63">
        <f>SUBTOTAL(103,Setiembre!$Y$7)</f>
        <v>0</v>
      </c>
      <c r="Z187" s="63">
        <f>SUBTOTAL(103,Setiembre!$Z$7)</f>
        <v>0</v>
      </c>
      <c r="AA187" s="63">
        <f>SUBTOTAL(103,Setiembre!$AA$7)</f>
        <v>0</v>
      </c>
      <c r="AB187" s="63">
        <f>SUBTOTAL(103,Setiembre!$AB$7)</f>
        <v>0</v>
      </c>
      <c r="AC187" s="63">
        <f>SUBTOTAL(103,Setiembre!$AC$7)</f>
        <v>0</v>
      </c>
      <c r="AD187" s="63">
        <f>SUBTOTAL(103,Setiembre!$AD$7)</f>
        <v>0</v>
      </c>
      <c r="AE187" s="63">
        <f>SUBTOTAL(103,Setiembre!$AE$7)</f>
        <v>0</v>
      </c>
      <c r="AF187" s="63">
        <f>SUBTOTAL(103,Setiembre!$AF$7)</f>
        <v>0</v>
      </c>
      <c r="AG187" s="63">
        <f>SUBTOTAL(103,Setiembre!$AG$7)</f>
        <v>0</v>
      </c>
      <c r="AH187" s="65"/>
      <c r="AI187" s="65"/>
      <c r="AJ187" s="65"/>
    </row>
    <row r="188" ht="30.0" customHeight="1">
      <c r="AH188" s="5"/>
      <c r="AI188" s="5"/>
      <c r="AJ188" s="5"/>
    </row>
    <row r="189" ht="30.0" customHeight="1">
      <c r="A189" s="50"/>
      <c r="B189" s="30" t="s">
        <v>12</v>
      </c>
      <c r="C189" s="27" t="s">
        <v>183</v>
      </c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39">
        <v>2026.0</v>
      </c>
      <c r="AI189" s="15"/>
      <c r="AJ189" s="15"/>
    </row>
    <row r="190" ht="30.0" customHeight="1">
      <c r="A190" s="50"/>
      <c r="B190" s="56"/>
      <c r="C190" s="16" t="str">
        <f>TEXT(WEEKDAY(DATE(Setiembre!CalendarioAño,1,1),1),"ddd")</f>
        <v>jue</v>
      </c>
      <c r="D190" s="16" t="str">
        <f>TEXT(WEEKDAY(DATE(Setiembre!CalendarioAño,1,2),1),"ddd")</f>
        <v>vie</v>
      </c>
      <c r="E190" s="16" t="str">
        <f>TEXT(WEEKDAY(DATE(Setiembre!CalendarioAño,1,3),1),"ddd")</f>
        <v>sáb</v>
      </c>
      <c r="F190" s="16" t="str">
        <f>TEXT(WEEKDAY(DATE(Setiembre!CalendarioAño,1,4),1),"ddd")</f>
        <v>dom</v>
      </c>
      <c r="G190" s="16" t="str">
        <f>TEXT(WEEKDAY(DATE(Setiembre!CalendarioAño,1,5),1),"ddd")</f>
        <v>lun</v>
      </c>
      <c r="H190" s="16" t="str">
        <f>TEXT(WEEKDAY(DATE(Setiembre!CalendarioAño,1,6),1),"ddd")</f>
        <v>mar</v>
      </c>
      <c r="I190" s="16" t="str">
        <f>TEXT(WEEKDAY(DATE(Setiembre!CalendarioAño,1,7),1),"ddd")</f>
        <v>mié</v>
      </c>
      <c r="J190" s="16" t="str">
        <f>TEXT(WEEKDAY(DATE(Setiembre!CalendarioAño,1,8),1),"ddd")</f>
        <v>jue</v>
      </c>
      <c r="K190" s="16" t="str">
        <f>TEXT(WEEKDAY(DATE(Setiembre!CalendarioAño,1,9),1),"ddd")</f>
        <v>vie</v>
      </c>
      <c r="L190" s="16" t="str">
        <f>TEXT(WEEKDAY(DATE(Setiembre!CalendarioAño,1,10),1),"ddd")</f>
        <v>sáb</v>
      </c>
      <c r="M190" s="16" t="str">
        <f>TEXT(WEEKDAY(DATE(Setiembre!CalendarioAño,1,11),1),"ddd")</f>
        <v>dom</v>
      </c>
      <c r="N190" s="16" t="str">
        <f>TEXT(WEEKDAY(DATE(Setiembre!CalendarioAño,1,12),1),"ddd")</f>
        <v>lun</v>
      </c>
      <c r="O190" s="16" t="str">
        <f>TEXT(WEEKDAY(DATE(Setiembre!CalendarioAño,1,13),1),"ddd")</f>
        <v>mar</v>
      </c>
      <c r="P190" s="16" t="str">
        <f>TEXT(WEEKDAY(DATE(Setiembre!CalendarioAño,1,14),1),"ddd")</f>
        <v>mié</v>
      </c>
      <c r="Q190" s="16" t="str">
        <f>TEXT(WEEKDAY(DATE(Setiembre!CalendarioAño,1,15),1),"ddd")</f>
        <v>jue</v>
      </c>
      <c r="R190" s="16" t="str">
        <f>TEXT(WEEKDAY(DATE(Setiembre!CalendarioAño,1,16),1),"ddd")</f>
        <v>vie</v>
      </c>
      <c r="S190" s="16" t="str">
        <f>TEXT(WEEKDAY(DATE(Setiembre!CalendarioAño,1,17),1),"ddd")</f>
        <v>sáb</v>
      </c>
      <c r="T190" s="16" t="str">
        <f>TEXT(WEEKDAY(DATE(Setiembre!CalendarioAño,1,18),1),"ddd")</f>
        <v>dom</v>
      </c>
      <c r="U190" s="16" t="str">
        <f>TEXT(WEEKDAY(DATE(Setiembre!CalendarioAño,1,19),1),"ddd")</f>
        <v>lun</v>
      </c>
      <c r="V190" s="16" t="str">
        <f>TEXT(WEEKDAY(DATE(Setiembre!CalendarioAño,1,20),1),"ddd")</f>
        <v>mar</v>
      </c>
      <c r="W190" s="16" t="str">
        <f>TEXT(WEEKDAY(DATE(Setiembre!CalendarioAño,1,21),1),"ddd")</f>
        <v>mié</v>
      </c>
      <c r="X190" s="16" t="str">
        <f>TEXT(WEEKDAY(DATE(Setiembre!CalendarioAño,1,22),1),"ddd")</f>
        <v>jue</v>
      </c>
      <c r="Y190" s="16" t="str">
        <f>TEXT(WEEKDAY(DATE(Setiembre!CalendarioAño,1,23),1),"ddd")</f>
        <v>vie</v>
      </c>
      <c r="Z190" s="16" t="str">
        <f>TEXT(WEEKDAY(DATE(Setiembre!CalendarioAño,1,24),1),"ddd")</f>
        <v>sáb</v>
      </c>
      <c r="AA190" s="16" t="str">
        <f>TEXT(WEEKDAY(DATE(Setiembre!CalendarioAño,1,25),1),"ddd")</f>
        <v>dom</v>
      </c>
      <c r="AB190" s="16" t="str">
        <f>TEXT(WEEKDAY(DATE(Setiembre!CalendarioAño,1,26),1),"ddd")</f>
        <v>lun</v>
      </c>
      <c r="AC190" s="16" t="str">
        <f>TEXT(WEEKDAY(DATE(Setiembre!CalendarioAño,1,27),1),"ddd")</f>
        <v>mar</v>
      </c>
      <c r="AD190" s="16" t="str">
        <f>TEXT(WEEKDAY(DATE(Setiembre!CalendarioAño,1,28),1),"ddd")</f>
        <v>mié</v>
      </c>
      <c r="AE190" s="16" t="str">
        <f>TEXT(WEEKDAY(DATE(Setiembre!CalendarioAño,1,29),1),"ddd")</f>
        <v>jue</v>
      </c>
      <c r="AF190" s="16" t="str">
        <f>TEXT(WEEKDAY(DATE(Setiembre!CalendarioAño,1,30),1),"ddd")</f>
        <v>vie</v>
      </c>
      <c r="AG190" s="16" t="str">
        <f>TEXT(WEEKDAY(DATE(Setiembre!CalendarioAño,1,31),1),"ddd")</f>
        <v>sáb</v>
      </c>
      <c r="AH190" s="57"/>
      <c r="AI190" s="119"/>
      <c r="AJ190" s="119"/>
    </row>
    <row r="191" ht="30.0" customHeight="1">
      <c r="A191" s="18"/>
      <c r="B191" s="66" t="s">
        <v>14</v>
      </c>
      <c r="C191" s="19" t="s">
        <v>15</v>
      </c>
      <c r="D191" s="19" t="s">
        <v>16</v>
      </c>
      <c r="E191" s="19" t="s">
        <v>17</v>
      </c>
      <c r="F191" s="19" t="s">
        <v>18</v>
      </c>
      <c r="G191" s="19" t="s">
        <v>19</v>
      </c>
      <c r="H191" s="19" t="s">
        <v>20</v>
      </c>
      <c r="I191" s="19" t="s">
        <v>21</v>
      </c>
      <c r="J191" s="19" t="s">
        <v>22</v>
      </c>
      <c r="K191" s="19" t="s">
        <v>23</v>
      </c>
      <c r="L191" s="19" t="s">
        <v>24</v>
      </c>
      <c r="M191" s="19" t="s">
        <v>25</v>
      </c>
      <c r="N191" s="19" t="s">
        <v>26</v>
      </c>
      <c r="O191" s="19" t="s">
        <v>27</v>
      </c>
      <c r="P191" s="19" t="s">
        <v>28</v>
      </c>
      <c r="Q191" s="19" t="s">
        <v>29</v>
      </c>
      <c r="R191" s="19" t="s">
        <v>30</v>
      </c>
      <c r="S191" s="19" t="s">
        <v>31</v>
      </c>
      <c r="T191" s="19" t="s">
        <v>32</v>
      </c>
      <c r="U191" s="19" t="s">
        <v>33</v>
      </c>
      <c r="V191" s="19" t="s">
        <v>34</v>
      </c>
      <c r="W191" s="19" t="s">
        <v>35</v>
      </c>
      <c r="X191" s="19" t="s">
        <v>36</v>
      </c>
      <c r="Y191" s="19" t="s">
        <v>37</v>
      </c>
      <c r="Z191" s="19" t="s">
        <v>38</v>
      </c>
      <c r="AA191" s="19" t="s">
        <v>39</v>
      </c>
      <c r="AB191" s="19" t="s">
        <v>40</v>
      </c>
      <c r="AC191" s="19" t="s">
        <v>41</v>
      </c>
      <c r="AD191" s="19" t="s">
        <v>42</v>
      </c>
      <c r="AE191" s="19" t="s">
        <v>43</v>
      </c>
      <c r="AF191" s="19" t="s">
        <v>44</v>
      </c>
      <c r="AG191" s="19" t="s">
        <v>45</v>
      </c>
      <c r="AH191" s="19" t="s">
        <v>46</v>
      </c>
      <c r="AI191" s="19"/>
      <c r="AJ191" s="19"/>
    </row>
    <row r="192" ht="30.0" customHeight="1">
      <c r="A192" s="50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59"/>
      <c r="AI192" s="59"/>
      <c r="AJ192" s="59"/>
    </row>
    <row r="193" ht="30.0" customHeight="1">
      <c r="A193" s="50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7"/>
      <c r="AI193" s="67"/>
      <c r="AJ193" s="67"/>
    </row>
    <row r="194" ht="30.0" customHeight="1">
      <c r="A194" s="50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59"/>
      <c r="AI194" s="59"/>
      <c r="AJ194" s="59"/>
    </row>
    <row r="195" ht="30.0" customHeight="1">
      <c r="A195" s="50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7"/>
      <c r="AI195" s="67"/>
      <c r="AJ195" s="67"/>
    </row>
    <row r="196" ht="30.0" customHeight="1">
      <c r="A196" s="50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59"/>
      <c r="AI196" s="59"/>
      <c r="AJ196" s="59"/>
    </row>
    <row r="197" ht="30.0" customHeight="1">
      <c r="A197" s="50"/>
      <c r="B197" s="62" t="str">
        <f>Setiembre!MonthName&amp;" Total"</f>
        <v>Enero Total</v>
      </c>
      <c r="C197" s="63">
        <f>SUBTOTAL(103,Setiembre!$C$7)</f>
        <v>0</v>
      </c>
      <c r="D197" s="63">
        <f>SUBTOTAL(103,Setiembre!$D$7)</f>
        <v>0</v>
      </c>
      <c r="E197" s="63">
        <f>SUBTOTAL(103,Setiembre!$E$7)</f>
        <v>0</v>
      </c>
      <c r="F197" s="63"/>
      <c r="G197" s="63"/>
      <c r="H197" s="63">
        <f>SUBTOTAL(103,Setiembre!$H$7)</f>
        <v>0</v>
      </c>
      <c r="I197" s="63">
        <f>SUBTOTAL(103,Setiembre!$I$7)</f>
        <v>0</v>
      </c>
      <c r="J197" s="63">
        <f>SUBTOTAL(103,Setiembre!$J$7)</f>
        <v>0</v>
      </c>
      <c r="K197" s="63">
        <f>SUBTOTAL(103,Setiembre!$K$7)</f>
        <v>0</v>
      </c>
      <c r="L197" s="63">
        <f>SUBTOTAL(103,Setiembre!$L$7)</f>
        <v>0</v>
      </c>
      <c r="M197" s="63"/>
      <c r="N197" s="63">
        <f>SUBTOTAL(103,Setiembre!$N$7)</f>
        <v>0</v>
      </c>
      <c r="O197" s="63">
        <f>SUBTOTAL(103,Setiembre!$O$7)</f>
        <v>0</v>
      </c>
      <c r="P197" s="63">
        <f>SUBTOTAL(103,Setiembre!$P$7)</f>
        <v>0</v>
      </c>
      <c r="Q197" s="63">
        <f>SUBTOTAL(103,Setiembre!$Q$7)</f>
        <v>0</v>
      </c>
      <c r="R197" s="63">
        <f>SUBTOTAL(103,Setiembre!$R$7)</f>
        <v>0</v>
      </c>
      <c r="S197" s="63">
        <f>SUBTOTAL(103,Setiembre!$S$7)</f>
        <v>0</v>
      </c>
      <c r="T197" s="63">
        <f>SUBTOTAL(103,Setiembre!$T$7)</f>
        <v>0</v>
      </c>
      <c r="U197" s="63">
        <f>SUBTOTAL(103,Setiembre!$U$7)</f>
        <v>0</v>
      </c>
      <c r="V197" s="63"/>
      <c r="W197" s="63">
        <f>SUBTOTAL(103,Setiembre!$W$7)</f>
        <v>0</v>
      </c>
      <c r="X197" s="63">
        <f>SUBTOTAL(103,Setiembre!$X$7)</f>
        <v>0</v>
      </c>
      <c r="Y197" s="63">
        <f>SUBTOTAL(103,Setiembre!$Y$7)</f>
        <v>0</v>
      </c>
      <c r="Z197" s="63">
        <f>SUBTOTAL(103,Setiembre!$Z$7)</f>
        <v>0</v>
      </c>
      <c r="AA197" s="63">
        <f>SUBTOTAL(103,Setiembre!$AA$7)</f>
        <v>0</v>
      </c>
      <c r="AB197" s="63">
        <f>SUBTOTAL(103,Setiembre!$AB$7)</f>
        <v>0</v>
      </c>
      <c r="AC197" s="63">
        <f>SUBTOTAL(103,Setiembre!$AC$7)</f>
        <v>0</v>
      </c>
      <c r="AD197" s="63">
        <f>SUBTOTAL(103,Setiembre!$AD$7)</f>
        <v>0</v>
      </c>
      <c r="AE197" s="63">
        <f>SUBTOTAL(103,Setiembre!$AE$7)</f>
        <v>0</v>
      </c>
      <c r="AF197" s="63">
        <f>SUBTOTAL(103,Setiembre!$AF$7)</f>
        <v>0</v>
      </c>
      <c r="AG197" s="63">
        <f>SUBTOTAL(103,Setiembre!$AG$7)</f>
        <v>0</v>
      </c>
      <c r="AH197" s="65">
        <f>SUM(C197:AG197)</f>
        <v>0</v>
      </c>
      <c r="AI197" s="65"/>
      <c r="AJ197" s="65"/>
    </row>
    <row r="198" ht="30.0" customHeight="1">
      <c r="AH198" s="5"/>
      <c r="AI198" s="5"/>
      <c r="AJ198" s="5"/>
    </row>
    <row r="199" ht="30.0" customHeight="1">
      <c r="AH199" s="5"/>
      <c r="AI199" s="5"/>
      <c r="AJ199" s="5"/>
    </row>
    <row r="200" ht="30.0" customHeight="1">
      <c r="AH200" s="5"/>
      <c r="AI200" s="5"/>
      <c r="AJ200" s="5"/>
    </row>
    <row r="201" ht="30.0" customHeight="1">
      <c r="AH201" s="5"/>
      <c r="AI201" s="5"/>
      <c r="AJ201" s="5"/>
    </row>
    <row r="202" ht="30.0" customHeight="1">
      <c r="AH202" s="5"/>
      <c r="AI202" s="5"/>
      <c r="AJ202" s="5"/>
    </row>
    <row r="203" ht="30.0" customHeight="1">
      <c r="AH203" s="5"/>
      <c r="AI203" s="5"/>
      <c r="AJ203" s="5"/>
    </row>
    <row r="204" ht="30.0" customHeight="1">
      <c r="AH204" s="5"/>
      <c r="AI204" s="5"/>
      <c r="AJ204" s="5"/>
    </row>
    <row r="205" ht="30.0" customHeight="1">
      <c r="AH205" s="5"/>
      <c r="AI205" s="5"/>
      <c r="AJ205" s="5"/>
    </row>
    <row r="206" ht="30.0" customHeight="1">
      <c r="AH206" s="5"/>
      <c r="AI206" s="5"/>
      <c r="AJ206" s="5"/>
    </row>
    <row r="207" ht="30.0" customHeight="1">
      <c r="AH207" s="5"/>
      <c r="AI207" s="5"/>
      <c r="AJ207" s="5"/>
    </row>
    <row r="208" ht="30.0" customHeight="1">
      <c r="AH208" s="5"/>
      <c r="AI208" s="5"/>
      <c r="AJ208" s="5"/>
    </row>
    <row r="209" ht="30.0" customHeight="1">
      <c r="AH209" s="5"/>
      <c r="AI209" s="5"/>
      <c r="AJ209" s="5"/>
    </row>
    <row r="210" ht="30.0" customHeight="1">
      <c r="AH210" s="5"/>
      <c r="AI210" s="5"/>
      <c r="AJ210" s="5"/>
    </row>
    <row r="211" ht="30.0" customHeight="1">
      <c r="AH211" s="5"/>
      <c r="AI211" s="5"/>
      <c r="AJ211" s="5"/>
    </row>
    <row r="212" ht="30.0" customHeight="1">
      <c r="AH212" s="5"/>
      <c r="AI212" s="5"/>
      <c r="AJ212" s="5"/>
    </row>
    <row r="213" ht="30.0" customHeight="1">
      <c r="AH213" s="5"/>
      <c r="AI213" s="5"/>
      <c r="AJ213" s="5"/>
    </row>
    <row r="214" ht="30.0" customHeight="1">
      <c r="AH214" s="5"/>
      <c r="AI214" s="5"/>
      <c r="AJ214" s="5"/>
    </row>
    <row r="215" ht="30.0" customHeight="1">
      <c r="AH215" s="5"/>
      <c r="AI215" s="5"/>
      <c r="AJ215" s="5"/>
    </row>
    <row r="216" ht="30.0" customHeight="1">
      <c r="AH216" s="5"/>
      <c r="AI216" s="5"/>
      <c r="AJ216" s="5"/>
    </row>
    <row r="217" ht="30.0" customHeight="1">
      <c r="AH217" s="5"/>
      <c r="AI217" s="5"/>
      <c r="AJ217" s="5"/>
    </row>
    <row r="218" ht="30.0" customHeight="1">
      <c r="AH218" s="5"/>
      <c r="AI218" s="5"/>
      <c r="AJ218" s="5"/>
    </row>
    <row r="219" ht="30.0" customHeight="1">
      <c r="AH219" s="5"/>
      <c r="AI219" s="5"/>
      <c r="AJ219" s="5"/>
    </row>
    <row r="220" ht="30.0" customHeight="1">
      <c r="AH220" s="5"/>
      <c r="AI220" s="5"/>
      <c r="AJ220" s="5"/>
    </row>
    <row r="221" ht="30.0" customHeight="1">
      <c r="AH221" s="5"/>
      <c r="AI221" s="5"/>
      <c r="AJ221" s="5"/>
    </row>
    <row r="222" ht="30.0" customHeight="1">
      <c r="AH222" s="5"/>
      <c r="AI222" s="5"/>
      <c r="AJ222" s="5"/>
    </row>
    <row r="223" ht="30.0" customHeight="1">
      <c r="AH223" s="5"/>
      <c r="AI223" s="5"/>
      <c r="AJ223" s="5"/>
    </row>
    <row r="224" ht="30.0" customHeight="1">
      <c r="AH224" s="5"/>
      <c r="AI224" s="5"/>
      <c r="AJ224" s="5"/>
    </row>
    <row r="225" ht="30.0" customHeight="1">
      <c r="AH225" s="5"/>
      <c r="AI225" s="5"/>
      <c r="AJ225" s="5"/>
    </row>
    <row r="226" ht="30.0" customHeight="1">
      <c r="AH226" s="5"/>
      <c r="AI226" s="5"/>
      <c r="AJ226" s="5"/>
    </row>
    <row r="227" ht="30.0" customHeight="1">
      <c r="AH227" s="5"/>
      <c r="AI227" s="5"/>
      <c r="AJ227" s="5"/>
    </row>
    <row r="228" ht="30.0" customHeight="1">
      <c r="AH228" s="5"/>
      <c r="AI228" s="5"/>
      <c r="AJ228" s="5"/>
    </row>
    <row r="229" ht="30.0" customHeight="1">
      <c r="AH229" s="5"/>
      <c r="AI229" s="5"/>
      <c r="AJ229" s="5"/>
    </row>
    <row r="230" ht="30.0" customHeight="1">
      <c r="AH230" s="5"/>
      <c r="AI230" s="5"/>
      <c r="AJ230" s="5"/>
    </row>
    <row r="231" ht="30.0" customHeight="1">
      <c r="AH231" s="5"/>
      <c r="AI231" s="5"/>
      <c r="AJ231" s="5"/>
    </row>
    <row r="232" ht="30.0" customHeight="1">
      <c r="AH232" s="5"/>
      <c r="AI232" s="5"/>
      <c r="AJ232" s="5"/>
    </row>
    <row r="233" ht="30.0" customHeight="1">
      <c r="AH233" s="5"/>
      <c r="AI233" s="5"/>
      <c r="AJ233" s="5"/>
    </row>
    <row r="234" ht="30.0" customHeight="1">
      <c r="AH234" s="5"/>
      <c r="AI234" s="5"/>
      <c r="AJ234" s="5"/>
    </row>
    <row r="235" ht="30.0" customHeight="1">
      <c r="AH235" s="5"/>
      <c r="AI235" s="5"/>
      <c r="AJ235" s="5"/>
    </row>
    <row r="236" ht="30.0" customHeight="1">
      <c r="AH236" s="5"/>
      <c r="AI236" s="5"/>
      <c r="AJ236" s="5"/>
    </row>
    <row r="237" ht="30.0" customHeight="1">
      <c r="AH237" s="5"/>
      <c r="AI237" s="5"/>
      <c r="AJ237" s="5"/>
    </row>
    <row r="238" ht="30.0" customHeight="1">
      <c r="AH238" s="5"/>
      <c r="AI238" s="5"/>
      <c r="AJ238" s="5"/>
    </row>
    <row r="239" ht="30.0" customHeight="1">
      <c r="AH239" s="5"/>
      <c r="AI239" s="5"/>
      <c r="AJ239" s="5"/>
    </row>
    <row r="240" ht="30.0" customHeight="1">
      <c r="AH240" s="5"/>
      <c r="AI240" s="5"/>
      <c r="AJ240" s="5"/>
    </row>
    <row r="241" ht="30.0" customHeight="1">
      <c r="AH241" s="5"/>
      <c r="AI241" s="5"/>
      <c r="AJ241" s="5"/>
    </row>
    <row r="242" ht="30.0" customHeight="1">
      <c r="AH242" s="5"/>
      <c r="AI242" s="5"/>
      <c r="AJ242" s="5"/>
    </row>
    <row r="243" ht="30.0" customHeight="1">
      <c r="AH243" s="5"/>
      <c r="AI243" s="5"/>
      <c r="AJ243" s="5"/>
    </row>
    <row r="244" ht="30.0" customHeight="1">
      <c r="AH244" s="5"/>
      <c r="AI244" s="5"/>
      <c r="AJ244" s="5"/>
    </row>
    <row r="245" ht="30.0" customHeight="1">
      <c r="AH245" s="5"/>
      <c r="AI245" s="5"/>
      <c r="AJ245" s="5"/>
    </row>
    <row r="246" ht="30.0" customHeight="1">
      <c r="AH246" s="5"/>
      <c r="AI246" s="5"/>
      <c r="AJ246" s="5"/>
    </row>
    <row r="247" ht="30.0" customHeight="1">
      <c r="AH247" s="5"/>
      <c r="AI247" s="5"/>
      <c r="AJ247" s="5"/>
    </row>
    <row r="248" ht="30.0" customHeight="1">
      <c r="AH248" s="5"/>
      <c r="AI248" s="5"/>
      <c r="AJ248" s="5"/>
    </row>
    <row r="249" ht="30.0" customHeight="1">
      <c r="AH249" s="5"/>
      <c r="AI249" s="5"/>
      <c r="AJ249" s="5"/>
    </row>
    <row r="250" ht="30.0" customHeight="1">
      <c r="AH250" s="5"/>
      <c r="AI250" s="5"/>
      <c r="AJ250" s="5"/>
    </row>
    <row r="251" ht="30.0" customHeight="1">
      <c r="AH251" s="5"/>
      <c r="AI251" s="5"/>
      <c r="AJ251" s="5"/>
    </row>
    <row r="252" ht="30.0" customHeight="1">
      <c r="AH252" s="5"/>
      <c r="AI252" s="5"/>
      <c r="AJ252" s="5"/>
    </row>
    <row r="253" ht="30.0" customHeight="1">
      <c r="AH253" s="5"/>
      <c r="AI253" s="5"/>
      <c r="AJ253" s="5"/>
    </row>
    <row r="254" ht="30.0" customHeight="1">
      <c r="AH254" s="5"/>
      <c r="AI254" s="5"/>
      <c r="AJ254" s="5"/>
    </row>
    <row r="255" ht="30.0" customHeight="1">
      <c r="AH255" s="5"/>
      <c r="AI255" s="5"/>
      <c r="AJ255" s="5"/>
    </row>
    <row r="256" ht="30.0" customHeight="1">
      <c r="AH256" s="5"/>
      <c r="AI256" s="5"/>
      <c r="AJ256" s="5"/>
    </row>
    <row r="257" ht="30.0" customHeight="1">
      <c r="AH257" s="5"/>
      <c r="AI257" s="5"/>
      <c r="AJ257" s="5"/>
    </row>
    <row r="258" ht="30.0" customHeight="1">
      <c r="AH258" s="5"/>
      <c r="AI258" s="5"/>
      <c r="AJ258" s="5"/>
    </row>
    <row r="259" ht="30.0" customHeight="1">
      <c r="AH259" s="5"/>
      <c r="AI259" s="5"/>
      <c r="AJ259" s="5"/>
    </row>
    <row r="260" ht="30.0" customHeight="1">
      <c r="AH260" s="5"/>
      <c r="AI260" s="5"/>
      <c r="AJ260" s="5"/>
    </row>
    <row r="261" ht="30.0" customHeight="1">
      <c r="AH261" s="5"/>
      <c r="AI261" s="5"/>
      <c r="AJ261" s="5"/>
    </row>
    <row r="262" ht="30.0" customHeight="1">
      <c r="AH262" s="5"/>
      <c r="AI262" s="5"/>
      <c r="AJ262" s="5"/>
    </row>
    <row r="263" ht="30.0" customHeight="1">
      <c r="AH263" s="5"/>
      <c r="AI263" s="5"/>
      <c r="AJ263" s="5"/>
    </row>
    <row r="264" ht="30.0" customHeight="1">
      <c r="AH264" s="5"/>
      <c r="AI264" s="5"/>
      <c r="AJ264" s="5"/>
    </row>
    <row r="265" ht="30.0" customHeight="1">
      <c r="AH265" s="5"/>
      <c r="AI265" s="5"/>
      <c r="AJ265" s="5"/>
    </row>
    <row r="266" ht="30.0" customHeight="1">
      <c r="AH266" s="5"/>
      <c r="AI266" s="5"/>
      <c r="AJ266" s="5"/>
    </row>
    <row r="267" ht="30.0" customHeight="1">
      <c r="AH267" s="5"/>
      <c r="AI267" s="5"/>
      <c r="AJ267" s="5"/>
    </row>
    <row r="268" ht="30.0" customHeight="1">
      <c r="AH268" s="5"/>
      <c r="AI268" s="5"/>
      <c r="AJ268" s="5"/>
    </row>
    <row r="269" ht="30.0" customHeight="1">
      <c r="AH269" s="5"/>
      <c r="AI269" s="5"/>
      <c r="AJ269" s="5"/>
    </row>
    <row r="270" ht="30.0" customHeight="1">
      <c r="AH270" s="5"/>
      <c r="AI270" s="5"/>
      <c r="AJ270" s="5"/>
    </row>
    <row r="271" ht="30.0" customHeight="1">
      <c r="AH271" s="5"/>
      <c r="AI271" s="5"/>
      <c r="AJ271" s="5"/>
    </row>
    <row r="272" ht="30.0" customHeight="1">
      <c r="AH272" s="5"/>
      <c r="AI272" s="5"/>
      <c r="AJ272" s="5"/>
    </row>
    <row r="273" ht="30.0" customHeight="1">
      <c r="AH273" s="5"/>
      <c r="AI273" s="5"/>
      <c r="AJ273" s="5"/>
    </row>
    <row r="274" ht="30.0" customHeight="1">
      <c r="AH274" s="5"/>
      <c r="AI274" s="5"/>
      <c r="AJ274" s="5"/>
    </row>
    <row r="275" ht="30.0" customHeight="1">
      <c r="AH275" s="5"/>
      <c r="AI275" s="5"/>
      <c r="AJ275" s="5"/>
    </row>
    <row r="276" ht="30.0" customHeight="1">
      <c r="AH276" s="5"/>
      <c r="AI276" s="5"/>
      <c r="AJ276" s="5"/>
    </row>
    <row r="277" ht="30.0" customHeight="1">
      <c r="AH277" s="5"/>
      <c r="AI277" s="5"/>
      <c r="AJ277" s="5"/>
    </row>
    <row r="278" ht="30.0" customHeight="1">
      <c r="AH278" s="5"/>
      <c r="AI278" s="5"/>
      <c r="AJ278" s="5"/>
    </row>
    <row r="279" ht="30.0" customHeight="1">
      <c r="AH279" s="5"/>
      <c r="AI279" s="5"/>
      <c r="AJ279" s="5"/>
    </row>
    <row r="280" ht="30.0" customHeight="1">
      <c r="AH280" s="5"/>
      <c r="AI280" s="5"/>
      <c r="AJ280" s="5"/>
    </row>
    <row r="281" ht="30.0" customHeight="1">
      <c r="AH281" s="5"/>
      <c r="AI281" s="5"/>
      <c r="AJ281" s="5"/>
    </row>
    <row r="282" ht="30.0" customHeight="1">
      <c r="AH282" s="5"/>
      <c r="AI282" s="5"/>
      <c r="AJ282" s="5"/>
    </row>
    <row r="283" ht="30.0" customHeight="1">
      <c r="AH283" s="5"/>
      <c r="AI283" s="5"/>
      <c r="AJ283" s="5"/>
    </row>
    <row r="284" ht="30.0" customHeight="1">
      <c r="AH284" s="5"/>
      <c r="AI284" s="5"/>
      <c r="AJ284" s="5"/>
    </row>
    <row r="285" ht="30.0" customHeight="1">
      <c r="AH285" s="5"/>
      <c r="AI285" s="5"/>
      <c r="AJ285" s="5"/>
    </row>
    <row r="286" ht="30.0" customHeight="1">
      <c r="AH286" s="5"/>
      <c r="AI286" s="5"/>
      <c r="AJ286" s="5"/>
    </row>
    <row r="287" ht="30.0" customHeight="1">
      <c r="AH287" s="5"/>
      <c r="AI287" s="5"/>
      <c r="AJ287" s="5"/>
    </row>
    <row r="288" ht="30.0" customHeight="1">
      <c r="AH288" s="5"/>
      <c r="AI288" s="5"/>
      <c r="AJ288" s="5"/>
    </row>
    <row r="289" ht="30.0" customHeight="1">
      <c r="AH289" s="5"/>
      <c r="AI289" s="5"/>
      <c r="AJ289" s="5"/>
    </row>
    <row r="290" ht="30.0" customHeight="1">
      <c r="AH290" s="5"/>
      <c r="AI290" s="5"/>
      <c r="AJ290" s="5"/>
    </row>
    <row r="291" ht="30.0" customHeight="1">
      <c r="AH291" s="5"/>
      <c r="AI291" s="5"/>
      <c r="AJ291" s="5"/>
    </row>
    <row r="292" ht="30.0" customHeight="1">
      <c r="AH292" s="5"/>
      <c r="AI292" s="5"/>
      <c r="AJ292" s="5"/>
    </row>
    <row r="293" ht="30.0" customHeight="1">
      <c r="AH293" s="5"/>
      <c r="AI293" s="5"/>
      <c r="AJ293" s="5"/>
    </row>
    <row r="294" ht="30.0" customHeight="1">
      <c r="AH294" s="5"/>
      <c r="AI294" s="5"/>
      <c r="AJ294" s="5"/>
    </row>
    <row r="295" ht="30.0" customHeight="1">
      <c r="AH295" s="5"/>
      <c r="AI295" s="5"/>
      <c r="AJ295" s="5"/>
    </row>
    <row r="296" ht="30.0" customHeight="1">
      <c r="AH296" s="5"/>
      <c r="AI296" s="5"/>
      <c r="AJ296" s="5"/>
    </row>
    <row r="297" ht="30.0" customHeight="1">
      <c r="AH297" s="5"/>
      <c r="AI297" s="5"/>
      <c r="AJ297" s="5"/>
    </row>
    <row r="298" ht="30.0" customHeight="1">
      <c r="AH298" s="5"/>
      <c r="AI298" s="5"/>
      <c r="AJ298" s="5"/>
    </row>
    <row r="299" ht="30.0" customHeight="1">
      <c r="AH299" s="5"/>
      <c r="AI299" s="5"/>
      <c r="AJ299" s="5"/>
    </row>
    <row r="300" ht="30.0" customHeight="1">
      <c r="AH300" s="5"/>
      <c r="AI300" s="5"/>
      <c r="AJ300" s="5"/>
    </row>
    <row r="301" ht="30.0" customHeight="1">
      <c r="AH301" s="5"/>
      <c r="AI301" s="5"/>
      <c r="AJ301" s="5"/>
    </row>
    <row r="302" ht="30.0" customHeight="1">
      <c r="AH302" s="5"/>
      <c r="AI302" s="5"/>
      <c r="AJ302" s="5"/>
    </row>
    <row r="303" ht="30.0" customHeight="1">
      <c r="AH303" s="5"/>
      <c r="AI303" s="5"/>
      <c r="AJ303" s="5"/>
    </row>
    <row r="304" ht="30.0" customHeight="1">
      <c r="AH304" s="5"/>
      <c r="AI304" s="5"/>
      <c r="AJ304" s="5"/>
    </row>
    <row r="305" ht="30.0" customHeight="1">
      <c r="AH305" s="5"/>
      <c r="AI305" s="5"/>
      <c r="AJ305" s="5"/>
    </row>
    <row r="306" ht="30.0" customHeight="1">
      <c r="AH306" s="5"/>
      <c r="AI306" s="5"/>
      <c r="AJ306" s="5"/>
    </row>
    <row r="307" ht="30.0" customHeight="1">
      <c r="AH307" s="5"/>
      <c r="AI307" s="5"/>
      <c r="AJ307" s="5"/>
    </row>
    <row r="308" ht="30.0" customHeight="1">
      <c r="AH308" s="5"/>
      <c r="AI308" s="5"/>
      <c r="AJ308" s="5"/>
    </row>
    <row r="309" ht="30.0" customHeight="1">
      <c r="AH309" s="5"/>
      <c r="AI309" s="5"/>
      <c r="AJ309" s="5"/>
    </row>
    <row r="310" ht="30.0" customHeight="1">
      <c r="AH310" s="5"/>
      <c r="AI310" s="5"/>
      <c r="AJ310" s="5"/>
    </row>
    <row r="311" ht="30.0" customHeight="1">
      <c r="AH311" s="5"/>
      <c r="AI311" s="5"/>
      <c r="AJ311" s="5"/>
    </row>
    <row r="312" ht="30.0" customHeight="1">
      <c r="AH312" s="5"/>
      <c r="AI312" s="5"/>
      <c r="AJ312" s="5"/>
    </row>
    <row r="313" ht="30.0" customHeight="1">
      <c r="AH313" s="5"/>
      <c r="AI313" s="5"/>
      <c r="AJ313" s="5"/>
    </row>
    <row r="314" ht="30.0" customHeight="1">
      <c r="AH314" s="5"/>
      <c r="AI314" s="5"/>
      <c r="AJ314" s="5"/>
    </row>
    <row r="315" ht="30.0" customHeight="1">
      <c r="AH315" s="5"/>
      <c r="AI315" s="5"/>
      <c r="AJ315" s="5"/>
    </row>
    <row r="316" ht="30.0" customHeight="1">
      <c r="AH316" s="5"/>
      <c r="AI316" s="5"/>
      <c r="AJ316" s="5"/>
    </row>
    <row r="317" ht="30.0" customHeight="1">
      <c r="AH317" s="5"/>
      <c r="AI317" s="5"/>
      <c r="AJ317" s="5"/>
    </row>
    <row r="318" ht="30.0" customHeight="1">
      <c r="AH318" s="5"/>
      <c r="AI318" s="5"/>
      <c r="AJ318" s="5"/>
    </row>
    <row r="319" ht="30.0" customHeight="1">
      <c r="AH319" s="5"/>
      <c r="AI319" s="5"/>
      <c r="AJ319" s="5"/>
    </row>
    <row r="320" ht="30.0" customHeight="1">
      <c r="AH320" s="5"/>
      <c r="AI320" s="5"/>
      <c r="AJ320" s="5"/>
    </row>
    <row r="321" ht="30.0" customHeight="1">
      <c r="AH321" s="5"/>
      <c r="AI321" s="5"/>
      <c r="AJ321" s="5"/>
    </row>
    <row r="322" ht="30.0" customHeight="1">
      <c r="AH322" s="5"/>
      <c r="AI322" s="5"/>
      <c r="AJ322" s="5"/>
    </row>
    <row r="323" ht="30.0" customHeight="1">
      <c r="AH323" s="5"/>
      <c r="AI323" s="5"/>
      <c r="AJ323" s="5"/>
    </row>
    <row r="324" ht="30.0" customHeight="1">
      <c r="AH324" s="5"/>
      <c r="AI324" s="5"/>
      <c r="AJ324" s="5"/>
    </row>
    <row r="325" ht="30.0" customHeight="1">
      <c r="AH325" s="5"/>
      <c r="AI325" s="5"/>
      <c r="AJ325" s="5"/>
    </row>
    <row r="326" ht="30.0" customHeight="1">
      <c r="AH326" s="5"/>
      <c r="AI326" s="5"/>
      <c r="AJ326" s="5"/>
    </row>
    <row r="327" ht="30.0" customHeight="1">
      <c r="AH327" s="5"/>
      <c r="AI327" s="5"/>
      <c r="AJ327" s="5"/>
    </row>
    <row r="328" ht="30.0" customHeight="1">
      <c r="AH328" s="5"/>
      <c r="AI328" s="5"/>
      <c r="AJ328" s="5"/>
    </row>
    <row r="329" ht="30.0" customHeight="1">
      <c r="AH329" s="5"/>
      <c r="AI329" s="5"/>
      <c r="AJ329" s="5"/>
    </row>
    <row r="330" ht="30.0" customHeight="1">
      <c r="AH330" s="5"/>
      <c r="AI330" s="5"/>
      <c r="AJ330" s="5"/>
    </row>
    <row r="331" ht="30.0" customHeight="1">
      <c r="AH331" s="5"/>
      <c r="AI331" s="5"/>
      <c r="AJ331" s="5"/>
    </row>
    <row r="332" ht="30.0" customHeight="1">
      <c r="AH332" s="5"/>
      <c r="AI332" s="5"/>
      <c r="AJ332" s="5"/>
    </row>
    <row r="333" ht="30.0" customHeight="1">
      <c r="AH333" s="5"/>
      <c r="AI333" s="5"/>
      <c r="AJ333" s="5"/>
    </row>
    <row r="334" ht="30.0" customHeight="1">
      <c r="AH334" s="5"/>
      <c r="AI334" s="5"/>
      <c r="AJ334" s="5"/>
    </row>
    <row r="335" ht="30.0" customHeight="1">
      <c r="AH335" s="5"/>
      <c r="AI335" s="5"/>
      <c r="AJ335" s="5"/>
    </row>
    <row r="336" ht="30.0" customHeight="1">
      <c r="AH336" s="5"/>
      <c r="AI336" s="5"/>
      <c r="AJ336" s="5"/>
    </row>
    <row r="337" ht="30.0" customHeight="1">
      <c r="AH337" s="5"/>
      <c r="AI337" s="5"/>
      <c r="AJ337" s="5"/>
    </row>
    <row r="338" ht="30.0" customHeight="1">
      <c r="AH338" s="5"/>
      <c r="AI338" s="5"/>
      <c r="AJ338" s="5"/>
    </row>
    <row r="339" ht="30.0" customHeight="1">
      <c r="AH339" s="5"/>
      <c r="AI339" s="5"/>
      <c r="AJ339" s="5"/>
    </row>
    <row r="340" ht="30.0" customHeight="1">
      <c r="AH340" s="5"/>
      <c r="AI340" s="5"/>
      <c r="AJ340" s="5"/>
    </row>
    <row r="341" ht="30.0" customHeight="1">
      <c r="AH341" s="5"/>
      <c r="AI341" s="5"/>
      <c r="AJ341" s="5"/>
    </row>
    <row r="342" ht="30.0" customHeight="1">
      <c r="AH342" s="5"/>
      <c r="AI342" s="5"/>
      <c r="AJ342" s="5"/>
    </row>
    <row r="343" ht="30.0" customHeight="1">
      <c r="AH343" s="5"/>
      <c r="AI343" s="5"/>
      <c r="AJ343" s="5"/>
    </row>
    <row r="344" ht="30.0" customHeight="1">
      <c r="AH344" s="5"/>
      <c r="AI344" s="5"/>
      <c r="AJ344" s="5"/>
    </row>
    <row r="345" ht="30.0" customHeight="1">
      <c r="AH345" s="5"/>
      <c r="AI345" s="5"/>
      <c r="AJ345" s="5"/>
    </row>
    <row r="346" ht="30.0" customHeight="1">
      <c r="AH346" s="5"/>
      <c r="AI346" s="5"/>
      <c r="AJ346" s="5"/>
    </row>
    <row r="347" ht="30.0" customHeight="1">
      <c r="AH347" s="5"/>
      <c r="AI347" s="5"/>
      <c r="AJ347" s="5"/>
    </row>
    <row r="348" ht="30.0" customHeight="1">
      <c r="AH348" s="5"/>
      <c r="AI348" s="5"/>
      <c r="AJ348" s="5"/>
    </row>
    <row r="349" ht="30.0" customHeight="1">
      <c r="AH349" s="5"/>
      <c r="AI349" s="5"/>
      <c r="AJ349" s="5"/>
    </row>
    <row r="350" ht="30.0" customHeight="1">
      <c r="AH350" s="5"/>
      <c r="AI350" s="5"/>
      <c r="AJ350" s="5"/>
    </row>
    <row r="351" ht="30.0" customHeight="1">
      <c r="AH351" s="5"/>
      <c r="AI351" s="5"/>
      <c r="AJ351" s="5"/>
    </row>
    <row r="352" ht="30.0" customHeight="1">
      <c r="AH352" s="5"/>
      <c r="AI352" s="5"/>
      <c r="AJ352" s="5"/>
    </row>
    <row r="353" ht="30.0" customHeight="1">
      <c r="AH353" s="5"/>
      <c r="AI353" s="5"/>
      <c r="AJ353" s="5"/>
    </row>
    <row r="354" ht="30.0" customHeight="1">
      <c r="AH354" s="5"/>
      <c r="AI354" s="5"/>
      <c r="AJ354" s="5"/>
    </row>
    <row r="355" ht="30.0" customHeight="1">
      <c r="AH355" s="5"/>
      <c r="AI355" s="5"/>
      <c r="AJ355" s="5"/>
    </row>
    <row r="356" ht="30.0" customHeight="1">
      <c r="AH356" s="5"/>
      <c r="AI356" s="5"/>
      <c r="AJ356" s="5"/>
    </row>
    <row r="357" ht="30.0" customHeight="1">
      <c r="AH357" s="5"/>
      <c r="AI357" s="5"/>
      <c r="AJ357" s="5"/>
    </row>
    <row r="358" ht="30.0" customHeight="1">
      <c r="AH358" s="5"/>
      <c r="AI358" s="5"/>
      <c r="AJ358" s="5"/>
    </row>
    <row r="359" ht="30.0" customHeight="1">
      <c r="AH359" s="5"/>
      <c r="AI359" s="5"/>
      <c r="AJ359" s="5"/>
    </row>
    <row r="360" ht="30.0" customHeight="1">
      <c r="AH360" s="5"/>
      <c r="AI360" s="5"/>
      <c r="AJ360" s="5"/>
    </row>
    <row r="361" ht="30.0" customHeight="1">
      <c r="AH361" s="5"/>
      <c r="AI361" s="5"/>
      <c r="AJ361" s="5"/>
    </row>
    <row r="362" ht="30.0" customHeight="1">
      <c r="AH362" s="5"/>
      <c r="AI362" s="5"/>
      <c r="AJ362" s="5"/>
    </row>
    <row r="363" ht="30.0" customHeight="1">
      <c r="AH363" s="5"/>
      <c r="AI363" s="5"/>
      <c r="AJ363" s="5"/>
    </row>
    <row r="364" ht="30.0" customHeight="1">
      <c r="AH364" s="5"/>
      <c r="AI364" s="5"/>
      <c r="AJ364" s="5"/>
    </row>
    <row r="365" ht="30.0" customHeight="1">
      <c r="AH365" s="5"/>
      <c r="AI365" s="5"/>
      <c r="AJ365" s="5"/>
    </row>
    <row r="366" ht="30.0" customHeight="1">
      <c r="AH366" s="5"/>
      <c r="AI366" s="5"/>
      <c r="AJ366" s="5"/>
    </row>
    <row r="367" ht="30.0" customHeight="1">
      <c r="AH367" s="5"/>
      <c r="AI367" s="5"/>
      <c r="AJ367" s="5"/>
    </row>
    <row r="368" ht="30.0" customHeight="1">
      <c r="AH368" s="5"/>
      <c r="AI368" s="5"/>
      <c r="AJ368" s="5"/>
    </row>
    <row r="369" ht="30.0" customHeight="1">
      <c r="AH369" s="5"/>
      <c r="AI369" s="5"/>
      <c r="AJ369" s="5"/>
    </row>
    <row r="370" ht="30.0" customHeight="1">
      <c r="AH370" s="5"/>
      <c r="AI370" s="5"/>
      <c r="AJ370" s="5"/>
    </row>
    <row r="371" ht="30.0" customHeight="1">
      <c r="AH371" s="5"/>
      <c r="AI371" s="5"/>
      <c r="AJ371" s="5"/>
    </row>
    <row r="372" ht="30.0" customHeight="1">
      <c r="AH372" s="5"/>
      <c r="AI372" s="5"/>
      <c r="AJ372" s="5"/>
    </row>
    <row r="373" ht="30.0" customHeight="1">
      <c r="AH373" s="5"/>
      <c r="AI373" s="5"/>
      <c r="AJ373" s="5"/>
    </row>
    <row r="374" ht="30.0" customHeight="1">
      <c r="AH374" s="5"/>
      <c r="AI374" s="5"/>
      <c r="AJ374" s="5"/>
    </row>
    <row r="375" ht="30.0" customHeight="1">
      <c r="AH375" s="5"/>
      <c r="AI375" s="5"/>
      <c r="AJ375" s="5"/>
    </row>
    <row r="376" ht="30.0" customHeight="1">
      <c r="AH376" s="5"/>
      <c r="AI376" s="5"/>
      <c r="AJ376" s="5"/>
    </row>
    <row r="377" ht="30.0" customHeight="1">
      <c r="AH377" s="5"/>
      <c r="AI377" s="5"/>
      <c r="AJ377" s="5"/>
    </row>
    <row r="378" ht="30.0" customHeight="1">
      <c r="AH378" s="5"/>
      <c r="AI378" s="5"/>
      <c r="AJ378" s="5"/>
    </row>
    <row r="379" ht="30.0" customHeight="1">
      <c r="AH379" s="5"/>
      <c r="AI379" s="5"/>
      <c r="AJ379" s="5"/>
    </row>
    <row r="380" ht="30.0" customHeight="1">
      <c r="AH380" s="5"/>
      <c r="AI380" s="5"/>
      <c r="AJ380" s="5"/>
    </row>
    <row r="381" ht="30.0" customHeight="1">
      <c r="AH381" s="5"/>
      <c r="AI381" s="5"/>
      <c r="AJ381" s="5"/>
    </row>
    <row r="382" ht="30.0" customHeight="1">
      <c r="AH382" s="5"/>
      <c r="AI382" s="5"/>
      <c r="AJ382" s="5"/>
    </row>
    <row r="383" ht="30.0" customHeight="1">
      <c r="AH383" s="5"/>
      <c r="AI383" s="5"/>
      <c r="AJ383" s="5"/>
    </row>
    <row r="384" ht="30.0" customHeight="1">
      <c r="AH384" s="5"/>
      <c r="AI384" s="5"/>
      <c r="AJ384" s="5"/>
    </row>
    <row r="385" ht="30.0" customHeight="1">
      <c r="AH385" s="5"/>
      <c r="AI385" s="5"/>
      <c r="AJ385" s="5"/>
    </row>
    <row r="386" ht="30.0" customHeight="1">
      <c r="AH386" s="5"/>
      <c r="AI386" s="5"/>
      <c r="AJ386" s="5"/>
    </row>
    <row r="387" ht="30.0" customHeight="1">
      <c r="AH387" s="5"/>
      <c r="AI387" s="5"/>
      <c r="AJ387" s="5"/>
    </row>
    <row r="388" ht="30.0" customHeight="1">
      <c r="AH388" s="5"/>
      <c r="AI388" s="5"/>
      <c r="AJ388" s="5"/>
    </row>
    <row r="389" ht="30.0" customHeight="1">
      <c r="AH389" s="5"/>
      <c r="AI389" s="5"/>
      <c r="AJ389" s="5"/>
    </row>
    <row r="390" ht="30.0" customHeight="1">
      <c r="AH390" s="5"/>
      <c r="AI390" s="5"/>
      <c r="AJ390" s="5"/>
    </row>
    <row r="391" ht="30.0" customHeight="1">
      <c r="AH391" s="5"/>
      <c r="AI391" s="5"/>
      <c r="AJ391" s="5"/>
    </row>
    <row r="392" ht="30.0" customHeight="1">
      <c r="AH392" s="5"/>
      <c r="AI392" s="5"/>
      <c r="AJ392" s="5"/>
    </row>
    <row r="393" ht="30.0" customHeight="1">
      <c r="AH393" s="5"/>
      <c r="AI393" s="5"/>
      <c r="AJ393" s="5"/>
    </row>
    <row r="394" ht="30.0" customHeight="1">
      <c r="AH394" s="5"/>
      <c r="AI394" s="5"/>
      <c r="AJ394" s="5"/>
    </row>
    <row r="395" ht="30.0" customHeight="1">
      <c r="AH395" s="5"/>
      <c r="AI395" s="5"/>
      <c r="AJ395" s="5"/>
    </row>
    <row r="396" ht="30.0" customHeight="1">
      <c r="AH396" s="5"/>
      <c r="AI396" s="5"/>
      <c r="AJ396" s="5"/>
    </row>
    <row r="397" ht="30.0" customHeight="1">
      <c r="AH397" s="5"/>
      <c r="AI397" s="5"/>
      <c r="AJ397" s="5"/>
    </row>
    <row r="398" ht="30.0" customHeight="1">
      <c r="AH398" s="5"/>
      <c r="AI398" s="5"/>
      <c r="AJ398" s="5"/>
    </row>
    <row r="399" ht="30.0" customHeight="1">
      <c r="AH399" s="5"/>
      <c r="AI399" s="5"/>
      <c r="AJ399" s="5"/>
    </row>
    <row r="400" ht="30.0" customHeight="1">
      <c r="AH400" s="5"/>
      <c r="AI400" s="5"/>
      <c r="AJ400" s="5"/>
    </row>
    <row r="401" ht="30.0" customHeight="1">
      <c r="AH401" s="5"/>
      <c r="AI401" s="5"/>
      <c r="AJ401" s="5"/>
    </row>
    <row r="402" ht="30.0" customHeight="1">
      <c r="AH402" s="5"/>
      <c r="AI402" s="5"/>
      <c r="AJ402" s="5"/>
    </row>
    <row r="403" ht="30.0" customHeight="1">
      <c r="AH403" s="5"/>
      <c r="AI403" s="5"/>
      <c r="AJ403" s="5"/>
    </row>
    <row r="404" ht="30.0" customHeight="1">
      <c r="AH404" s="5"/>
      <c r="AI404" s="5"/>
      <c r="AJ404" s="5"/>
    </row>
    <row r="405" ht="30.0" customHeight="1">
      <c r="AH405" s="5"/>
      <c r="AI405" s="5"/>
      <c r="AJ405" s="5"/>
    </row>
    <row r="406" ht="30.0" customHeight="1">
      <c r="AH406" s="5"/>
      <c r="AI406" s="5"/>
      <c r="AJ406" s="5"/>
    </row>
    <row r="407" ht="30.0" customHeight="1">
      <c r="AH407" s="5"/>
      <c r="AI407" s="5"/>
      <c r="AJ407" s="5"/>
    </row>
    <row r="408" ht="30.0" customHeight="1">
      <c r="AH408" s="5"/>
      <c r="AI408" s="5"/>
      <c r="AJ408" s="5"/>
    </row>
    <row r="409" ht="30.0" customHeight="1">
      <c r="AH409" s="5"/>
      <c r="AI409" s="5"/>
      <c r="AJ409" s="5"/>
    </row>
    <row r="410" ht="30.0" customHeight="1">
      <c r="AH410" s="5"/>
      <c r="AI410" s="5"/>
      <c r="AJ410" s="5"/>
    </row>
    <row r="411" ht="30.0" customHeight="1">
      <c r="AH411" s="5"/>
      <c r="AI411" s="5"/>
      <c r="AJ411" s="5"/>
    </row>
    <row r="412" ht="30.0" customHeight="1">
      <c r="AH412" s="5"/>
      <c r="AI412" s="5"/>
      <c r="AJ412" s="5"/>
    </row>
    <row r="413" ht="30.0" customHeight="1">
      <c r="AH413" s="5"/>
      <c r="AI413" s="5"/>
      <c r="AJ413" s="5"/>
    </row>
    <row r="414" ht="30.0" customHeight="1">
      <c r="AH414" s="5"/>
      <c r="AI414" s="5"/>
      <c r="AJ414" s="5"/>
    </row>
    <row r="415" ht="30.0" customHeight="1">
      <c r="AH415" s="5"/>
      <c r="AI415" s="5"/>
      <c r="AJ415" s="5"/>
    </row>
    <row r="416" ht="30.0" customHeight="1">
      <c r="AH416" s="5"/>
      <c r="AI416" s="5"/>
      <c r="AJ416" s="5"/>
    </row>
    <row r="417" ht="30.0" customHeight="1">
      <c r="AH417" s="5"/>
      <c r="AI417" s="5"/>
      <c r="AJ417" s="5"/>
    </row>
    <row r="418" ht="30.0" customHeight="1">
      <c r="AH418" s="5"/>
      <c r="AI418" s="5"/>
      <c r="AJ418" s="5"/>
    </row>
    <row r="419" ht="30.0" customHeight="1">
      <c r="AH419" s="5"/>
      <c r="AI419" s="5"/>
      <c r="AJ419" s="5"/>
    </row>
    <row r="420" ht="30.0" customHeight="1">
      <c r="AH420" s="5"/>
      <c r="AI420" s="5"/>
      <c r="AJ420" s="5"/>
    </row>
    <row r="421" ht="30.0" customHeight="1">
      <c r="AH421" s="5"/>
      <c r="AI421" s="5"/>
      <c r="AJ421" s="5"/>
    </row>
    <row r="422" ht="30.0" customHeight="1">
      <c r="AH422" s="5"/>
      <c r="AI422" s="5"/>
      <c r="AJ422" s="5"/>
    </row>
    <row r="423" ht="30.0" customHeight="1">
      <c r="AH423" s="5"/>
      <c r="AI423" s="5"/>
      <c r="AJ423" s="5"/>
    </row>
    <row r="424" ht="30.0" customHeight="1">
      <c r="AH424" s="5"/>
      <c r="AI424" s="5"/>
      <c r="AJ424" s="5"/>
    </row>
    <row r="425" ht="30.0" customHeight="1">
      <c r="AH425" s="5"/>
      <c r="AI425" s="5"/>
      <c r="AJ425" s="5"/>
    </row>
    <row r="426" ht="30.0" customHeight="1">
      <c r="AH426" s="5"/>
      <c r="AI426" s="5"/>
      <c r="AJ426" s="5"/>
    </row>
    <row r="427" ht="30.0" customHeight="1">
      <c r="AH427" s="5"/>
      <c r="AI427" s="5"/>
      <c r="AJ427" s="5"/>
    </row>
    <row r="428" ht="30.0" customHeight="1">
      <c r="AH428" s="5"/>
      <c r="AI428" s="5"/>
      <c r="AJ428" s="5"/>
    </row>
    <row r="429" ht="30.0" customHeight="1">
      <c r="AH429" s="5"/>
      <c r="AI429" s="5"/>
      <c r="AJ429" s="5"/>
    </row>
    <row r="430" ht="30.0" customHeight="1">
      <c r="AH430" s="5"/>
      <c r="AI430" s="5"/>
      <c r="AJ430" s="5"/>
    </row>
    <row r="431" ht="30.0" customHeight="1">
      <c r="AH431" s="5"/>
      <c r="AI431" s="5"/>
      <c r="AJ431" s="5"/>
    </row>
    <row r="432" ht="30.0" customHeight="1">
      <c r="AH432" s="5"/>
      <c r="AI432" s="5"/>
      <c r="AJ432" s="5"/>
    </row>
    <row r="433" ht="30.0" customHeight="1">
      <c r="AH433" s="5"/>
      <c r="AI433" s="5"/>
      <c r="AJ433" s="5"/>
    </row>
    <row r="434" ht="30.0" customHeight="1">
      <c r="AH434" s="5"/>
      <c r="AI434" s="5"/>
      <c r="AJ434" s="5"/>
    </row>
    <row r="435" ht="30.0" customHeight="1">
      <c r="AH435" s="5"/>
      <c r="AI435" s="5"/>
      <c r="AJ435" s="5"/>
    </row>
    <row r="436" ht="30.0" customHeight="1">
      <c r="AH436" s="5"/>
      <c r="AI436" s="5"/>
      <c r="AJ436" s="5"/>
    </row>
    <row r="437" ht="30.0" customHeight="1">
      <c r="AH437" s="5"/>
      <c r="AI437" s="5"/>
      <c r="AJ437" s="5"/>
    </row>
    <row r="438" ht="30.0" customHeight="1">
      <c r="AH438" s="5"/>
      <c r="AI438" s="5"/>
      <c r="AJ438" s="5"/>
    </row>
    <row r="439" ht="30.0" customHeight="1">
      <c r="AH439" s="5"/>
      <c r="AI439" s="5"/>
      <c r="AJ439" s="5"/>
    </row>
    <row r="440" ht="30.0" customHeight="1">
      <c r="AH440" s="5"/>
      <c r="AI440" s="5"/>
      <c r="AJ440" s="5"/>
    </row>
    <row r="441" ht="30.0" customHeight="1">
      <c r="AH441" s="5"/>
      <c r="AI441" s="5"/>
      <c r="AJ441" s="5"/>
    </row>
    <row r="442" ht="30.0" customHeight="1">
      <c r="AH442" s="5"/>
      <c r="AI442" s="5"/>
      <c r="AJ442" s="5"/>
    </row>
    <row r="443" ht="30.0" customHeight="1">
      <c r="AH443" s="5"/>
      <c r="AI443" s="5"/>
      <c r="AJ443" s="5"/>
    </row>
    <row r="444" ht="30.0" customHeight="1">
      <c r="AH444" s="5"/>
      <c r="AI444" s="5"/>
      <c r="AJ444" s="5"/>
    </row>
    <row r="445" ht="30.0" customHeight="1">
      <c r="AH445" s="5"/>
      <c r="AI445" s="5"/>
      <c r="AJ445" s="5"/>
    </row>
    <row r="446" ht="30.0" customHeight="1">
      <c r="AH446" s="5"/>
      <c r="AI446" s="5"/>
      <c r="AJ446" s="5"/>
    </row>
    <row r="447" ht="30.0" customHeight="1">
      <c r="AH447" s="5"/>
      <c r="AI447" s="5"/>
      <c r="AJ447" s="5"/>
    </row>
    <row r="448" ht="30.0" customHeight="1">
      <c r="AH448" s="5"/>
      <c r="AI448" s="5"/>
      <c r="AJ448" s="5"/>
    </row>
    <row r="449" ht="30.0" customHeight="1">
      <c r="AH449" s="5"/>
      <c r="AI449" s="5"/>
      <c r="AJ449" s="5"/>
    </row>
    <row r="450" ht="30.0" customHeight="1">
      <c r="AH450" s="5"/>
      <c r="AI450" s="5"/>
      <c r="AJ450" s="5"/>
    </row>
    <row r="451" ht="30.0" customHeight="1">
      <c r="AH451" s="5"/>
      <c r="AI451" s="5"/>
      <c r="AJ451" s="5"/>
    </row>
    <row r="452" ht="30.0" customHeight="1">
      <c r="AH452" s="5"/>
      <c r="AI452" s="5"/>
      <c r="AJ452" s="5"/>
    </row>
    <row r="453" ht="30.0" customHeight="1">
      <c r="AH453" s="5"/>
      <c r="AI453" s="5"/>
      <c r="AJ453" s="5"/>
    </row>
    <row r="454" ht="30.0" customHeight="1">
      <c r="AH454" s="5"/>
      <c r="AI454" s="5"/>
      <c r="AJ454" s="5"/>
    </row>
    <row r="455" ht="30.0" customHeight="1">
      <c r="AH455" s="5"/>
      <c r="AI455" s="5"/>
      <c r="AJ455" s="5"/>
    </row>
    <row r="456" ht="30.0" customHeight="1">
      <c r="AH456" s="5"/>
      <c r="AI456" s="5"/>
      <c r="AJ456" s="5"/>
    </row>
    <row r="457" ht="30.0" customHeight="1">
      <c r="AH457" s="5"/>
      <c r="AI457" s="5"/>
      <c r="AJ457" s="5"/>
    </row>
    <row r="458" ht="30.0" customHeight="1">
      <c r="AH458" s="5"/>
      <c r="AI458" s="5"/>
      <c r="AJ458" s="5"/>
    </row>
    <row r="459" ht="30.0" customHeight="1">
      <c r="AH459" s="5"/>
      <c r="AI459" s="5"/>
      <c r="AJ459" s="5"/>
    </row>
    <row r="460" ht="30.0" customHeight="1">
      <c r="AH460" s="5"/>
      <c r="AI460" s="5"/>
      <c r="AJ460" s="5"/>
    </row>
    <row r="461" ht="30.0" customHeight="1">
      <c r="AH461" s="5"/>
      <c r="AI461" s="5"/>
      <c r="AJ461" s="5"/>
    </row>
    <row r="462" ht="30.0" customHeight="1">
      <c r="AH462" s="5"/>
      <c r="AI462" s="5"/>
      <c r="AJ462" s="5"/>
    </row>
    <row r="463" ht="30.0" customHeight="1">
      <c r="AH463" s="5"/>
      <c r="AI463" s="5"/>
      <c r="AJ463" s="5"/>
    </row>
    <row r="464" ht="30.0" customHeight="1">
      <c r="AH464" s="5"/>
      <c r="AI464" s="5"/>
      <c r="AJ464" s="5"/>
    </row>
    <row r="465" ht="30.0" customHeight="1">
      <c r="AH465" s="5"/>
      <c r="AI465" s="5"/>
      <c r="AJ465" s="5"/>
    </row>
    <row r="466" ht="30.0" customHeight="1">
      <c r="AH466" s="5"/>
      <c r="AI466" s="5"/>
      <c r="AJ466" s="5"/>
    </row>
    <row r="467" ht="30.0" customHeight="1">
      <c r="AH467" s="5"/>
      <c r="AI467" s="5"/>
      <c r="AJ467" s="5"/>
    </row>
    <row r="468" ht="30.0" customHeight="1">
      <c r="AH468" s="5"/>
      <c r="AI468" s="5"/>
      <c r="AJ468" s="5"/>
    </row>
    <row r="469" ht="30.0" customHeight="1">
      <c r="AH469" s="5"/>
      <c r="AI469" s="5"/>
      <c r="AJ469" s="5"/>
    </row>
    <row r="470" ht="30.0" customHeight="1">
      <c r="AH470" s="5"/>
      <c r="AI470" s="5"/>
      <c r="AJ470" s="5"/>
    </row>
    <row r="471" ht="30.0" customHeight="1">
      <c r="AH471" s="5"/>
      <c r="AI471" s="5"/>
      <c r="AJ471" s="5"/>
    </row>
    <row r="472" ht="30.0" customHeight="1">
      <c r="AH472" s="5"/>
      <c r="AI472" s="5"/>
      <c r="AJ472" s="5"/>
    </row>
    <row r="473" ht="30.0" customHeight="1">
      <c r="AH473" s="5"/>
      <c r="AI473" s="5"/>
      <c r="AJ473" s="5"/>
    </row>
    <row r="474" ht="30.0" customHeight="1">
      <c r="AH474" s="5"/>
      <c r="AI474" s="5"/>
      <c r="AJ474" s="5"/>
    </row>
    <row r="475" ht="30.0" customHeight="1">
      <c r="AH475" s="5"/>
      <c r="AI475" s="5"/>
      <c r="AJ475" s="5"/>
    </row>
    <row r="476" ht="30.0" customHeight="1">
      <c r="AH476" s="5"/>
      <c r="AI476" s="5"/>
      <c r="AJ476" s="5"/>
    </row>
    <row r="477" ht="30.0" customHeight="1">
      <c r="AH477" s="5"/>
      <c r="AI477" s="5"/>
      <c r="AJ477" s="5"/>
    </row>
    <row r="478" ht="30.0" customHeight="1">
      <c r="AH478" s="5"/>
      <c r="AI478" s="5"/>
      <c r="AJ478" s="5"/>
    </row>
    <row r="479" ht="30.0" customHeight="1">
      <c r="AH479" s="5"/>
      <c r="AI479" s="5"/>
      <c r="AJ479" s="5"/>
    </row>
    <row r="480" ht="30.0" customHeight="1">
      <c r="AH480" s="5"/>
      <c r="AI480" s="5"/>
      <c r="AJ480" s="5"/>
    </row>
    <row r="481" ht="30.0" customHeight="1">
      <c r="AH481" s="5"/>
      <c r="AI481" s="5"/>
      <c r="AJ481" s="5"/>
    </row>
    <row r="482" ht="30.0" customHeight="1">
      <c r="AH482" s="5"/>
      <c r="AI482" s="5"/>
      <c r="AJ482" s="5"/>
    </row>
    <row r="483" ht="30.0" customHeight="1">
      <c r="AH483" s="5"/>
      <c r="AI483" s="5"/>
      <c r="AJ483" s="5"/>
    </row>
    <row r="484" ht="30.0" customHeight="1">
      <c r="AH484" s="5"/>
      <c r="AI484" s="5"/>
      <c r="AJ484" s="5"/>
    </row>
    <row r="485" ht="30.0" customHeight="1">
      <c r="AH485" s="5"/>
      <c r="AI485" s="5"/>
      <c r="AJ485" s="5"/>
    </row>
    <row r="486" ht="30.0" customHeight="1">
      <c r="AH486" s="5"/>
      <c r="AI486" s="5"/>
      <c r="AJ486" s="5"/>
    </row>
    <row r="487" ht="30.0" customHeight="1">
      <c r="AH487" s="5"/>
      <c r="AI487" s="5"/>
      <c r="AJ487" s="5"/>
    </row>
    <row r="488" ht="30.0" customHeight="1">
      <c r="AH488" s="5"/>
      <c r="AI488" s="5"/>
      <c r="AJ488" s="5"/>
    </row>
    <row r="489" ht="30.0" customHeight="1">
      <c r="AH489" s="5"/>
      <c r="AI489" s="5"/>
      <c r="AJ489" s="5"/>
    </row>
    <row r="490" ht="30.0" customHeight="1">
      <c r="AH490" s="5"/>
      <c r="AI490" s="5"/>
      <c r="AJ490" s="5"/>
    </row>
    <row r="491" ht="30.0" customHeight="1">
      <c r="AH491" s="5"/>
      <c r="AI491" s="5"/>
      <c r="AJ491" s="5"/>
    </row>
    <row r="492" ht="30.0" customHeight="1">
      <c r="AH492" s="5"/>
      <c r="AI492" s="5"/>
      <c r="AJ492" s="5"/>
    </row>
    <row r="493" ht="30.0" customHeight="1">
      <c r="AH493" s="5"/>
      <c r="AI493" s="5"/>
      <c r="AJ493" s="5"/>
    </row>
    <row r="494" ht="30.0" customHeight="1">
      <c r="AH494" s="5"/>
      <c r="AI494" s="5"/>
      <c r="AJ494" s="5"/>
    </row>
    <row r="495" ht="30.0" customHeight="1">
      <c r="AH495" s="5"/>
      <c r="AI495" s="5"/>
      <c r="AJ495" s="5"/>
    </row>
    <row r="496" ht="30.0" customHeight="1">
      <c r="AH496" s="5"/>
      <c r="AI496" s="5"/>
      <c r="AJ496" s="5"/>
    </row>
    <row r="497" ht="30.0" customHeight="1">
      <c r="AH497" s="5"/>
      <c r="AI497" s="5"/>
      <c r="AJ497" s="5"/>
    </row>
    <row r="498" ht="30.0" customHeight="1">
      <c r="AH498" s="5"/>
      <c r="AI498" s="5"/>
      <c r="AJ498" s="5"/>
    </row>
    <row r="499" ht="30.0" customHeight="1">
      <c r="AH499" s="5"/>
      <c r="AI499" s="5"/>
      <c r="AJ499" s="5"/>
    </row>
    <row r="500" ht="30.0" customHeight="1">
      <c r="AH500" s="5"/>
      <c r="AI500" s="5"/>
      <c r="AJ500" s="5"/>
    </row>
    <row r="501" ht="30.0" customHeight="1">
      <c r="AH501" s="5"/>
      <c r="AI501" s="5"/>
      <c r="AJ501" s="5"/>
    </row>
    <row r="502" ht="30.0" customHeight="1">
      <c r="AH502" s="5"/>
      <c r="AI502" s="5"/>
      <c r="AJ502" s="5"/>
    </row>
    <row r="503" ht="30.0" customHeight="1">
      <c r="AH503" s="5"/>
      <c r="AI503" s="5"/>
      <c r="AJ503" s="5"/>
    </row>
    <row r="504" ht="30.0" customHeight="1">
      <c r="AH504" s="5"/>
      <c r="AI504" s="5"/>
      <c r="AJ504" s="5"/>
    </row>
    <row r="505" ht="30.0" customHeight="1">
      <c r="AH505" s="5"/>
      <c r="AI505" s="5"/>
      <c r="AJ505" s="5"/>
    </row>
    <row r="506" ht="30.0" customHeight="1">
      <c r="AH506" s="5"/>
      <c r="AI506" s="5"/>
      <c r="AJ506" s="5"/>
    </row>
    <row r="507" ht="30.0" customHeight="1">
      <c r="AH507" s="5"/>
      <c r="AI507" s="5"/>
      <c r="AJ507" s="5"/>
    </row>
    <row r="508" ht="30.0" customHeight="1">
      <c r="AH508" s="5"/>
      <c r="AI508" s="5"/>
      <c r="AJ508" s="5"/>
    </row>
    <row r="509" ht="30.0" customHeight="1">
      <c r="AH509" s="5"/>
      <c r="AI509" s="5"/>
      <c r="AJ509" s="5"/>
    </row>
    <row r="510" ht="30.0" customHeight="1">
      <c r="AH510" s="5"/>
      <c r="AI510" s="5"/>
      <c r="AJ510" s="5"/>
    </row>
    <row r="511" ht="30.0" customHeight="1">
      <c r="AH511" s="5"/>
      <c r="AI511" s="5"/>
      <c r="AJ511" s="5"/>
    </row>
    <row r="512" ht="30.0" customHeight="1">
      <c r="AH512" s="5"/>
      <c r="AI512" s="5"/>
      <c r="AJ512" s="5"/>
    </row>
    <row r="513" ht="30.0" customHeight="1">
      <c r="AH513" s="5"/>
      <c r="AI513" s="5"/>
      <c r="AJ513" s="5"/>
    </row>
    <row r="514" ht="30.0" customHeight="1">
      <c r="AH514" s="5"/>
      <c r="AI514" s="5"/>
      <c r="AJ514" s="5"/>
    </row>
    <row r="515" ht="30.0" customHeight="1">
      <c r="AH515" s="5"/>
      <c r="AI515" s="5"/>
      <c r="AJ515" s="5"/>
    </row>
    <row r="516" ht="30.0" customHeight="1">
      <c r="AH516" s="5"/>
      <c r="AI516" s="5"/>
      <c r="AJ516" s="5"/>
    </row>
    <row r="517" ht="30.0" customHeight="1">
      <c r="AH517" s="5"/>
      <c r="AI517" s="5"/>
      <c r="AJ517" s="5"/>
    </row>
    <row r="518" ht="30.0" customHeight="1">
      <c r="AH518" s="5"/>
      <c r="AI518" s="5"/>
      <c r="AJ518" s="5"/>
    </row>
    <row r="519" ht="30.0" customHeight="1">
      <c r="AH519" s="5"/>
      <c r="AI519" s="5"/>
      <c r="AJ519" s="5"/>
    </row>
    <row r="520" ht="30.0" customHeight="1">
      <c r="AH520" s="5"/>
      <c r="AI520" s="5"/>
      <c r="AJ520" s="5"/>
    </row>
    <row r="521" ht="30.0" customHeight="1">
      <c r="AH521" s="5"/>
      <c r="AI521" s="5"/>
      <c r="AJ521" s="5"/>
    </row>
    <row r="522" ht="30.0" customHeight="1">
      <c r="AH522" s="5"/>
      <c r="AI522" s="5"/>
      <c r="AJ522" s="5"/>
    </row>
    <row r="523" ht="30.0" customHeight="1">
      <c r="AH523" s="5"/>
      <c r="AI523" s="5"/>
      <c r="AJ523" s="5"/>
    </row>
    <row r="524" ht="30.0" customHeight="1">
      <c r="AH524" s="5"/>
      <c r="AI524" s="5"/>
      <c r="AJ524" s="5"/>
    </row>
    <row r="525" ht="30.0" customHeight="1">
      <c r="AH525" s="5"/>
      <c r="AI525" s="5"/>
      <c r="AJ525" s="5"/>
    </row>
    <row r="526" ht="30.0" customHeight="1">
      <c r="AH526" s="5"/>
      <c r="AI526" s="5"/>
      <c r="AJ526" s="5"/>
    </row>
    <row r="527" ht="30.0" customHeight="1">
      <c r="AH527" s="5"/>
      <c r="AI527" s="5"/>
      <c r="AJ527" s="5"/>
    </row>
    <row r="528" ht="30.0" customHeight="1">
      <c r="AH528" s="5"/>
      <c r="AI528" s="5"/>
      <c r="AJ528" s="5"/>
    </row>
    <row r="529" ht="30.0" customHeight="1">
      <c r="AH529" s="5"/>
      <c r="AI529" s="5"/>
      <c r="AJ529" s="5"/>
    </row>
    <row r="530" ht="30.0" customHeight="1">
      <c r="AH530" s="5"/>
      <c r="AI530" s="5"/>
      <c r="AJ530" s="5"/>
    </row>
    <row r="531" ht="30.0" customHeight="1">
      <c r="AH531" s="5"/>
      <c r="AI531" s="5"/>
      <c r="AJ531" s="5"/>
    </row>
    <row r="532" ht="30.0" customHeight="1">
      <c r="AH532" s="5"/>
      <c r="AI532" s="5"/>
      <c r="AJ532" s="5"/>
    </row>
    <row r="533" ht="30.0" customHeight="1">
      <c r="AH533" s="5"/>
      <c r="AI533" s="5"/>
      <c r="AJ533" s="5"/>
    </row>
    <row r="534" ht="30.0" customHeight="1">
      <c r="AH534" s="5"/>
      <c r="AI534" s="5"/>
      <c r="AJ534" s="5"/>
    </row>
    <row r="535" ht="30.0" customHeight="1">
      <c r="AH535" s="5"/>
      <c r="AI535" s="5"/>
      <c r="AJ535" s="5"/>
    </row>
    <row r="536" ht="30.0" customHeight="1">
      <c r="AH536" s="5"/>
      <c r="AI536" s="5"/>
      <c r="AJ536" s="5"/>
    </row>
    <row r="537" ht="30.0" customHeight="1">
      <c r="AH537" s="5"/>
      <c r="AI537" s="5"/>
      <c r="AJ537" s="5"/>
    </row>
    <row r="538" ht="30.0" customHeight="1">
      <c r="AH538" s="5"/>
      <c r="AI538" s="5"/>
      <c r="AJ538" s="5"/>
    </row>
    <row r="539" ht="30.0" customHeight="1">
      <c r="AH539" s="5"/>
      <c r="AI539" s="5"/>
      <c r="AJ539" s="5"/>
    </row>
    <row r="540" ht="30.0" customHeight="1">
      <c r="AH540" s="5"/>
      <c r="AI540" s="5"/>
      <c r="AJ540" s="5"/>
    </row>
    <row r="541" ht="30.0" customHeight="1">
      <c r="AH541" s="5"/>
      <c r="AI541" s="5"/>
      <c r="AJ541" s="5"/>
    </row>
    <row r="542" ht="30.0" customHeight="1">
      <c r="AH542" s="5"/>
      <c r="AI542" s="5"/>
      <c r="AJ542" s="5"/>
    </row>
    <row r="543" ht="30.0" customHeight="1">
      <c r="AH543" s="5"/>
      <c r="AI543" s="5"/>
      <c r="AJ543" s="5"/>
    </row>
    <row r="544" ht="30.0" customHeight="1">
      <c r="AH544" s="5"/>
      <c r="AI544" s="5"/>
      <c r="AJ544" s="5"/>
    </row>
    <row r="545" ht="30.0" customHeight="1">
      <c r="AH545" s="5"/>
      <c r="AI545" s="5"/>
      <c r="AJ545" s="5"/>
    </row>
    <row r="546" ht="30.0" customHeight="1">
      <c r="AH546" s="5"/>
      <c r="AI546" s="5"/>
      <c r="AJ546" s="5"/>
    </row>
    <row r="547" ht="30.0" customHeight="1">
      <c r="AH547" s="5"/>
      <c r="AI547" s="5"/>
      <c r="AJ547" s="5"/>
    </row>
    <row r="548" ht="30.0" customHeight="1">
      <c r="AH548" s="5"/>
      <c r="AI548" s="5"/>
      <c r="AJ548" s="5"/>
    </row>
    <row r="549" ht="30.0" customHeight="1">
      <c r="AH549" s="5"/>
      <c r="AI549" s="5"/>
      <c r="AJ549" s="5"/>
    </row>
    <row r="550" ht="30.0" customHeight="1">
      <c r="AH550" s="5"/>
      <c r="AI550" s="5"/>
      <c r="AJ550" s="5"/>
    </row>
    <row r="551" ht="30.0" customHeight="1">
      <c r="AH551" s="5"/>
      <c r="AI551" s="5"/>
      <c r="AJ551" s="5"/>
    </row>
    <row r="552" ht="30.0" customHeight="1">
      <c r="AH552" s="5"/>
      <c r="AI552" s="5"/>
      <c r="AJ552" s="5"/>
    </row>
    <row r="553" ht="30.0" customHeight="1">
      <c r="AH553" s="5"/>
      <c r="AI553" s="5"/>
      <c r="AJ553" s="5"/>
    </row>
    <row r="554" ht="30.0" customHeight="1">
      <c r="AH554" s="5"/>
      <c r="AI554" s="5"/>
      <c r="AJ554" s="5"/>
    </row>
    <row r="555" ht="30.0" customHeight="1">
      <c r="AH555" s="5"/>
      <c r="AI555" s="5"/>
      <c r="AJ555" s="5"/>
    </row>
    <row r="556" ht="30.0" customHeight="1">
      <c r="AH556" s="5"/>
      <c r="AI556" s="5"/>
      <c r="AJ556" s="5"/>
    </row>
    <row r="557" ht="30.0" customHeight="1">
      <c r="AH557" s="5"/>
      <c r="AI557" s="5"/>
      <c r="AJ557" s="5"/>
    </row>
    <row r="558" ht="30.0" customHeight="1">
      <c r="AH558" s="5"/>
      <c r="AI558" s="5"/>
      <c r="AJ558" s="5"/>
    </row>
    <row r="559" ht="30.0" customHeight="1">
      <c r="AH559" s="5"/>
      <c r="AI559" s="5"/>
      <c r="AJ559" s="5"/>
    </row>
    <row r="560" ht="30.0" customHeight="1">
      <c r="AH560" s="5"/>
      <c r="AI560" s="5"/>
      <c r="AJ560" s="5"/>
    </row>
    <row r="561" ht="30.0" customHeight="1">
      <c r="AH561" s="5"/>
      <c r="AI561" s="5"/>
      <c r="AJ561" s="5"/>
    </row>
    <row r="562" ht="30.0" customHeight="1">
      <c r="AH562" s="5"/>
      <c r="AI562" s="5"/>
      <c r="AJ562" s="5"/>
    </row>
    <row r="563" ht="30.0" customHeight="1">
      <c r="AH563" s="5"/>
      <c r="AI563" s="5"/>
      <c r="AJ563" s="5"/>
    </row>
    <row r="564" ht="30.0" customHeight="1">
      <c r="AH564" s="5"/>
      <c r="AI564" s="5"/>
      <c r="AJ564" s="5"/>
    </row>
    <row r="565" ht="30.0" customHeight="1">
      <c r="AH565" s="5"/>
      <c r="AI565" s="5"/>
      <c r="AJ565" s="5"/>
    </row>
    <row r="566" ht="30.0" customHeight="1">
      <c r="AH566" s="5"/>
      <c r="AI566" s="5"/>
      <c r="AJ566" s="5"/>
    </row>
    <row r="567" ht="30.0" customHeight="1">
      <c r="AH567" s="5"/>
      <c r="AI567" s="5"/>
      <c r="AJ567" s="5"/>
    </row>
    <row r="568" ht="30.0" customHeight="1">
      <c r="AH568" s="5"/>
      <c r="AI568" s="5"/>
      <c r="AJ568" s="5"/>
    </row>
    <row r="569" ht="30.0" customHeight="1">
      <c r="AH569" s="5"/>
      <c r="AI569" s="5"/>
      <c r="AJ569" s="5"/>
    </row>
    <row r="570" ht="30.0" customHeight="1">
      <c r="AH570" s="5"/>
      <c r="AI570" s="5"/>
      <c r="AJ570" s="5"/>
    </row>
    <row r="571" ht="30.0" customHeight="1">
      <c r="AH571" s="5"/>
      <c r="AI571" s="5"/>
      <c r="AJ571" s="5"/>
    </row>
    <row r="572" ht="30.0" customHeight="1">
      <c r="AH572" s="5"/>
      <c r="AI572" s="5"/>
      <c r="AJ572" s="5"/>
    </row>
    <row r="573" ht="30.0" customHeight="1">
      <c r="AH573" s="5"/>
      <c r="AI573" s="5"/>
      <c r="AJ573" s="5"/>
    </row>
    <row r="574" ht="30.0" customHeight="1">
      <c r="AH574" s="5"/>
      <c r="AI574" s="5"/>
      <c r="AJ574" s="5"/>
    </row>
    <row r="575" ht="30.0" customHeight="1">
      <c r="AH575" s="5"/>
      <c r="AI575" s="5"/>
      <c r="AJ575" s="5"/>
    </row>
    <row r="576" ht="30.0" customHeight="1">
      <c r="AH576" s="5"/>
      <c r="AI576" s="5"/>
      <c r="AJ576" s="5"/>
    </row>
    <row r="577" ht="30.0" customHeight="1">
      <c r="AH577" s="5"/>
      <c r="AI577" s="5"/>
      <c r="AJ577" s="5"/>
    </row>
    <row r="578" ht="30.0" customHeight="1">
      <c r="AH578" s="5"/>
      <c r="AI578" s="5"/>
      <c r="AJ578" s="5"/>
    </row>
    <row r="579" ht="30.0" customHeight="1">
      <c r="AH579" s="5"/>
      <c r="AI579" s="5"/>
      <c r="AJ579" s="5"/>
    </row>
    <row r="580" ht="30.0" customHeight="1">
      <c r="AH580" s="5"/>
      <c r="AI580" s="5"/>
      <c r="AJ580" s="5"/>
    </row>
    <row r="581" ht="30.0" customHeight="1">
      <c r="AH581" s="5"/>
      <c r="AI581" s="5"/>
      <c r="AJ581" s="5"/>
    </row>
    <row r="582" ht="30.0" customHeight="1">
      <c r="AH582" s="5"/>
      <c r="AI582" s="5"/>
      <c r="AJ582" s="5"/>
    </row>
    <row r="583" ht="30.0" customHeight="1">
      <c r="AH583" s="5"/>
      <c r="AI583" s="5"/>
      <c r="AJ583" s="5"/>
    </row>
    <row r="584" ht="30.0" customHeight="1">
      <c r="AH584" s="5"/>
      <c r="AI584" s="5"/>
      <c r="AJ584" s="5"/>
    </row>
    <row r="585" ht="30.0" customHeight="1">
      <c r="AH585" s="5"/>
      <c r="AI585" s="5"/>
      <c r="AJ585" s="5"/>
    </row>
    <row r="586" ht="30.0" customHeight="1">
      <c r="AH586" s="5"/>
      <c r="AI586" s="5"/>
      <c r="AJ586" s="5"/>
    </row>
    <row r="587" ht="30.0" customHeight="1">
      <c r="AH587" s="5"/>
      <c r="AI587" s="5"/>
      <c r="AJ587" s="5"/>
    </row>
    <row r="588" ht="30.0" customHeight="1">
      <c r="AH588" s="5"/>
      <c r="AI588" s="5"/>
      <c r="AJ588" s="5"/>
    </row>
    <row r="589" ht="30.0" customHeight="1">
      <c r="AH589" s="5"/>
      <c r="AI589" s="5"/>
      <c r="AJ589" s="5"/>
    </row>
    <row r="590" ht="30.0" customHeight="1">
      <c r="AH590" s="5"/>
      <c r="AI590" s="5"/>
      <c r="AJ590" s="5"/>
    </row>
    <row r="591" ht="30.0" customHeight="1">
      <c r="AH591" s="5"/>
      <c r="AI591" s="5"/>
      <c r="AJ591" s="5"/>
    </row>
    <row r="592" ht="30.0" customHeight="1">
      <c r="AH592" s="5"/>
      <c r="AI592" s="5"/>
      <c r="AJ592" s="5"/>
    </row>
    <row r="593" ht="30.0" customHeight="1">
      <c r="AH593" s="5"/>
      <c r="AI593" s="5"/>
      <c r="AJ593" s="5"/>
    </row>
    <row r="594" ht="30.0" customHeight="1">
      <c r="AH594" s="5"/>
      <c r="AI594" s="5"/>
      <c r="AJ594" s="5"/>
    </row>
    <row r="595" ht="30.0" customHeight="1">
      <c r="AH595" s="5"/>
      <c r="AI595" s="5"/>
      <c r="AJ595" s="5"/>
    </row>
    <row r="596" ht="30.0" customHeight="1">
      <c r="AH596" s="5"/>
      <c r="AI596" s="5"/>
      <c r="AJ596" s="5"/>
    </row>
    <row r="597" ht="30.0" customHeight="1">
      <c r="AH597" s="5"/>
      <c r="AI597" s="5"/>
      <c r="AJ597" s="5"/>
    </row>
    <row r="598" ht="30.0" customHeight="1">
      <c r="AH598" s="5"/>
      <c r="AI598" s="5"/>
      <c r="AJ598" s="5"/>
    </row>
    <row r="599" ht="30.0" customHeight="1">
      <c r="AH599" s="5"/>
      <c r="AI599" s="5"/>
      <c r="AJ599" s="5"/>
    </row>
    <row r="600" ht="30.0" customHeight="1">
      <c r="AH600" s="5"/>
      <c r="AI600" s="5"/>
      <c r="AJ600" s="5"/>
    </row>
    <row r="601" ht="30.0" customHeight="1">
      <c r="AH601" s="5"/>
      <c r="AI601" s="5"/>
      <c r="AJ601" s="5"/>
    </row>
    <row r="602" ht="30.0" customHeight="1">
      <c r="AH602" s="5"/>
      <c r="AI602" s="5"/>
      <c r="AJ602" s="5"/>
    </row>
    <row r="603" ht="30.0" customHeight="1">
      <c r="AH603" s="5"/>
      <c r="AI603" s="5"/>
      <c r="AJ603" s="5"/>
    </row>
    <row r="604" ht="30.0" customHeight="1">
      <c r="AH604" s="5"/>
      <c r="AI604" s="5"/>
      <c r="AJ604" s="5"/>
    </row>
    <row r="605" ht="30.0" customHeight="1">
      <c r="AH605" s="5"/>
      <c r="AI605" s="5"/>
      <c r="AJ605" s="5"/>
    </row>
    <row r="606" ht="30.0" customHeight="1">
      <c r="AH606" s="5"/>
      <c r="AI606" s="5"/>
      <c r="AJ606" s="5"/>
    </row>
    <row r="607" ht="30.0" customHeight="1">
      <c r="AH607" s="5"/>
      <c r="AI607" s="5"/>
      <c r="AJ607" s="5"/>
    </row>
    <row r="608" ht="30.0" customHeight="1">
      <c r="AH608" s="5"/>
      <c r="AI608" s="5"/>
      <c r="AJ608" s="5"/>
    </row>
    <row r="609" ht="30.0" customHeight="1">
      <c r="AH609" s="5"/>
      <c r="AI609" s="5"/>
      <c r="AJ609" s="5"/>
    </row>
    <row r="610" ht="30.0" customHeight="1">
      <c r="AH610" s="5"/>
      <c r="AI610" s="5"/>
      <c r="AJ610" s="5"/>
    </row>
    <row r="611" ht="30.0" customHeight="1">
      <c r="AH611" s="5"/>
      <c r="AI611" s="5"/>
      <c r="AJ611" s="5"/>
    </row>
    <row r="612" ht="30.0" customHeight="1">
      <c r="AH612" s="5"/>
      <c r="AI612" s="5"/>
      <c r="AJ612" s="5"/>
    </row>
    <row r="613" ht="30.0" customHeight="1">
      <c r="AH613" s="5"/>
      <c r="AI613" s="5"/>
      <c r="AJ613" s="5"/>
    </row>
    <row r="614" ht="30.0" customHeight="1">
      <c r="AH614" s="5"/>
      <c r="AI614" s="5"/>
      <c r="AJ614" s="5"/>
    </row>
    <row r="615" ht="30.0" customHeight="1">
      <c r="AH615" s="5"/>
      <c r="AI615" s="5"/>
      <c r="AJ615" s="5"/>
    </row>
    <row r="616" ht="30.0" customHeight="1">
      <c r="AH616" s="5"/>
      <c r="AI616" s="5"/>
      <c r="AJ616" s="5"/>
    </row>
    <row r="617" ht="30.0" customHeight="1">
      <c r="AH617" s="5"/>
      <c r="AI617" s="5"/>
      <c r="AJ617" s="5"/>
    </row>
    <row r="618" ht="30.0" customHeight="1">
      <c r="AH618" s="5"/>
      <c r="AI618" s="5"/>
      <c r="AJ618" s="5"/>
    </row>
    <row r="619" ht="30.0" customHeight="1">
      <c r="AH619" s="5"/>
      <c r="AI619" s="5"/>
      <c r="AJ619" s="5"/>
    </row>
    <row r="620" ht="30.0" customHeight="1">
      <c r="AH620" s="5"/>
      <c r="AI620" s="5"/>
      <c r="AJ620" s="5"/>
    </row>
    <row r="621" ht="30.0" customHeight="1">
      <c r="AH621" s="5"/>
      <c r="AI621" s="5"/>
      <c r="AJ621" s="5"/>
    </row>
    <row r="622" ht="30.0" customHeight="1">
      <c r="AH622" s="5"/>
      <c r="AI622" s="5"/>
      <c r="AJ622" s="5"/>
    </row>
    <row r="623" ht="30.0" customHeight="1">
      <c r="AH623" s="5"/>
      <c r="AI623" s="5"/>
      <c r="AJ623" s="5"/>
    </row>
    <row r="624" ht="30.0" customHeight="1">
      <c r="AH624" s="5"/>
      <c r="AI624" s="5"/>
      <c r="AJ624" s="5"/>
    </row>
    <row r="625" ht="30.0" customHeight="1">
      <c r="AH625" s="5"/>
      <c r="AI625" s="5"/>
      <c r="AJ625" s="5"/>
    </row>
    <row r="626" ht="30.0" customHeight="1">
      <c r="AH626" s="5"/>
      <c r="AI626" s="5"/>
      <c r="AJ626" s="5"/>
    </row>
    <row r="627" ht="30.0" customHeight="1">
      <c r="AH627" s="5"/>
      <c r="AI627" s="5"/>
      <c r="AJ627" s="5"/>
    </row>
    <row r="628" ht="30.0" customHeight="1">
      <c r="AH628" s="5"/>
      <c r="AI628" s="5"/>
      <c r="AJ628" s="5"/>
    </row>
    <row r="629" ht="30.0" customHeight="1">
      <c r="AH629" s="5"/>
      <c r="AI629" s="5"/>
      <c r="AJ629" s="5"/>
    </row>
    <row r="630" ht="30.0" customHeight="1">
      <c r="AH630" s="5"/>
      <c r="AI630" s="5"/>
      <c r="AJ630" s="5"/>
    </row>
    <row r="631" ht="30.0" customHeight="1">
      <c r="AH631" s="5"/>
      <c r="AI631" s="5"/>
      <c r="AJ631" s="5"/>
    </row>
    <row r="632" ht="30.0" customHeight="1">
      <c r="AH632" s="5"/>
      <c r="AI632" s="5"/>
      <c r="AJ632" s="5"/>
    </row>
    <row r="633" ht="30.0" customHeight="1">
      <c r="AH633" s="5"/>
      <c r="AI633" s="5"/>
      <c r="AJ633" s="5"/>
    </row>
    <row r="634" ht="30.0" customHeight="1">
      <c r="AH634" s="5"/>
      <c r="AI634" s="5"/>
      <c r="AJ634" s="5"/>
    </row>
    <row r="635" ht="30.0" customHeight="1">
      <c r="AH635" s="5"/>
      <c r="AI635" s="5"/>
      <c r="AJ635" s="5"/>
    </row>
    <row r="636" ht="30.0" customHeight="1">
      <c r="AH636" s="5"/>
      <c r="AI636" s="5"/>
      <c r="AJ636" s="5"/>
    </row>
    <row r="637" ht="30.0" customHeight="1">
      <c r="AH637" s="5"/>
      <c r="AI637" s="5"/>
      <c r="AJ637" s="5"/>
    </row>
    <row r="638" ht="30.0" customHeight="1">
      <c r="AH638" s="5"/>
      <c r="AI638" s="5"/>
      <c r="AJ638" s="5"/>
    </row>
    <row r="639" ht="30.0" customHeight="1">
      <c r="AH639" s="5"/>
      <c r="AI639" s="5"/>
      <c r="AJ639" s="5"/>
    </row>
    <row r="640" ht="30.0" customHeight="1">
      <c r="AH640" s="5"/>
      <c r="AI640" s="5"/>
      <c r="AJ640" s="5"/>
    </row>
    <row r="641" ht="30.0" customHeight="1">
      <c r="AH641" s="5"/>
      <c r="AI641" s="5"/>
      <c r="AJ641" s="5"/>
    </row>
    <row r="642" ht="30.0" customHeight="1">
      <c r="AH642" s="5"/>
      <c r="AI642" s="5"/>
      <c r="AJ642" s="5"/>
    </row>
    <row r="643" ht="30.0" customHeight="1">
      <c r="AH643" s="5"/>
      <c r="AI643" s="5"/>
      <c r="AJ643" s="5"/>
    </row>
    <row r="644" ht="30.0" customHeight="1">
      <c r="AH644" s="5"/>
      <c r="AI644" s="5"/>
      <c r="AJ644" s="5"/>
    </row>
    <row r="645" ht="30.0" customHeight="1">
      <c r="AH645" s="5"/>
      <c r="AI645" s="5"/>
      <c r="AJ645" s="5"/>
    </row>
    <row r="646" ht="30.0" customHeight="1">
      <c r="AH646" s="5"/>
      <c r="AI646" s="5"/>
      <c r="AJ646" s="5"/>
    </row>
    <row r="647" ht="30.0" customHeight="1">
      <c r="AH647" s="5"/>
      <c r="AI647" s="5"/>
      <c r="AJ647" s="5"/>
    </row>
    <row r="648" ht="30.0" customHeight="1">
      <c r="AH648" s="5"/>
      <c r="AI648" s="5"/>
      <c r="AJ648" s="5"/>
    </row>
    <row r="649" ht="30.0" customHeight="1">
      <c r="AH649" s="5"/>
      <c r="AI649" s="5"/>
      <c r="AJ649" s="5"/>
    </row>
    <row r="650" ht="30.0" customHeight="1">
      <c r="AH650" s="5"/>
      <c r="AI650" s="5"/>
      <c r="AJ650" s="5"/>
    </row>
    <row r="651" ht="30.0" customHeight="1">
      <c r="AH651" s="5"/>
      <c r="AI651" s="5"/>
      <c r="AJ651" s="5"/>
    </row>
    <row r="652" ht="30.0" customHeight="1">
      <c r="AH652" s="5"/>
      <c r="AI652" s="5"/>
      <c r="AJ652" s="5"/>
    </row>
    <row r="653" ht="30.0" customHeight="1">
      <c r="AH653" s="5"/>
      <c r="AI653" s="5"/>
      <c r="AJ653" s="5"/>
    </row>
    <row r="654" ht="30.0" customHeight="1">
      <c r="AH654" s="5"/>
      <c r="AI654" s="5"/>
      <c r="AJ654" s="5"/>
    </row>
    <row r="655" ht="30.0" customHeight="1">
      <c r="AH655" s="5"/>
      <c r="AI655" s="5"/>
      <c r="AJ655" s="5"/>
    </row>
    <row r="656" ht="30.0" customHeight="1">
      <c r="AH656" s="5"/>
      <c r="AI656" s="5"/>
      <c r="AJ656" s="5"/>
    </row>
    <row r="657" ht="30.0" customHeight="1">
      <c r="AH657" s="5"/>
      <c r="AI657" s="5"/>
      <c r="AJ657" s="5"/>
    </row>
    <row r="658" ht="30.0" customHeight="1">
      <c r="AH658" s="5"/>
      <c r="AI658" s="5"/>
      <c r="AJ658" s="5"/>
    </row>
    <row r="659" ht="30.0" customHeight="1">
      <c r="AH659" s="5"/>
      <c r="AI659" s="5"/>
      <c r="AJ659" s="5"/>
    </row>
    <row r="660" ht="30.0" customHeight="1">
      <c r="AH660" s="5"/>
      <c r="AI660" s="5"/>
      <c r="AJ660" s="5"/>
    </row>
    <row r="661" ht="30.0" customHeight="1">
      <c r="AH661" s="5"/>
      <c r="AI661" s="5"/>
      <c r="AJ661" s="5"/>
    </row>
    <row r="662" ht="30.0" customHeight="1">
      <c r="AH662" s="5"/>
      <c r="AI662" s="5"/>
      <c r="AJ662" s="5"/>
    </row>
    <row r="663" ht="30.0" customHeight="1">
      <c r="AH663" s="5"/>
      <c r="AI663" s="5"/>
      <c r="AJ663" s="5"/>
    </row>
    <row r="664" ht="30.0" customHeight="1">
      <c r="AH664" s="5"/>
      <c r="AI664" s="5"/>
      <c r="AJ664" s="5"/>
    </row>
    <row r="665" ht="30.0" customHeight="1">
      <c r="AH665" s="5"/>
      <c r="AI665" s="5"/>
      <c r="AJ665" s="5"/>
    </row>
    <row r="666" ht="30.0" customHeight="1">
      <c r="AH666" s="5"/>
      <c r="AI666" s="5"/>
      <c r="AJ666" s="5"/>
    </row>
    <row r="667" ht="30.0" customHeight="1">
      <c r="AH667" s="5"/>
      <c r="AI667" s="5"/>
      <c r="AJ667" s="5"/>
    </row>
    <row r="668" ht="30.0" customHeight="1">
      <c r="AH668" s="5"/>
      <c r="AI668" s="5"/>
      <c r="AJ668" s="5"/>
    </row>
    <row r="669" ht="30.0" customHeight="1">
      <c r="AH669" s="5"/>
      <c r="AI669" s="5"/>
      <c r="AJ669" s="5"/>
    </row>
    <row r="670" ht="30.0" customHeight="1">
      <c r="AH670" s="5"/>
      <c r="AI670" s="5"/>
      <c r="AJ670" s="5"/>
    </row>
    <row r="671" ht="30.0" customHeight="1">
      <c r="AH671" s="5"/>
      <c r="AI671" s="5"/>
      <c r="AJ671" s="5"/>
    </row>
    <row r="672" ht="30.0" customHeight="1">
      <c r="AH672" s="5"/>
      <c r="AI672" s="5"/>
      <c r="AJ672" s="5"/>
    </row>
    <row r="673" ht="30.0" customHeight="1">
      <c r="AH673" s="5"/>
      <c r="AI673" s="5"/>
      <c r="AJ673" s="5"/>
    </row>
    <row r="674" ht="30.0" customHeight="1">
      <c r="AH674" s="5"/>
      <c r="AI674" s="5"/>
      <c r="AJ674" s="5"/>
    </row>
    <row r="675" ht="30.0" customHeight="1">
      <c r="AH675" s="5"/>
      <c r="AI675" s="5"/>
      <c r="AJ675" s="5"/>
    </row>
    <row r="676" ht="30.0" customHeight="1">
      <c r="AH676" s="5"/>
      <c r="AI676" s="5"/>
      <c r="AJ676" s="5"/>
    </row>
    <row r="677" ht="30.0" customHeight="1">
      <c r="AH677" s="5"/>
      <c r="AI677" s="5"/>
      <c r="AJ677" s="5"/>
    </row>
    <row r="678" ht="30.0" customHeight="1">
      <c r="AH678" s="5"/>
      <c r="AI678" s="5"/>
      <c r="AJ678" s="5"/>
    </row>
    <row r="679" ht="30.0" customHeight="1">
      <c r="AH679" s="5"/>
      <c r="AI679" s="5"/>
      <c r="AJ679" s="5"/>
    </row>
    <row r="680" ht="30.0" customHeight="1">
      <c r="AH680" s="5"/>
      <c r="AI680" s="5"/>
      <c r="AJ680" s="5"/>
    </row>
    <row r="681" ht="30.0" customHeight="1">
      <c r="AH681" s="5"/>
      <c r="AI681" s="5"/>
      <c r="AJ681" s="5"/>
    </row>
    <row r="682" ht="30.0" customHeight="1">
      <c r="AH682" s="5"/>
      <c r="AI682" s="5"/>
      <c r="AJ682" s="5"/>
    </row>
    <row r="683" ht="30.0" customHeight="1">
      <c r="AH683" s="5"/>
      <c r="AI683" s="5"/>
      <c r="AJ683" s="5"/>
    </row>
    <row r="684" ht="30.0" customHeight="1">
      <c r="AH684" s="5"/>
      <c r="AI684" s="5"/>
      <c r="AJ684" s="5"/>
    </row>
    <row r="685" ht="30.0" customHeight="1">
      <c r="AH685" s="5"/>
      <c r="AI685" s="5"/>
      <c r="AJ685" s="5"/>
    </row>
    <row r="686" ht="30.0" customHeight="1">
      <c r="AH686" s="5"/>
      <c r="AI686" s="5"/>
      <c r="AJ686" s="5"/>
    </row>
    <row r="687" ht="30.0" customHeight="1">
      <c r="AH687" s="5"/>
      <c r="AI687" s="5"/>
      <c r="AJ687" s="5"/>
    </row>
    <row r="688" ht="30.0" customHeight="1">
      <c r="AH688" s="5"/>
      <c r="AI688" s="5"/>
      <c r="AJ688" s="5"/>
    </row>
    <row r="689" ht="30.0" customHeight="1">
      <c r="AH689" s="5"/>
      <c r="AI689" s="5"/>
      <c r="AJ689" s="5"/>
    </row>
    <row r="690" ht="30.0" customHeight="1">
      <c r="AH690" s="5"/>
      <c r="AI690" s="5"/>
      <c r="AJ690" s="5"/>
    </row>
    <row r="691" ht="30.0" customHeight="1">
      <c r="AH691" s="5"/>
      <c r="AI691" s="5"/>
      <c r="AJ691" s="5"/>
    </row>
    <row r="692" ht="30.0" customHeight="1">
      <c r="AH692" s="5"/>
      <c r="AI692" s="5"/>
      <c r="AJ692" s="5"/>
    </row>
    <row r="693" ht="30.0" customHeight="1">
      <c r="AH693" s="5"/>
      <c r="AI693" s="5"/>
      <c r="AJ693" s="5"/>
    </row>
    <row r="694" ht="30.0" customHeight="1">
      <c r="AH694" s="5"/>
      <c r="AI694" s="5"/>
      <c r="AJ694" s="5"/>
    </row>
    <row r="695" ht="30.0" customHeight="1">
      <c r="AH695" s="5"/>
      <c r="AI695" s="5"/>
      <c r="AJ695" s="5"/>
    </row>
    <row r="696" ht="30.0" customHeight="1">
      <c r="AH696" s="5"/>
      <c r="AI696" s="5"/>
      <c r="AJ696" s="5"/>
    </row>
    <row r="697" ht="30.0" customHeight="1">
      <c r="AH697" s="5"/>
      <c r="AI697" s="5"/>
      <c r="AJ697" s="5"/>
    </row>
    <row r="698" ht="30.0" customHeight="1">
      <c r="AH698" s="5"/>
      <c r="AI698" s="5"/>
      <c r="AJ698" s="5"/>
    </row>
    <row r="699" ht="30.0" customHeight="1">
      <c r="AH699" s="5"/>
      <c r="AI699" s="5"/>
      <c r="AJ699" s="5"/>
    </row>
    <row r="700" ht="30.0" customHeight="1">
      <c r="AH700" s="5"/>
      <c r="AI700" s="5"/>
      <c r="AJ700" s="5"/>
    </row>
    <row r="701" ht="30.0" customHeight="1">
      <c r="AH701" s="5"/>
      <c r="AI701" s="5"/>
      <c r="AJ701" s="5"/>
    </row>
    <row r="702" ht="30.0" customHeight="1">
      <c r="AH702" s="5"/>
      <c r="AI702" s="5"/>
      <c r="AJ702" s="5"/>
    </row>
    <row r="703" ht="30.0" customHeight="1">
      <c r="AH703" s="5"/>
      <c r="AI703" s="5"/>
      <c r="AJ703" s="5"/>
    </row>
    <row r="704" ht="30.0" customHeight="1">
      <c r="AH704" s="5"/>
      <c r="AI704" s="5"/>
      <c r="AJ704" s="5"/>
    </row>
    <row r="705" ht="30.0" customHeight="1">
      <c r="AH705" s="5"/>
      <c r="AI705" s="5"/>
      <c r="AJ705" s="5"/>
    </row>
    <row r="706" ht="30.0" customHeight="1">
      <c r="AH706" s="5"/>
      <c r="AI706" s="5"/>
      <c r="AJ706" s="5"/>
    </row>
    <row r="707" ht="30.0" customHeight="1">
      <c r="AH707" s="5"/>
      <c r="AI707" s="5"/>
      <c r="AJ707" s="5"/>
    </row>
    <row r="708" ht="30.0" customHeight="1">
      <c r="AH708" s="5"/>
      <c r="AI708" s="5"/>
      <c r="AJ708" s="5"/>
    </row>
    <row r="709" ht="30.0" customHeight="1">
      <c r="AH709" s="5"/>
      <c r="AI709" s="5"/>
      <c r="AJ709" s="5"/>
    </row>
    <row r="710" ht="30.0" customHeight="1">
      <c r="AH710" s="5"/>
      <c r="AI710" s="5"/>
      <c r="AJ710" s="5"/>
    </row>
    <row r="711" ht="30.0" customHeight="1">
      <c r="AH711" s="5"/>
      <c r="AI711" s="5"/>
      <c r="AJ711" s="5"/>
    </row>
    <row r="712" ht="30.0" customHeight="1">
      <c r="AH712" s="5"/>
      <c r="AI712" s="5"/>
      <c r="AJ712" s="5"/>
    </row>
    <row r="713" ht="30.0" customHeight="1">
      <c r="AH713" s="5"/>
      <c r="AI713" s="5"/>
      <c r="AJ713" s="5"/>
    </row>
    <row r="714" ht="30.0" customHeight="1">
      <c r="AH714" s="5"/>
      <c r="AI714" s="5"/>
      <c r="AJ714" s="5"/>
    </row>
    <row r="715" ht="30.0" customHeight="1">
      <c r="AH715" s="5"/>
      <c r="AI715" s="5"/>
      <c r="AJ715" s="5"/>
    </row>
    <row r="716" ht="30.0" customHeight="1">
      <c r="AH716" s="5"/>
      <c r="AI716" s="5"/>
      <c r="AJ716" s="5"/>
    </row>
    <row r="717" ht="30.0" customHeight="1">
      <c r="AH717" s="5"/>
      <c r="AI717" s="5"/>
      <c r="AJ717" s="5"/>
    </row>
    <row r="718" ht="30.0" customHeight="1">
      <c r="AH718" s="5"/>
      <c r="AI718" s="5"/>
      <c r="AJ718" s="5"/>
    </row>
    <row r="719" ht="30.0" customHeight="1">
      <c r="AH719" s="5"/>
      <c r="AI719" s="5"/>
      <c r="AJ719" s="5"/>
    </row>
    <row r="720" ht="30.0" customHeight="1">
      <c r="AH720" s="5"/>
      <c r="AI720" s="5"/>
      <c r="AJ720" s="5"/>
    </row>
    <row r="721" ht="30.0" customHeight="1">
      <c r="AH721" s="5"/>
      <c r="AI721" s="5"/>
      <c r="AJ721" s="5"/>
    </row>
    <row r="722" ht="30.0" customHeight="1">
      <c r="AH722" s="5"/>
      <c r="AI722" s="5"/>
      <c r="AJ722" s="5"/>
    </row>
    <row r="723" ht="30.0" customHeight="1">
      <c r="AH723" s="5"/>
      <c r="AI723" s="5"/>
      <c r="AJ723" s="5"/>
    </row>
    <row r="724" ht="30.0" customHeight="1">
      <c r="AH724" s="5"/>
      <c r="AI724" s="5"/>
      <c r="AJ724" s="5"/>
    </row>
    <row r="725" ht="30.0" customHeight="1">
      <c r="AH725" s="5"/>
      <c r="AI725" s="5"/>
      <c r="AJ725" s="5"/>
    </row>
    <row r="726" ht="30.0" customHeight="1">
      <c r="AH726" s="5"/>
      <c r="AI726" s="5"/>
      <c r="AJ726" s="5"/>
    </row>
    <row r="727" ht="30.0" customHeight="1">
      <c r="AH727" s="5"/>
      <c r="AI727" s="5"/>
      <c r="AJ727" s="5"/>
    </row>
    <row r="728" ht="30.0" customHeight="1">
      <c r="AH728" s="5"/>
      <c r="AI728" s="5"/>
      <c r="AJ728" s="5"/>
    </row>
    <row r="729" ht="30.0" customHeight="1">
      <c r="AH729" s="5"/>
      <c r="AI729" s="5"/>
      <c r="AJ729" s="5"/>
    </row>
    <row r="730" ht="30.0" customHeight="1">
      <c r="AH730" s="5"/>
      <c r="AI730" s="5"/>
      <c r="AJ730" s="5"/>
    </row>
    <row r="731" ht="30.0" customHeight="1">
      <c r="AH731" s="5"/>
      <c r="AI731" s="5"/>
      <c r="AJ731" s="5"/>
    </row>
    <row r="732" ht="30.0" customHeight="1">
      <c r="AH732" s="5"/>
      <c r="AI732" s="5"/>
      <c r="AJ732" s="5"/>
    </row>
    <row r="733" ht="30.0" customHeight="1">
      <c r="AH733" s="5"/>
      <c r="AI733" s="5"/>
      <c r="AJ733" s="5"/>
    </row>
    <row r="734" ht="30.0" customHeight="1">
      <c r="AH734" s="5"/>
      <c r="AI734" s="5"/>
      <c r="AJ734" s="5"/>
    </row>
    <row r="735" ht="30.0" customHeight="1">
      <c r="AH735" s="5"/>
      <c r="AI735" s="5"/>
      <c r="AJ735" s="5"/>
    </row>
    <row r="736" ht="30.0" customHeight="1">
      <c r="AH736" s="5"/>
      <c r="AI736" s="5"/>
      <c r="AJ736" s="5"/>
    </row>
    <row r="737" ht="30.0" customHeight="1">
      <c r="AH737" s="5"/>
      <c r="AI737" s="5"/>
      <c r="AJ737" s="5"/>
    </row>
    <row r="738" ht="30.0" customHeight="1">
      <c r="AH738" s="5"/>
      <c r="AI738" s="5"/>
      <c r="AJ738" s="5"/>
    </row>
    <row r="739" ht="30.0" customHeight="1">
      <c r="AH739" s="5"/>
      <c r="AI739" s="5"/>
      <c r="AJ739" s="5"/>
    </row>
    <row r="740" ht="30.0" customHeight="1">
      <c r="AH740" s="5"/>
      <c r="AI740" s="5"/>
      <c r="AJ740" s="5"/>
    </row>
    <row r="741" ht="30.0" customHeight="1">
      <c r="AH741" s="5"/>
      <c r="AI741" s="5"/>
      <c r="AJ741" s="5"/>
    </row>
    <row r="742" ht="30.0" customHeight="1">
      <c r="AH742" s="5"/>
      <c r="AI742" s="5"/>
      <c r="AJ742" s="5"/>
    </row>
    <row r="743" ht="30.0" customHeight="1">
      <c r="AH743" s="5"/>
      <c r="AI743" s="5"/>
      <c r="AJ743" s="5"/>
    </row>
    <row r="744" ht="30.0" customHeight="1">
      <c r="AH744" s="5"/>
      <c r="AI744" s="5"/>
      <c r="AJ744" s="5"/>
    </row>
    <row r="745" ht="30.0" customHeight="1">
      <c r="AH745" s="5"/>
      <c r="AI745" s="5"/>
      <c r="AJ745" s="5"/>
    </row>
    <row r="746" ht="30.0" customHeight="1">
      <c r="AH746" s="5"/>
      <c r="AI746" s="5"/>
      <c r="AJ746" s="5"/>
    </row>
    <row r="747" ht="30.0" customHeight="1">
      <c r="AH747" s="5"/>
      <c r="AI747" s="5"/>
      <c r="AJ747" s="5"/>
    </row>
    <row r="748" ht="30.0" customHeight="1">
      <c r="AH748" s="5"/>
      <c r="AI748" s="5"/>
      <c r="AJ748" s="5"/>
    </row>
    <row r="749" ht="30.0" customHeight="1">
      <c r="AH749" s="5"/>
      <c r="AI749" s="5"/>
      <c r="AJ749" s="5"/>
    </row>
    <row r="750" ht="30.0" customHeight="1">
      <c r="AH750" s="5"/>
      <c r="AI750" s="5"/>
      <c r="AJ750" s="5"/>
    </row>
    <row r="751" ht="30.0" customHeight="1">
      <c r="AH751" s="5"/>
      <c r="AI751" s="5"/>
      <c r="AJ751" s="5"/>
    </row>
    <row r="752" ht="30.0" customHeight="1">
      <c r="AH752" s="5"/>
      <c r="AI752" s="5"/>
      <c r="AJ752" s="5"/>
    </row>
    <row r="753" ht="30.0" customHeight="1">
      <c r="AH753" s="5"/>
      <c r="AI753" s="5"/>
      <c r="AJ753" s="5"/>
    </row>
    <row r="754" ht="30.0" customHeight="1">
      <c r="AH754" s="5"/>
      <c r="AI754" s="5"/>
      <c r="AJ754" s="5"/>
    </row>
    <row r="755" ht="30.0" customHeight="1">
      <c r="AH755" s="5"/>
      <c r="AI755" s="5"/>
      <c r="AJ755" s="5"/>
    </row>
    <row r="756" ht="30.0" customHeight="1">
      <c r="AH756" s="5"/>
      <c r="AI756" s="5"/>
      <c r="AJ756" s="5"/>
    </row>
    <row r="757" ht="30.0" customHeight="1">
      <c r="AH757" s="5"/>
      <c r="AI757" s="5"/>
      <c r="AJ757" s="5"/>
    </row>
    <row r="758" ht="30.0" customHeight="1">
      <c r="AH758" s="5"/>
      <c r="AI758" s="5"/>
      <c r="AJ758" s="5"/>
    </row>
    <row r="759" ht="30.0" customHeight="1">
      <c r="AH759" s="5"/>
      <c r="AI759" s="5"/>
      <c r="AJ759" s="5"/>
    </row>
    <row r="760" ht="30.0" customHeight="1">
      <c r="AH760" s="5"/>
      <c r="AI760" s="5"/>
      <c r="AJ760" s="5"/>
    </row>
    <row r="761" ht="30.0" customHeight="1">
      <c r="AH761" s="5"/>
      <c r="AI761" s="5"/>
      <c r="AJ761" s="5"/>
    </row>
    <row r="762" ht="30.0" customHeight="1">
      <c r="AH762" s="5"/>
      <c r="AI762" s="5"/>
      <c r="AJ762" s="5"/>
    </row>
    <row r="763" ht="30.0" customHeight="1">
      <c r="AH763" s="5"/>
      <c r="AI763" s="5"/>
      <c r="AJ763" s="5"/>
    </row>
    <row r="764" ht="30.0" customHeight="1">
      <c r="AH764" s="5"/>
      <c r="AI764" s="5"/>
      <c r="AJ764" s="5"/>
    </row>
    <row r="765" ht="30.0" customHeight="1">
      <c r="AH765" s="5"/>
      <c r="AI765" s="5"/>
      <c r="AJ765" s="5"/>
    </row>
    <row r="766" ht="30.0" customHeight="1">
      <c r="AH766" s="5"/>
      <c r="AI766" s="5"/>
      <c r="AJ766" s="5"/>
    </row>
    <row r="767" ht="30.0" customHeight="1">
      <c r="AH767" s="5"/>
      <c r="AI767" s="5"/>
      <c r="AJ767" s="5"/>
    </row>
    <row r="768" ht="30.0" customHeight="1">
      <c r="AH768" s="5"/>
      <c r="AI768" s="5"/>
      <c r="AJ768" s="5"/>
    </row>
    <row r="769" ht="30.0" customHeight="1">
      <c r="AH769" s="5"/>
      <c r="AI769" s="5"/>
      <c r="AJ769" s="5"/>
    </row>
    <row r="770" ht="30.0" customHeight="1">
      <c r="AH770" s="5"/>
      <c r="AI770" s="5"/>
      <c r="AJ770" s="5"/>
    </row>
    <row r="771" ht="30.0" customHeight="1">
      <c r="AH771" s="5"/>
      <c r="AI771" s="5"/>
      <c r="AJ771" s="5"/>
    </row>
    <row r="772" ht="30.0" customHeight="1">
      <c r="AH772" s="5"/>
      <c r="AI772" s="5"/>
      <c r="AJ772" s="5"/>
    </row>
    <row r="773" ht="30.0" customHeight="1">
      <c r="AH773" s="5"/>
      <c r="AI773" s="5"/>
      <c r="AJ773" s="5"/>
    </row>
    <row r="774" ht="30.0" customHeight="1">
      <c r="AH774" s="5"/>
      <c r="AI774" s="5"/>
      <c r="AJ774" s="5"/>
    </row>
    <row r="775" ht="30.0" customHeight="1">
      <c r="AH775" s="5"/>
      <c r="AI775" s="5"/>
      <c r="AJ775" s="5"/>
    </row>
    <row r="776" ht="30.0" customHeight="1">
      <c r="AH776" s="5"/>
      <c r="AI776" s="5"/>
      <c r="AJ776" s="5"/>
    </row>
    <row r="777" ht="30.0" customHeight="1">
      <c r="AH777" s="5"/>
      <c r="AI777" s="5"/>
      <c r="AJ777" s="5"/>
    </row>
    <row r="778" ht="30.0" customHeight="1">
      <c r="AH778" s="5"/>
      <c r="AI778" s="5"/>
      <c r="AJ778" s="5"/>
    </row>
    <row r="779" ht="30.0" customHeight="1">
      <c r="AH779" s="5"/>
      <c r="AI779" s="5"/>
      <c r="AJ779" s="5"/>
    </row>
    <row r="780" ht="30.0" customHeight="1">
      <c r="AH780" s="5"/>
      <c r="AI780" s="5"/>
      <c r="AJ780" s="5"/>
    </row>
    <row r="781" ht="30.0" customHeight="1">
      <c r="AH781" s="5"/>
      <c r="AI781" s="5"/>
      <c r="AJ781" s="5"/>
    </row>
    <row r="782" ht="30.0" customHeight="1">
      <c r="AH782" s="5"/>
      <c r="AI782" s="5"/>
      <c r="AJ782" s="5"/>
    </row>
    <row r="783" ht="30.0" customHeight="1">
      <c r="AH783" s="5"/>
      <c r="AI783" s="5"/>
      <c r="AJ783" s="5"/>
    </row>
    <row r="784" ht="30.0" customHeight="1">
      <c r="AH784" s="5"/>
      <c r="AI784" s="5"/>
      <c r="AJ784" s="5"/>
    </row>
    <row r="785" ht="30.0" customHeight="1">
      <c r="AH785" s="5"/>
      <c r="AI785" s="5"/>
      <c r="AJ785" s="5"/>
    </row>
    <row r="786" ht="30.0" customHeight="1">
      <c r="AH786" s="5"/>
      <c r="AI786" s="5"/>
      <c r="AJ786" s="5"/>
    </row>
    <row r="787" ht="30.0" customHeight="1">
      <c r="AH787" s="5"/>
      <c r="AI787" s="5"/>
      <c r="AJ787" s="5"/>
    </row>
    <row r="788" ht="30.0" customHeight="1">
      <c r="AH788" s="5"/>
      <c r="AI788" s="5"/>
      <c r="AJ788" s="5"/>
    </row>
    <row r="789" ht="30.0" customHeight="1">
      <c r="AH789" s="5"/>
      <c r="AI789" s="5"/>
      <c r="AJ789" s="5"/>
    </row>
    <row r="790" ht="30.0" customHeight="1">
      <c r="AH790" s="5"/>
      <c r="AI790" s="5"/>
      <c r="AJ790" s="5"/>
    </row>
    <row r="791" ht="30.0" customHeight="1">
      <c r="AH791" s="5"/>
      <c r="AI791" s="5"/>
      <c r="AJ791" s="5"/>
    </row>
    <row r="792" ht="30.0" customHeight="1">
      <c r="AH792" s="5"/>
      <c r="AI792" s="5"/>
      <c r="AJ792" s="5"/>
    </row>
    <row r="793" ht="30.0" customHeight="1">
      <c r="AH793" s="5"/>
      <c r="AI793" s="5"/>
      <c r="AJ793" s="5"/>
    </row>
    <row r="794" ht="30.0" customHeight="1">
      <c r="AH794" s="5"/>
      <c r="AI794" s="5"/>
      <c r="AJ794" s="5"/>
    </row>
    <row r="795" ht="30.0" customHeight="1">
      <c r="AH795" s="5"/>
      <c r="AI795" s="5"/>
      <c r="AJ795" s="5"/>
    </row>
    <row r="796" ht="30.0" customHeight="1">
      <c r="AH796" s="5"/>
      <c r="AI796" s="5"/>
      <c r="AJ796" s="5"/>
    </row>
    <row r="797" ht="30.0" customHeight="1">
      <c r="AH797" s="5"/>
      <c r="AI797" s="5"/>
      <c r="AJ797" s="5"/>
    </row>
    <row r="798" ht="30.0" customHeight="1">
      <c r="AH798" s="5"/>
      <c r="AI798" s="5"/>
      <c r="AJ798" s="5"/>
    </row>
    <row r="799" ht="30.0" customHeight="1">
      <c r="AH799" s="5"/>
      <c r="AI799" s="5"/>
      <c r="AJ799" s="5"/>
    </row>
    <row r="800" ht="30.0" customHeight="1">
      <c r="AH800" s="5"/>
      <c r="AI800" s="5"/>
      <c r="AJ800" s="5"/>
    </row>
    <row r="801" ht="30.0" customHeight="1">
      <c r="AH801" s="5"/>
      <c r="AI801" s="5"/>
      <c r="AJ801" s="5"/>
    </row>
    <row r="802" ht="30.0" customHeight="1">
      <c r="AH802" s="5"/>
      <c r="AI802" s="5"/>
      <c r="AJ802" s="5"/>
    </row>
    <row r="803" ht="30.0" customHeight="1">
      <c r="AH803" s="5"/>
      <c r="AI803" s="5"/>
      <c r="AJ803" s="5"/>
    </row>
    <row r="804" ht="30.0" customHeight="1">
      <c r="AH804" s="5"/>
      <c r="AI804" s="5"/>
      <c r="AJ804" s="5"/>
    </row>
    <row r="805" ht="30.0" customHeight="1">
      <c r="AH805" s="5"/>
      <c r="AI805" s="5"/>
      <c r="AJ805" s="5"/>
    </row>
    <row r="806" ht="30.0" customHeight="1">
      <c r="AH806" s="5"/>
      <c r="AI806" s="5"/>
      <c r="AJ806" s="5"/>
    </row>
    <row r="807" ht="30.0" customHeight="1">
      <c r="AH807" s="5"/>
      <c r="AI807" s="5"/>
      <c r="AJ807" s="5"/>
    </row>
    <row r="808" ht="30.0" customHeight="1">
      <c r="AH808" s="5"/>
      <c r="AI808" s="5"/>
      <c r="AJ808" s="5"/>
    </row>
    <row r="809" ht="30.0" customHeight="1">
      <c r="AH809" s="5"/>
      <c r="AI809" s="5"/>
      <c r="AJ809" s="5"/>
    </row>
    <row r="810" ht="30.0" customHeight="1">
      <c r="AH810" s="5"/>
      <c r="AI810" s="5"/>
      <c r="AJ810" s="5"/>
    </row>
    <row r="811" ht="30.0" customHeight="1">
      <c r="AH811" s="5"/>
      <c r="AI811" s="5"/>
      <c r="AJ811" s="5"/>
    </row>
    <row r="812" ht="30.0" customHeight="1">
      <c r="AH812" s="5"/>
      <c r="AI812" s="5"/>
      <c r="AJ812" s="5"/>
    </row>
    <row r="813" ht="30.0" customHeight="1">
      <c r="AH813" s="5"/>
      <c r="AI813" s="5"/>
      <c r="AJ813" s="5"/>
    </row>
    <row r="814" ht="30.0" customHeight="1">
      <c r="AH814" s="5"/>
      <c r="AI814" s="5"/>
      <c r="AJ814" s="5"/>
    </row>
    <row r="815" ht="30.0" customHeight="1">
      <c r="AH815" s="5"/>
      <c r="AI815" s="5"/>
      <c r="AJ815" s="5"/>
    </row>
    <row r="816" ht="30.0" customHeight="1">
      <c r="AH816" s="5"/>
      <c r="AI816" s="5"/>
      <c r="AJ816" s="5"/>
    </row>
    <row r="817" ht="30.0" customHeight="1">
      <c r="AH817" s="5"/>
      <c r="AI817" s="5"/>
      <c r="AJ817" s="5"/>
    </row>
    <row r="818" ht="30.0" customHeight="1">
      <c r="AH818" s="5"/>
      <c r="AI818" s="5"/>
      <c r="AJ818" s="5"/>
    </row>
    <row r="819" ht="30.0" customHeight="1">
      <c r="AH819" s="5"/>
      <c r="AI819" s="5"/>
      <c r="AJ819" s="5"/>
    </row>
    <row r="820" ht="30.0" customHeight="1">
      <c r="AH820" s="5"/>
      <c r="AI820" s="5"/>
      <c r="AJ820" s="5"/>
    </row>
    <row r="821" ht="30.0" customHeight="1">
      <c r="AH821" s="5"/>
      <c r="AI821" s="5"/>
      <c r="AJ821" s="5"/>
    </row>
    <row r="822" ht="30.0" customHeight="1">
      <c r="AH822" s="5"/>
      <c r="AI822" s="5"/>
      <c r="AJ822" s="5"/>
    </row>
    <row r="823" ht="30.0" customHeight="1">
      <c r="AH823" s="5"/>
      <c r="AI823" s="5"/>
      <c r="AJ823" s="5"/>
    </row>
    <row r="824" ht="30.0" customHeight="1">
      <c r="AH824" s="5"/>
      <c r="AI824" s="5"/>
      <c r="AJ824" s="5"/>
    </row>
    <row r="825" ht="30.0" customHeight="1">
      <c r="AH825" s="5"/>
      <c r="AI825" s="5"/>
      <c r="AJ825" s="5"/>
    </row>
    <row r="826" ht="30.0" customHeight="1">
      <c r="AH826" s="5"/>
      <c r="AI826" s="5"/>
      <c r="AJ826" s="5"/>
    </row>
    <row r="827" ht="30.0" customHeight="1">
      <c r="AH827" s="5"/>
      <c r="AI827" s="5"/>
      <c r="AJ827" s="5"/>
    </row>
    <row r="828" ht="30.0" customHeight="1">
      <c r="AH828" s="5"/>
      <c r="AI828" s="5"/>
      <c r="AJ828" s="5"/>
    </row>
    <row r="829" ht="30.0" customHeight="1">
      <c r="AH829" s="5"/>
      <c r="AI829" s="5"/>
      <c r="AJ829" s="5"/>
    </row>
    <row r="830" ht="30.0" customHeight="1">
      <c r="AH830" s="5"/>
      <c r="AI830" s="5"/>
      <c r="AJ830" s="5"/>
    </row>
    <row r="831" ht="30.0" customHeight="1">
      <c r="AH831" s="5"/>
      <c r="AI831" s="5"/>
      <c r="AJ831" s="5"/>
    </row>
    <row r="832" ht="30.0" customHeight="1">
      <c r="AH832" s="5"/>
      <c r="AI832" s="5"/>
      <c r="AJ832" s="5"/>
    </row>
    <row r="833" ht="30.0" customHeight="1">
      <c r="AH833" s="5"/>
      <c r="AI833" s="5"/>
      <c r="AJ833" s="5"/>
    </row>
    <row r="834" ht="30.0" customHeight="1">
      <c r="AH834" s="5"/>
      <c r="AI834" s="5"/>
      <c r="AJ834" s="5"/>
    </row>
    <row r="835" ht="30.0" customHeight="1">
      <c r="AH835" s="5"/>
      <c r="AI835" s="5"/>
      <c r="AJ835" s="5"/>
    </row>
    <row r="836" ht="30.0" customHeight="1">
      <c r="AH836" s="5"/>
      <c r="AI836" s="5"/>
      <c r="AJ836" s="5"/>
    </row>
    <row r="837" ht="30.0" customHeight="1">
      <c r="AH837" s="5"/>
      <c r="AI837" s="5"/>
      <c r="AJ837" s="5"/>
    </row>
    <row r="838" ht="30.0" customHeight="1">
      <c r="AH838" s="5"/>
      <c r="AI838" s="5"/>
      <c r="AJ838" s="5"/>
    </row>
    <row r="839" ht="30.0" customHeight="1">
      <c r="AH839" s="5"/>
      <c r="AI839" s="5"/>
      <c r="AJ839" s="5"/>
    </row>
    <row r="840" ht="30.0" customHeight="1">
      <c r="AH840" s="5"/>
      <c r="AI840" s="5"/>
      <c r="AJ840" s="5"/>
    </row>
    <row r="841" ht="30.0" customHeight="1">
      <c r="AH841" s="5"/>
      <c r="AI841" s="5"/>
      <c r="AJ841" s="5"/>
    </row>
    <row r="842" ht="30.0" customHeight="1">
      <c r="AH842" s="5"/>
      <c r="AI842" s="5"/>
      <c r="AJ842" s="5"/>
    </row>
    <row r="843" ht="30.0" customHeight="1">
      <c r="AH843" s="5"/>
      <c r="AI843" s="5"/>
      <c r="AJ843" s="5"/>
    </row>
    <row r="844" ht="30.0" customHeight="1">
      <c r="AH844" s="5"/>
      <c r="AI844" s="5"/>
      <c r="AJ844" s="5"/>
    </row>
    <row r="845" ht="30.0" customHeight="1">
      <c r="AH845" s="5"/>
      <c r="AI845" s="5"/>
      <c r="AJ845" s="5"/>
    </row>
    <row r="846" ht="30.0" customHeight="1">
      <c r="AH846" s="5"/>
      <c r="AI846" s="5"/>
      <c r="AJ846" s="5"/>
    </row>
    <row r="847" ht="30.0" customHeight="1">
      <c r="AH847" s="5"/>
      <c r="AI847" s="5"/>
      <c r="AJ847" s="5"/>
    </row>
    <row r="848" ht="30.0" customHeight="1">
      <c r="AH848" s="5"/>
      <c r="AI848" s="5"/>
      <c r="AJ848" s="5"/>
    </row>
    <row r="849" ht="30.0" customHeight="1">
      <c r="AH849" s="5"/>
      <c r="AI849" s="5"/>
      <c r="AJ849" s="5"/>
    </row>
    <row r="850" ht="30.0" customHeight="1">
      <c r="AH850" s="5"/>
      <c r="AI850" s="5"/>
      <c r="AJ850" s="5"/>
    </row>
    <row r="851" ht="30.0" customHeight="1">
      <c r="AH851" s="5"/>
      <c r="AI851" s="5"/>
      <c r="AJ851" s="5"/>
    </row>
    <row r="852" ht="30.0" customHeight="1">
      <c r="AH852" s="5"/>
      <c r="AI852" s="5"/>
      <c r="AJ852" s="5"/>
    </row>
    <row r="853" ht="30.0" customHeight="1">
      <c r="AH853" s="5"/>
      <c r="AI853" s="5"/>
      <c r="AJ853" s="5"/>
    </row>
    <row r="854" ht="30.0" customHeight="1">
      <c r="AH854" s="5"/>
      <c r="AI854" s="5"/>
      <c r="AJ854" s="5"/>
    </row>
    <row r="855" ht="30.0" customHeight="1">
      <c r="AH855" s="5"/>
      <c r="AI855" s="5"/>
      <c r="AJ855" s="5"/>
    </row>
    <row r="856" ht="30.0" customHeight="1">
      <c r="AH856" s="5"/>
      <c r="AI856" s="5"/>
      <c r="AJ856" s="5"/>
    </row>
    <row r="857" ht="30.0" customHeight="1">
      <c r="AH857" s="5"/>
      <c r="AI857" s="5"/>
      <c r="AJ857" s="5"/>
    </row>
    <row r="858" ht="30.0" customHeight="1">
      <c r="AH858" s="5"/>
      <c r="AI858" s="5"/>
      <c r="AJ858" s="5"/>
    </row>
    <row r="859" ht="30.0" customHeight="1">
      <c r="AH859" s="5"/>
      <c r="AI859" s="5"/>
      <c r="AJ859" s="5"/>
    </row>
    <row r="860" ht="30.0" customHeight="1">
      <c r="AH860" s="5"/>
      <c r="AI860" s="5"/>
      <c r="AJ860" s="5"/>
    </row>
    <row r="861" ht="30.0" customHeight="1">
      <c r="AH861" s="5"/>
      <c r="AI861" s="5"/>
      <c r="AJ861" s="5"/>
    </row>
    <row r="862" ht="30.0" customHeight="1">
      <c r="AH862" s="5"/>
      <c r="AI862" s="5"/>
      <c r="AJ862" s="5"/>
    </row>
    <row r="863" ht="30.0" customHeight="1">
      <c r="AH863" s="5"/>
      <c r="AI863" s="5"/>
      <c r="AJ863" s="5"/>
    </row>
    <row r="864" ht="30.0" customHeight="1">
      <c r="AH864" s="5"/>
      <c r="AI864" s="5"/>
      <c r="AJ864" s="5"/>
    </row>
    <row r="865" ht="30.0" customHeight="1">
      <c r="AH865" s="5"/>
      <c r="AI865" s="5"/>
      <c r="AJ865" s="5"/>
    </row>
    <row r="866" ht="30.0" customHeight="1">
      <c r="AH866" s="5"/>
      <c r="AI866" s="5"/>
      <c r="AJ866" s="5"/>
    </row>
    <row r="867" ht="30.0" customHeight="1">
      <c r="AH867" s="5"/>
      <c r="AI867" s="5"/>
      <c r="AJ867" s="5"/>
    </row>
    <row r="868" ht="30.0" customHeight="1">
      <c r="AH868" s="5"/>
      <c r="AI868" s="5"/>
      <c r="AJ868" s="5"/>
    </row>
    <row r="869" ht="30.0" customHeight="1">
      <c r="AH869" s="5"/>
      <c r="AI869" s="5"/>
      <c r="AJ869" s="5"/>
    </row>
    <row r="870" ht="30.0" customHeight="1">
      <c r="AH870" s="5"/>
      <c r="AI870" s="5"/>
      <c r="AJ870" s="5"/>
    </row>
    <row r="871" ht="30.0" customHeight="1">
      <c r="AH871" s="5"/>
      <c r="AI871" s="5"/>
      <c r="AJ871" s="5"/>
    </row>
    <row r="872" ht="30.0" customHeight="1">
      <c r="AH872" s="5"/>
      <c r="AI872" s="5"/>
      <c r="AJ872" s="5"/>
    </row>
    <row r="873" ht="30.0" customHeight="1">
      <c r="AH873" s="5"/>
      <c r="AI873" s="5"/>
      <c r="AJ873" s="5"/>
    </row>
    <row r="874" ht="30.0" customHeight="1">
      <c r="AH874" s="5"/>
      <c r="AI874" s="5"/>
      <c r="AJ874" s="5"/>
    </row>
    <row r="875" ht="30.0" customHeight="1">
      <c r="AH875" s="5"/>
      <c r="AI875" s="5"/>
      <c r="AJ875" s="5"/>
    </row>
    <row r="876" ht="30.0" customHeight="1">
      <c r="AH876" s="5"/>
      <c r="AI876" s="5"/>
      <c r="AJ876" s="5"/>
    </row>
    <row r="877" ht="30.0" customHeight="1">
      <c r="AH877" s="5"/>
      <c r="AI877" s="5"/>
      <c r="AJ877" s="5"/>
    </row>
    <row r="878" ht="30.0" customHeight="1">
      <c r="AH878" s="5"/>
      <c r="AI878" s="5"/>
      <c r="AJ878" s="5"/>
    </row>
    <row r="879" ht="30.0" customHeight="1">
      <c r="AH879" s="5"/>
      <c r="AI879" s="5"/>
      <c r="AJ879" s="5"/>
    </row>
    <row r="880" ht="30.0" customHeight="1">
      <c r="AH880" s="5"/>
      <c r="AI880" s="5"/>
      <c r="AJ880" s="5"/>
    </row>
    <row r="881" ht="30.0" customHeight="1">
      <c r="AH881" s="5"/>
      <c r="AI881" s="5"/>
      <c r="AJ881" s="5"/>
    </row>
    <row r="882" ht="30.0" customHeight="1">
      <c r="AH882" s="5"/>
      <c r="AI882" s="5"/>
      <c r="AJ882" s="5"/>
    </row>
    <row r="883" ht="30.0" customHeight="1">
      <c r="AH883" s="5"/>
      <c r="AI883" s="5"/>
      <c r="AJ883" s="5"/>
    </row>
    <row r="884" ht="30.0" customHeight="1">
      <c r="AH884" s="5"/>
      <c r="AI884" s="5"/>
      <c r="AJ884" s="5"/>
    </row>
    <row r="885" ht="30.0" customHeight="1">
      <c r="AH885" s="5"/>
      <c r="AI885" s="5"/>
      <c r="AJ885" s="5"/>
    </row>
    <row r="886" ht="30.0" customHeight="1">
      <c r="AH886" s="5"/>
      <c r="AI886" s="5"/>
      <c r="AJ886" s="5"/>
    </row>
    <row r="887" ht="30.0" customHeight="1">
      <c r="AH887" s="5"/>
      <c r="AI887" s="5"/>
      <c r="AJ887" s="5"/>
    </row>
    <row r="888" ht="30.0" customHeight="1">
      <c r="AH888" s="5"/>
      <c r="AI888" s="5"/>
      <c r="AJ888" s="5"/>
    </row>
    <row r="889" ht="30.0" customHeight="1">
      <c r="AH889" s="5"/>
      <c r="AI889" s="5"/>
      <c r="AJ889" s="5"/>
    </row>
    <row r="890" ht="30.0" customHeight="1">
      <c r="AH890" s="5"/>
      <c r="AI890" s="5"/>
      <c r="AJ890" s="5"/>
    </row>
    <row r="891" ht="30.0" customHeight="1">
      <c r="AH891" s="5"/>
      <c r="AI891" s="5"/>
      <c r="AJ891" s="5"/>
    </row>
    <row r="892" ht="30.0" customHeight="1">
      <c r="AH892" s="5"/>
      <c r="AI892" s="5"/>
      <c r="AJ892" s="5"/>
    </row>
    <row r="893" ht="30.0" customHeight="1">
      <c r="AH893" s="5"/>
      <c r="AI893" s="5"/>
      <c r="AJ893" s="5"/>
    </row>
    <row r="894" ht="30.0" customHeight="1">
      <c r="AH894" s="5"/>
      <c r="AI894" s="5"/>
      <c r="AJ894" s="5"/>
    </row>
    <row r="895" ht="30.0" customHeight="1">
      <c r="AH895" s="5"/>
      <c r="AI895" s="5"/>
      <c r="AJ895" s="5"/>
    </row>
    <row r="896" ht="30.0" customHeight="1">
      <c r="AH896" s="5"/>
      <c r="AI896" s="5"/>
      <c r="AJ896" s="5"/>
    </row>
    <row r="897" ht="30.0" customHeight="1">
      <c r="AH897" s="5"/>
      <c r="AI897" s="5"/>
      <c r="AJ897" s="5"/>
    </row>
    <row r="898" ht="30.0" customHeight="1">
      <c r="AH898" s="5"/>
      <c r="AI898" s="5"/>
      <c r="AJ898" s="5"/>
    </row>
    <row r="899" ht="30.0" customHeight="1">
      <c r="AH899" s="5"/>
      <c r="AI899" s="5"/>
      <c r="AJ899" s="5"/>
    </row>
    <row r="900" ht="30.0" customHeight="1">
      <c r="AH900" s="5"/>
      <c r="AI900" s="5"/>
      <c r="AJ900" s="5"/>
    </row>
    <row r="901" ht="30.0" customHeight="1">
      <c r="AH901" s="5"/>
      <c r="AI901" s="5"/>
      <c r="AJ901" s="5"/>
    </row>
    <row r="902" ht="30.0" customHeight="1">
      <c r="AH902" s="5"/>
      <c r="AI902" s="5"/>
      <c r="AJ902" s="5"/>
    </row>
    <row r="903" ht="30.0" customHeight="1">
      <c r="AH903" s="5"/>
      <c r="AI903" s="5"/>
      <c r="AJ903" s="5"/>
    </row>
    <row r="904" ht="30.0" customHeight="1">
      <c r="AH904" s="5"/>
      <c r="AI904" s="5"/>
      <c r="AJ904" s="5"/>
    </row>
    <row r="905" ht="30.0" customHeight="1">
      <c r="AH905" s="5"/>
      <c r="AI905" s="5"/>
      <c r="AJ905" s="5"/>
    </row>
    <row r="906" ht="30.0" customHeight="1">
      <c r="AH906" s="5"/>
      <c r="AI906" s="5"/>
      <c r="AJ906" s="5"/>
    </row>
    <row r="907" ht="30.0" customHeight="1">
      <c r="AH907" s="5"/>
      <c r="AI907" s="5"/>
      <c r="AJ907" s="5"/>
    </row>
    <row r="908" ht="30.0" customHeight="1">
      <c r="AH908" s="5"/>
      <c r="AI908" s="5"/>
      <c r="AJ908" s="5"/>
    </row>
    <row r="909" ht="30.0" customHeight="1">
      <c r="AH909" s="5"/>
      <c r="AI909" s="5"/>
      <c r="AJ909" s="5"/>
    </row>
    <row r="910" ht="30.0" customHeight="1">
      <c r="AH910" s="5"/>
      <c r="AI910" s="5"/>
      <c r="AJ910" s="5"/>
    </row>
    <row r="911" ht="30.0" customHeight="1">
      <c r="AH911" s="5"/>
      <c r="AI911" s="5"/>
      <c r="AJ911" s="5"/>
    </row>
    <row r="912" ht="30.0" customHeight="1">
      <c r="AH912" s="5"/>
      <c r="AI912" s="5"/>
      <c r="AJ912" s="5"/>
    </row>
    <row r="913" ht="30.0" customHeight="1">
      <c r="AH913" s="5"/>
      <c r="AI913" s="5"/>
      <c r="AJ913" s="5"/>
    </row>
    <row r="914" ht="30.0" customHeight="1">
      <c r="AH914" s="5"/>
      <c r="AI914" s="5"/>
      <c r="AJ914" s="5"/>
    </row>
    <row r="915" ht="30.0" customHeight="1">
      <c r="AH915" s="5"/>
      <c r="AI915" s="5"/>
      <c r="AJ915" s="5"/>
    </row>
    <row r="916" ht="30.0" customHeight="1">
      <c r="AH916" s="5"/>
      <c r="AI916" s="5"/>
      <c r="AJ916" s="5"/>
    </row>
    <row r="917" ht="30.0" customHeight="1">
      <c r="AH917" s="5"/>
      <c r="AI917" s="5"/>
      <c r="AJ917" s="5"/>
    </row>
    <row r="918" ht="30.0" customHeight="1">
      <c r="AH918" s="5"/>
      <c r="AI918" s="5"/>
      <c r="AJ918" s="5"/>
    </row>
    <row r="919" ht="30.0" customHeight="1">
      <c r="AH919" s="5"/>
      <c r="AI919" s="5"/>
      <c r="AJ919" s="5"/>
    </row>
    <row r="920" ht="30.0" customHeight="1">
      <c r="AH920" s="5"/>
      <c r="AI920" s="5"/>
      <c r="AJ920" s="5"/>
    </row>
    <row r="921" ht="30.0" customHeight="1">
      <c r="AH921" s="5"/>
      <c r="AI921" s="5"/>
      <c r="AJ921" s="5"/>
    </row>
    <row r="922" ht="30.0" customHeight="1">
      <c r="AH922" s="5"/>
      <c r="AI922" s="5"/>
      <c r="AJ922" s="5"/>
    </row>
    <row r="923" ht="30.0" customHeight="1">
      <c r="AH923" s="5"/>
      <c r="AI923" s="5"/>
      <c r="AJ923" s="5"/>
    </row>
    <row r="924" ht="30.0" customHeight="1">
      <c r="AH924" s="5"/>
      <c r="AI924" s="5"/>
      <c r="AJ924" s="5"/>
    </row>
    <row r="925" ht="30.0" customHeight="1">
      <c r="AH925" s="5"/>
      <c r="AI925" s="5"/>
      <c r="AJ925" s="5"/>
    </row>
    <row r="926" ht="30.0" customHeight="1">
      <c r="AH926" s="5"/>
      <c r="AI926" s="5"/>
      <c r="AJ926" s="5"/>
    </row>
    <row r="927" ht="30.0" customHeight="1">
      <c r="AH927" s="5"/>
      <c r="AI927" s="5"/>
      <c r="AJ927" s="5"/>
    </row>
    <row r="928" ht="30.0" customHeight="1">
      <c r="AH928" s="5"/>
      <c r="AI928" s="5"/>
      <c r="AJ928" s="5"/>
    </row>
    <row r="929" ht="30.0" customHeight="1">
      <c r="AH929" s="5"/>
      <c r="AI929" s="5"/>
      <c r="AJ929" s="5"/>
    </row>
    <row r="930" ht="30.0" customHeight="1">
      <c r="AH930" s="5"/>
      <c r="AI930" s="5"/>
      <c r="AJ930" s="5"/>
    </row>
    <row r="931" ht="30.0" customHeight="1">
      <c r="AH931" s="5"/>
      <c r="AI931" s="5"/>
      <c r="AJ931" s="5"/>
    </row>
    <row r="932" ht="30.0" customHeight="1">
      <c r="AH932" s="5"/>
      <c r="AI932" s="5"/>
      <c r="AJ932" s="5"/>
    </row>
    <row r="933" ht="30.0" customHeight="1">
      <c r="AH933" s="5"/>
      <c r="AI933" s="5"/>
      <c r="AJ933" s="5"/>
    </row>
    <row r="934" ht="30.0" customHeight="1">
      <c r="AH934" s="5"/>
      <c r="AI934" s="5"/>
      <c r="AJ934" s="5"/>
    </row>
    <row r="935" ht="30.0" customHeight="1">
      <c r="AH935" s="5"/>
      <c r="AI935" s="5"/>
      <c r="AJ935" s="5"/>
    </row>
    <row r="936" ht="30.0" customHeight="1">
      <c r="AH936" s="5"/>
      <c r="AI936" s="5"/>
      <c r="AJ936" s="5"/>
    </row>
    <row r="937" ht="30.0" customHeight="1">
      <c r="AH937" s="5"/>
      <c r="AI937" s="5"/>
      <c r="AJ937" s="5"/>
    </row>
    <row r="938" ht="30.0" customHeight="1">
      <c r="AH938" s="5"/>
      <c r="AI938" s="5"/>
      <c r="AJ938" s="5"/>
    </row>
    <row r="939" ht="30.0" customHeight="1">
      <c r="AH939" s="5"/>
      <c r="AI939" s="5"/>
      <c r="AJ939" s="5"/>
    </row>
    <row r="940" ht="30.0" customHeight="1">
      <c r="AH940" s="5"/>
      <c r="AI940" s="5"/>
      <c r="AJ940" s="5"/>
    </row>
    <row r="941" ht="30.0" customHeight="1">
      <c r="AH941" s="5"/>
      <c r="AI941" s="5"/>
      <c r="AJ941" s="5"/>
    </row>
    <row r="942" ht="30.0" customHeight="1">
      <c r="AH942" s="5"/>
      <c r="AI942" s="5"/>
      <c r="AJ942" s="5"/>
    </row>
    <row r="943" ht="30.0" customHeight="1">
      <c r="AH943" s="5"/>
      <c r="AI943" s="5"/>
      <c r="AJ943" s="5"/>
    </row>
    <row r="944" ht="30.0" customHeight="1">
      <c r="AH944" s="5"/>
      <c r="AI944" s="5"/>
      <c r="AJ944" s="5"/>
    </row>
    <row r="945" ht="30.0" customHeight="1">
      <c r="AH945" s="5"/>
      <c r="AI945" s="5"/>
      <c r="AJ945" s="5"/>
    </row>
    <row r="946" ht="30.0" customHeight="1">
      <c r="AH946" s="5"/>
      <c r="AI946" s="5"/>
      <c r="AJ946" s="5"/>
    </row>
    <row r="947" ht="30.0" customHeight="1">
      <c r="AH947" s="5"/>
      <c r="AI947" s="5"/>
      <c r="AJ947" s="5"/>
    </row>
    <row r="948" ht="30.0" customHeight="1">
      <c r="AH948" s="5"/>
      <c r="AI948" s="5"/>
      <c r="AJ948" s="5"/>
    </row>
    <row r="949" ht="30.0" customHeight="1">
      <c r="AH949" s="5"/>
      <c r="AI949" s="5"/>
      <c r="AJ949" s="5"/>
    </row>
    <row r="950" ht="30.0" customHeight="1">
      <c r="AH950" s="5"/>
      <c r="AI950" s="5"/>
      <c r="AJ950" s="5"/>
    </row>
    <row r="951" ht="30.0" customHeight="1">
      <c r="AH951" s="5"/>
      <c r="AI951" s="5"/>
      <c r="AJ951" s="5"/>
    </row>
    <row r="952" ht="30.0" customHeight="1">
      <c r="AH952" s="5"/>
      <c r="AI952" s="5"/>
      <c r="AJ952" s="5"/>
    </row>
    <row r="953" ht="30.0" customHeight="1">
      <c r="AH953" s="5"/>
      <c r="AI953" s="5"/>
      <c r="AJ953" s="5"/>
    </row>
    <row r="954" ht="30.0" customHeight="1">
      <c r="AH954" s="5"/>
      <c r="AI954" s="5"/>
      <c r="AJ954" s="5"/>
    </row>
    <row r="955" ht="30.0" customHeight="1">
      <c r="AH955" s="5"/>
      <c r="AI955" s="5"/>
      <c r="AJ955" s="5"/>
    </row>
    <row r="956" ht="30.0" customHeight="1">
      <c r="AH956" s="5"/>
      <c r="AI956" s="5"/>
      <c r="AJ956" s="5"/>
    </row>
    <row r="957" ht="30.0" customHeight="1">
      <c r="AH957" s="5"/>
      <c r="AI957" s="5"/>
      <c r="AJ957" s="5"/>
    </row>
    <row r="958" ht="30.0" customHeight="1">
      <c r="AH958" s="5"/>
      <c r="AI958" s="5"/>
      <c r="AJ958" s="5"/>
    </row>
    <row r="959" ht="30.0" customHeight="1">
      <c r="AH959" s="5"/>
      <c r="AI959" s="5"/>
      <c r="AJ959" s="5"/>
    </row>
    <row r="960" ht="30.0" customHeight="1">
      <c r="AH960" s="5"/>
      <c r="AI960" s="5"/>
      <c r="AJ960" s="5"/>
    </row>
    <row r="961" ht="30.0" customHeight="1">
      <c r="AH961" s="5"/>
      <c r="AI961" s="5"/>
      <c r="AJ961" s="5"/>
    </row>
    <row r="962" ht="30.0" customHeight="1">
      <c r="AH962" s="5"/>
      <c r="AI962" s="5"/>
      <c r="AJ962" s="5"/>
    </row>
    <row r="963" ht="30.0" customHeight="1">
      <c r="AH963" s="5"/>
      <c r="AI963" s="5"/>
      <c r="AJ963" s="5"/>
    </row>
    <row r="964" ht="30.0" customHeight="1">
      <c r="AH964" s="5"/>
      <c r="AI964" s="5"/>
      <c r="AJ964" s="5"/>
    </row>
    <row r="965" ht="30.0" customHeight="1">
      <c r="AH965" s="5"/>
      <c r="AI965" s="5"/>
      <c r="AJ965" s="5"/>
    </row>
    <row r="966" ht="30.0" customHeight="1">
      <c r="AH966" s="5"/>
      <c r="AI966" s="5"/>
      <c r="AJ966" s="5"/>
    </row>
    <row r="967" ht="30.0" customHeight="1">
      <c r="AH967" s="5"/>
      <c r="AI967" s="5"/>
      <c r="AJ967" s="5"/>
    </row>
    <row r="968" ht="30.0" customHeight="1">
      <c r="AH968" s="5"/>
      <c r="AI968" s="5"/>
      <c r="AJ968" s="5"/>
    </row>
    <row r="969" ht="30.0" customHeight="1">
      <c r="AH969" s="5"/>
      <c r="AI969" s="5"/>
      <c r="AJ969" s="5"/>
    </row>
    <row r="970" ht="30.0" customHeight="1">
      <c r="AH970" s="5"/>
      <c r="AI970" s="5"/>
      <c r="AJ970" s="5"/>
    </row>
    <row r="971" ht="30.0" customHeight="1">
      <c r="AH971" s="5"/>
      <c r="AI971" s="5"/>
      <c r="AJ971" s="5"/>
    </row>
    <row r="972" ht="30.0" customHeight="1">
      <c r="AH972" s="5"/>
      <c r="AI972" s="5"/>
      <c r="AJ972" s="5"/>
    </row>
    <row r="973" ht="30.0" customHeight="1">
      <c r="AH973" s="5"/>
      <c r="AI973" s="5"/>
      <c r="AJ973" s="5"/>
    </row>
    <row r="974" ht="30.0" customHeight="1">
      <c r="AH974" s="5"/>
      <c r="AI974" s="5"/>
      <c r="AJ974" s="5"/>
    </row>
    <row r="975" ht="30.0" customHeight="1">
      <c r="AH975" s="5"/>
      <c r="AI975" s="5"/>
      <c r="AJ975" s="5"/>
    </row>
    <row r="976" ht="30.0" customHeight="1">
      <c r="AH976" s="5"/>
      <c r="AI976" s="5"/>
      <c r="AJ976" s="5"/>
    </row>
    <row r="977" ht="30.0" customHeight="1">
      <c r="AH977" s="5"/>
      <c r="AI977" s="5"/>
      <c r="AJ977" s="5"/>
    </row>
    <row r="978" ht="30.0" customHeight="1">
      <c r="AH978" s="5"/>
      <c r="AI978" s="5"/>
      <c r="AJ978" s="5"/>
    </row>
    <row r="979" ht="30.0" customHeight="1">
      <c r="AH979" s="5"/>
      <c r="AI979" s="5"/>
      <c r="AJ979" s="5"/>
    </row>
    <row r="980" ht="30.0" customHeight="1">
      <c r="AH980" s="5"/>
      <c r="AI980" s="5"/>
      <c r="AJ980" s="5"/>
    </row>
    <row r="981" ht="30.0" customHeight="1">
      <c r="AH981" s="5"/>
      <c r="AI981" s="5"/>
      <c r="AJ981" s="5"/>
    </row>
    <row r="982" ht="30.0" customHeight="1">
      <c r="AH982" s="5"/>
      <c r="AI982" s="5"/>
      <c r="AJ982" s="5"/>
    </row>
    <row r="983" ht="30.0" customHeight="1">
      <c r="AH983" s="5"/>
      <c r="AI983" s="5"/>
      <c r="AJ983" s="5"/>
    </row>
    <row r="984" ht="30.0" customHeight="1">
      <c r="AH984" s="5"/>
      <c r="AI984" s="5"/>
      <c r="AJ984" s="5"/>
    </row>
    <row r="985" ht="30.0" customHeight="1">
      <c r="AH985" s="5"/>
      <c r="AI985" s="5"/>
      <c r="AJ985" s="5"/>
    </row>
    <row r="986" ht="30.0" customHeight="1">
      <c r="AH986" s="5"/>
      <c r="AI986" s="5"/>
      <c r="AJ986" s="5"/>
    </row>
    <row r="987" ht="30.0" customHeight="1">
      <c r="AH987" s="5"/>
      <c r="AI987" s="5"/>
      <c r="AJ987" s="5"/>
    </row>
    <row r="988" ht="30.0" customHeight="1">
      <c r="AH988" s="5"/>
      <c r="AI988" s="5"/>
      <c r="AJ988" s="5"/>
    </row>
    <row r="989" ht="30.0" customHeight="1">
      <c r="AH989" s="5"/>
      <c r="AI989" s="5"/>
      <c r="AJ989" s="5"/>
    </row>
    <row r="990" ht="30.0" customHeight="1">
      <c r="AH990" s="5"/>
      <c r="AI990" s="5"/>
      <c r="AJ990" s="5"/>
    </row>
    <row r="991" ht="30.0" customHeight="1">
      <c r="AH991" s="5"/>
      <c r="AI991" s="5"/>
      <c r="AJ991" s="5"/>
    </row>
    <row r="992" ht="30.0" customHeight="1">
      <c r="AH992" s="5"/>
      <c r="AI992" s="5"/>
      <c r="AJ992" s="5"/>
    </row>
    <row r="993" ht="30.0" customHeight="1">
      <c r="AH993" s="5"/>
      <c r="AI993" s="5"/>
      <c r="AJ993" s="5"/>
    </row>
    <row r="994" ht="30.0" customHeight="1">
      <c r="AH994" s="5"/>
      <c r="AI994" s="5"/>
      <c r="AJ994" s="5"/>
    </row>
    <row r="995" ht="30.0" customHeight="1">
      <c r="AH995" s="5"/>
      <c r="AI995" s="5"/>
      <c r="AJ995" s="5"/>
    </row>
    <row r="996" ht="30.0" customHeight="1">
      <c r="AH996" s="5"/>
      <c r="AI996" s="5"/>
      <c r="AJ996" s="5"/>
    </row>
    <row r="997" ht="30.0" customHeight="1">
      <c r="AH997" s="5"/>
      <c r="AI997" s="5"/>
      <c r="AJ997" s="5"/>
    </row>
    <row r="998" ht="30.0" customHeight="1">
      <c r="AH998" s="5"/>
      <c r="AI998" s="5"/>
      <c r="AJ998" s="5"/>
    </row>
    <row r="999" ht="30.0" customHeight="1">
      <c r="AH999" s="5"/>
      <c r="AI999" s="5"/>
      <c r="AJ999" s="5"/>
    </row>
    <row r="1000" ht="30.0" customHeight="1">
      <c r="AH1000" s="5"/>
      <c r="AI1000" s="5"/>
      <c r="AJ1000" s="5"/>
    </row>
    <row r="1001" ht="30.0" customHeight="1">
      <c r="AH1001" s="5"/>
      <c r="AI1001" s="5"/>
      <c r="AJ1001" s="5"/>
    </row>
    <row r="1002" ht="30.0" customHeight="1">
      <c r="AH1002" s="5"/>
      <c r="AI1002" s="5"/>
      <c r="AJ1002" s="5"/>
    </row>
    <row r="1003" ht="30.0" customHeight="1">
      <c r="AH1003" s="5"/>
      <c r="AI1003" s="5"/>
      <c r="AJ1003" s="5"/>
    </row>
    <row r="1004" ht="30.0" customHeight="1">
      <c r="AH1004" s="5"/>
      <c r="AI1004" s="5"/>
      <c r="AJ1004" s="5"/>
    </row>
    <row r="1005" ht="30.0" customHeight="1">
      <c r="AH1005" s="5"/>
      <c r="AI1005" s="5"/>
      <c r="AJ1005" s="5"/>
    </row>
    <row r="1006" ht="30.0" customHeight="1">
      <c r="AH1006" s="5"/>
      <c r="AI1006" s="5"/>
      <c r="AJ1006" s="5"/>
    </row>
    <row r="1007" ht="30.0" customHeight="1">
      <c r="AH1007" s="5"/>
      <c r="AI1007" s="5"/>
      <c r="AJ1007" s="5"/>
    </row>
    <row r="1008" ht="30.0" customHeight="1">
      <c r="AH1008" s="5"/>
      <c r="AI1008" s="5"/>
      <c r="AJ1008" s="5"/>
    </row>
    <row r="1009" ht="30.0" customHeight="1">
      <c r="AH1009" s="5"/>
      <c r="AI1009" s="5"/>
      <c r="AJ1009" s="5"/>
    </row>
    <row r="1010" ht="30.0" customHeight="1">
      <c r="AH1010" s="5"/>
      <c r="AI1010" s="5"/>
      <c r="AJ1010" s="5"/>
    </row>
    <row r="1011" ht="30.0" customHeight="1">
      <c r="AH1011" s="5"/>
      <c r="AI1011" s="5"/>
      <c r="AJ1011" s="5"/>
    </row>
    <row r="1012" ht="30.0" customHeight="1">
      <c r="AH1012" s="5"/>
      <c r="AI1012" s="5"/>
      <c r="AJ1012" s="5"/>
    </row>
    <row r="1013" ht="30.0" customHeight="1">
      <c r="AH1013" s="5"/>
      <c r="AI1013" s="5"/>
      <c r="AJ1013" s="5"/>
    </row>
    <row r="1014" ht="30.0" customHeight="1">
      <c r="AH1014" s="5"/>
      <c r="AI1014" s="5"/>
      <c r="AJ1014" s="5"/>
    </row>
    <row r="1015" ht="30.0" customHeight="1">
      <c r="AH1015" s="5"/>
      <c r="AI1015" s="5"/>
      <c r="AJ1015" s="5"/>
    </row>
    <row r="1016" ht="30.0" customHeight="1">
      <c r="AH1016" s="5"/>
      <c r="AI1016" s="5"/>
      <c r="AJ1016" s="5"/>
    </row>
    <row r="1017" ht="30.0" customHeight="1">
      <c r="AH1017" s="5"/>
      <c r="AI1017" s="5"/>
      <c r="AJ1017" s="5"/>
    </row>
    <row r="1018" ht="30.0" customHeight="1">
      <c r="AH1018" s="5"/>
      <c r="AI1018" s="5"/>
      <c r="AJ1018" s="5"/>
    </row>
    <row r="1019" ht="30.0" customHeight="1">
      <c r="AH1019" s="5"/>
      <c r="AI1019" s="5"/>
      <c r="AJ1019" s="5"/>
    </row>
    <row r="1020" ht="30.0" customHeight="1">
      <c r="AH1020" s="5"/>
      <c r="AI1020" s="5"/>
      <c r="AJ1020" s="5"/>
    </row>
    <row r="1021" ht="30.0" customHeight="1">
      <c r="AH1021" s="5"/>
      <c r="AI1021" s="5"/>
      <c r="AJ1021" s="5"/>
    </row>
    <row r="1022" ht="30.0" customHeight="1">
      <c r="AH1022" s="5"/>
      <c r="AI1022" s="5"/>
      <c r="AJ1022" s="5"/>
    </row>
    <row r="1023" ht="30.0" customHeight="1">
      <c r="AH1023" s="5"/>
      <c r="AI1023" s="5"/>
      <c r="AJ1023" s="5"/>
    </row>
    <row r="1024" ht="30.0" customHeight="1">
      <c r="AH1024" s="5"/>
      <c r="AI1024" s="5"/>
      <c r="AJ1024" s="5"/>
    </row>
    <row r="1025" ht="30.0" customHeight="1">
      <c r="AH1025" s="5"/>
      <c r="AI1025" s="5"/>
      <c r="AJ1025" s="5"/>
    </row>
    <row r="1026" ht="30.0" customHeight="1">
      <c r="AH1026" s="5"/>
      <c r="AI1026" s="5"/>
      <c r="AJ1026" s="5"/>
    </row>
    <row r="1027" ht="30.0" customHeight="1">
      <c r="AH1027" s="5"/>
      <c r="AI1027" s="5"/>
      <c r="AJ1027" s="5"/>
    </row>
    <row r="1028" ht="30.0" customHeight="1">
      <c r="AH1028" s="5"/>
      <c r="AI1028" s="5"/>
      <c r="AJ1028" s="5"/>
    </row>
    <row r="1029" ht="30.0" customHeight="1">
      <c r="AH1029" s="5"/>
      <c r="AI1029" s="5"/>
      <c r="AJ1029" s="5"/>
    </row>
    <row r="1030" ht="30.0" customHeight="1">
      <c r="AH1030" s="5"/>
      <c r="AI1030" s="5"/>
      <c r="AJ1030" s="5"/>
    </row>
    <row r="1031" ht="30.0" customHeight="1">
      <c r="AH1031" s="5"/>
      <c r="AI1031" s="5"/>
      <c r="AJ1031" s="5"/>
    </row>
    <row r="1032" ht="30.0" customHeight="1">
      <c r="AH1032" s="5"/>
      <c r="AI1032" s="5"/>
      <c r="AJ1032" s="5"/>
    </row>
    <row r="1033" ht="30.0" customHeight="1">
      <c r="AH1033" s="5"/>
      <c r="AI1033" s="5"/>
      <c r="AJ1033" s="5"/>
    </row>
    <row r="1034" ht="30.0" customHeight="1">
      <c r="AH1034" s="5"/>
      <c r="AI1034" s="5"/>
      <c r="AJ1034" s="5"/>
    </row>
    <row r="1035" ht="30.0" customHeight="1">
      <c r="AH1035" s="5"/>
      <c r="AI1035" s="5"/>
      <c r="AJ1035" s="5"/>
    </row>
    <row r="1036" ht="30.0" customHeight="1">
      <c r="AH1036" s="5"/>
      <c r="AI1036" s="5"/>
      <c r="AJ1036" s="5"/>
    </row>
    <row r="1037" ht="30.0" customHeight="1">
      <c r="AH1037" s="5"/>
      <c r="AI1037" s="5"/>
      <c r="AJ1037" s="5"/>
    </row>
  </sheetData>
  <mergeCells count="16">
    <mergeCell ref="B1:X1"/>
    <mergeCell ref="D2:F2"/>
    <mergeCell ref="H2:J2"/>
    <mergeCell ref="L2:N2"/>
    <mergeCell ref="P2:S2"/>
    <mergeCell ref="U2:X2"/>
    <mergeCell ref="C4:AG4"/>
    <mergeCell ref="C179:AG179"/>
    <mergeCell ref="C189:AG189"/>
    <mergeCell ref="C10:AG10"/>
    <mergeCell ref="C37:AG37"/>
    <mergeCell ref="C64:AG64"/>
    <mergeCell ref="C97:AG97"/>
    <mergeCell ref="C123:AG123"/>
    <mergeCell ref="C149:AG149"/>
    <mergeCell ref="C166:AG166"/>
  </mergeCells>
  <conditionalFormatting sqref="C7:AG7 N33 Q33 X33:Y33">
    <cfRule type="expression" dxfId="5" priority="1" stopIfTrue="1">
      <formula>C7=""</formula>
    </cfRule>
  </conditionalFormatting>
  <conditionalFormatting sqref="K7 N7 R7 T7 C33:AC33 AE33:AG33">
    <cfRule type="expression" dxfId="5" priority="2" stopIfTrue="1">
      <formula>#REF!=""</formula>
    </cfRule>
  </conditionalFormatting>
  <conditionalFormatting sqref="AH42:AI42">
    <cfRule type="expression" dxfId="5" priority="3" stopIfTrue="1">
      <formula>AH42=""</formula>
    </cfRule>
  </conditionalFormatting>
  <conditionalFormatting sqref="C94:H94 J94:K94 M94:W94 Y94:AD94 AF94:AG94">
    <cfRule type="expression" dxfId="5" priority="4" stopIfTrue="1">
      <formula>#REF!=""</formula>
    </cfRule>
  </conditionalFormatting>
  <conditionalFormatting sqref="C120:K120 N120:AG120 C162:L163 N162:AG163">
    <cfRule type="expression" dxfId="5" priority="5" stopIfTrue="1">
      <formula>#REF!=""</formula>
    </cfRule>
  </conditionalFormatting>
  <dataValidations>
    <dataValidation type="list" allowBlank="1" showErrorMessage="1" sqref="B7 B13:B33 B40:B59 B67:B94 B102:B120 B128:B144 B153:B163 B171:B176 B184:B186 B194:B196">
      <formula1>'Nombres de los alumnos '!$B$4:$B$1016</formula1>
    </dataValidation>
    <dataValidation type="list" allowBlank="1" showErrorMessage="1" sqref="B100:B101 B126:B127 B152 B169:B170 B182:B183 B192:B193">
      <formula1>'Nombres de los alumnos '!$B$4:$B$999999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1E11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3" width="4.71"/>
    <col customWidth="1" min="34" max="36" width="20.86"/>
  </cols>
  <sheetData>
    <row r="1" ht="49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AH1" s="5"/>
      <c r="AI1" s="5"/>
      <c r="AJ1" s="5"/>
    </row>
    <row r="2" ht="15.0" customHeight="1">
      <c r="B2" s="6" t="s">
        <v>1</v>
      </c>
      <c r="C2" s="7" t="s">
        <v>2</v>
      </c>
      <c r="D2" s="8" t="s">
        <v>3</v>
      </c>
      <c r="E2" s="3"/>
      <c r="F2" s="4"/>
      <c r="G2" s="9" t="s">
        <v>4</v>
      </c>
      <c r="H2" s="8" t="s">
        <v>5</v>
      </c>
      <c r="I2" s="3"/>
      <c r="J2" s="4"/>
      <c r="K2" s="10" t="s">
        <v>6</v>
      </c>
      <c r="L2" s="8" t="s">
        <v>7</v>
      </c>
      <c r="M2" s="3"/>
      <c r="N2" s="4"/>
      <c r="O2" s="11" t="s">
        <v>8</v>
      </c>
      <c r="P2" s="8" t="s">
        <v>9</v>
      </c>
      <c r="Q2" s="3"/>
      <c r="R2" s="3"/>
      <c r="S2" s="4"/>
      <c r="T2" s="12" t="s">
        <v>10</v>
      </c>
      <c r="U2" s="8" t="s">
        <v>11</v>
      </c>
      <c r="V2" s="3"/>
      <c r="W2" s="3"/>
      <c r="X2" s="4"/>
      <c r="AH2" s="5"/>
      <c r="AI2" s="5"/>
      <c r="AJ2" s="5"/>
    </row>
    <row r="3" ht="15.0" customHeight="1">
      <c r="AH3" s="13"/>
      <c r="AI3" s="13"/>
      <c r="AJ3" s="13"/>
    </row>
    <row r="4" ht="30.0" customHeight="1">
      <c r="B4" s="14" t="s">
        <v>12</v>
      </c>
      <c r="C4" s="15" t="s">
        <v>13</v>
      </c>
      <c r="AH4" s="15">
        <v>2026.0</v>
      </c>
      <c r="AI4" s="15"/>
      <c r="AJ4" s="15"/>
    </row>
    <row r="5" ht="15.0" customHeight="1">
      <c r="B5" s="14"/>
      <c r="C5" s="16" t="str">
        <f>TEXT(WEEKDAY(DATE(Octubre!CalendarioAño,1,1),1),"ddd")</f>
        <v>jue</v>
      </c>
      <c r="D5" s="16" t="str">
        <f>TEXT(WEEKDAY(DATE(Octubre!CalendarioAño,1,2),1),"ddd")</f>
        <v>vie</v>
      </c>
      <c r="E5" s="16" t="str">
        <f>TEXT(WEEKDAY(DATE(Octubre!CalendarioAño,1,3),1),"ddd")</f>
        <v>sáb</v>
      </c>
      <c r="F5" s="16" t="str">
        <f>TEXT(WEEKDAY(DATE(Octubre!CalendarioAño,1,4),1),"ddd")</f>
        <v>dom</v>
      </c>
      <c r="G5" s="16" t="str">
        <f>TEXT(WEEKDAY(DATE(Octubre!CalendarioAño,1,5),1),"ddd")</f>
        <v>lun</v>
      </c>
      <c r="H5" s="16" t="str">
        <f>TEXT(WEEKDAY(DATE(Octubre!CalendarioAño,1,6),1),"ddd")</f>
        <v>mar</v>
      </c>
      <c r="I5" s="16" t="str">
        <f>TEXT(WEEKDAY(DATE(Octubre!CalendarioAño,1,7),1),"ddd")</f>
        <v>mié</v>
      </c>
      <c r="J5" s="16" t="str">
        <f>TEXT(WEEKDAY(DATE(Octubre!CalendarioAño,1,8),1),"ddd")</f>
        <v>jue</v>
      </c>
      <c r="K5" s="16" t="str">
        <f>TEXT(WEEKDAY(DATE(Octubre!CalendarioAño,1,9),1),"ddd")</f>
        <v>vie</v>
      </c>
      <c r="L5" s="16" t="str">
        <f>TEXT(WEEKDAY(DATE(Octubre!CalendarioAño,1,10),1),"ddd")</f>
        <v>sáb</v>
      </c>
      <c r="M5" s="16" t="str">
        <f>TEXT(WEEKDAY(DATE(Octubre!CalendarioAño,1,11),1),"ddd")</f>
        <v>dom</v>
      </c>
      <c r="N5" s="16" t="str">
        <f>TEXT(WEEKDAY(DATE(Octubre!CalendarioAño,1,12),1),"ddd")</f>
        <v>lun</v>
      </c>
      <c r="O5" s="16" t="str">
        <f>TEXT(WEEKDAY(DATE(Octubre!CalendarioAño,1,13),1),"ddd")</f>
        <v>mar</v>
      </c>
      <c r="P5" s="16" t="str">
        <f>TEXT(WEEKDAY(DATE(Octubre!CalendarioAño,1,14),1),"ddd")</f>
        <v>mié</v>
      </c>
      <c r="Q5" s="16" t="str">
        <f>TEXT(WEEKDAY(DATE(Octubre!CalendarioAño,1,15),1),"ddd")</f>
        <v>jue</v>
      </c>
      <c r="R5" s="16" t="str">
        <f>TEXT(WEEKDAY(DATE(Octubre!CalendarioAño,1,16),1),"ddd")</f>
        <v>vie</v>
      </c>
      <c r="S5" s="16" t="str">
        <f>TEXT(WEEKDAY(DATE(Octubre!CalendarioAño,1,17),1),"ddd")</f>
        <v>sáb</v>
      </c>
      <c r="T5" s="16" t="str">
        <f>TEXT(WEEKDAY(DATE(Octubre!CalendarioAño,1,18),1),"ddd")</f>
        <v>dom</v>
      </c>
      <c r="U5" s="16" t="str">
        <f>TEXT(WEEKDAY(DATE(Octubre!CalendarioAño,1,19),1),"ddd")</f>
        <v>lun</v>
      </c>
      <c r="V5" s="16" t="str">
        <f>TEXT(WEEKDAY(DATE(Octubre!CalendarioAño,1,20),1),"ddd")</f>
        <v>mar</v>
      </c>
      <c r="W5" s="16" t="str">
        <f>TEXT(WEEKDAY(DATE(Octubre!CalendarioAño,1,21),1),"ddd")</f>
        <v>mié</v>
      </c>
      <c r="X5" s="16" t="str">
        <f>TEXT(WEEKDAY(DATE(Octubre!CalendarioAño,1,22),1),"ddd")</f>
        <v>jue</v>
      </c>
      <c r="Y5" s="16" t="str">
        <f>TEXT(WEEKDAY(DATE(Octubre!CalendarioAño,1,23),1),"ddd")</f>
        <v>vie</v>
      </c>
      <c r="Z5" s="16" t="str">
        <f>TEXT(WEEKDAY(DATE(Octubre!CalendarioAño,1,24),1),"ddd")</f>
        <v>sáb</v>
      </c>
      <c r="AA5" s="16" t="str">
        <f>TEXT(WEEKDAY(DATE(Octubre!CalendarioAño,1,25),1),"ddd")</f>
        <v>dom</v>
      </c>
      <c r="AB5" s="16" t="str">
        <f>TEXT(WEEKDAY(DATE(Octubre!CalendarioAño,1,26),1),"ddd")</f>
        <v>lun</v>
      </c>
      <c r="AC5" s="16" t="str">
        <f>TEXT(WEEKDAY(DATE(Octubre!CalendarioAño,1,27),1),"ddd")</f>
        <v>mar</v>
      </c>
      <c r="AD5" s="16" t="str">
        <f>TEXT(WEEKDAY(DATE(Octubre!CalendarioAño,1,28),1),"ddd")</f>
        <v>mié</v>
      </c>
      <c r="AE5" s="16" t="str">
        <f>TEXT(WEEKDAY(DATE(Octubre!CalendarioAño,1,29),1),"ddd")</f>
        <v>jue</v>
      </c>
      <c r="AF5" s="16" t="str">
        <f>TEXT(WEEKDAY(DATE(Octubre!CalendarioAño,1,30),1),"ddd")</f>
        <v>vie</v>
      </c>
      <c r="AG5" s="16" t="str">
        <f>TEXT(WEEKDAY(DATE(Octubre!CalendarioAño,1,31),1),"ddd")</f>
        <v>sáb</v>
      </c>
      <c r="AH5" s="14"/>
      <c r="AI5" s="14"/>
      <c r="AJ5" s="14"/>
    </row>
    <row r="6" ht="15.0" customHeight="1">
      <c r="A6" s="17"/>
      <c r="B6" s="18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  <c r="I6" s="19" t="s">
        <v>21</v>
      </c>
      <c r="J6" s="19" t="s">
        <v>22</v>
      </c>
      <c r="K6" s="19" t="s">
        <v>23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19" t="s">
        <v>36</v>
      </c>
      <c r="Y6" s="19" t="s">
        <v>37</v>
      </c>
      <c r="Z6" s="19" t="s">
        <v>38</v>
      </c>
      <c r="AA6" s="19" t="s">
        <v>39</v>
      </c>
      <c r="AB6" s="19" t="s">
        <v>40</v>
      </c>
      <c r="AC6" s="19" t="s">
        <v>41</v>
      </c>
      <c r="AD6" s="19" t="s">
        <v>42</v>
      </c>
      <c r="AE6" s="19" t="s">
        <v>43</v>
      </c>
      <c r="AF6" s="19" t="s">
        <v>44</v>
      </c>
      <c r="AG6" s="19" t="s">
        <v>45</v>
      </c>
      <c r="AH6" s="19" t="s">
        <v>46</v>
      </c>
      <c r="AI6" s="19"/>
      <c r="AJ6" s="19"/>
    </row>
    <row r="7" ht="30.0" customHeight="1">
      <c r="B7" s="20"/>
      <c r="C7" s="21"/>
      <c r="D7" s="21"/>
      <c r="E7" s="21"/>
      <c r="F7" s="22"/>
      <c r="G7" s="22"/>
      <c r="H7" s="21"/>
      <c r="I7" s="21"/>
      <c r="J7" s="21"/>
      <c r="K7" s="22"/>
      <c r="L7" s="21"/>
      <c r="M7" s="21"/>
      <c r="N7" s="22"/>
      <c r="O7" s="21"/>
      <c r="P7" s="21"/>
      <c r="Q7" s="21"/>
      <c r="R7" s="22"/>
      <c r="S7" s="21"/>
      <c r="T7" s="22"/>
      <c r="U7" s="22"/>
      <c r="V7" s="21"/>
      <c r="W7" s="21"/>
      <c r="X7" s="21"/>
      <c r="Y7" s="22"/>
      <c r="Z7" s="21"/>
      <c r="AA7" s="22"/>
      <c r="AB7" s="22"/>
      <c r="AC7" s="21"/>
      <c r="AD7" s="21"/>
      <c r="AE7" s="21"/>
      <c r="AF7" s="22"/>
      <c r="AG7" s="21"/>
      <c r="AH7" s="23"/>
      <c r="AI7" s="23"/>
      <c r="AJ7" s="23"/>
    </row>
    <row r="8" ht="30.0" customHeight="1">
      <c r="B8" s="24" t="str">
        <f>Octubre!MonthName&amp;" Total"</f>
        <v>Enero Total</v>
      </c>
      <c r="C8" s="25">
        <f>SUBTOTAL(103,Octubre!$C$7)</f>
        <v>0</v>
      </c>
      <c r="D8" s="25">
        <f>SUBTOTAL(103,Octubre!$D$7)</f>
        <v>0</v>
      </c>
      <c r="E8" s="25">
        <f>SUBTOTAL(103,Octubre!$E$7)</f>
        <v>0</v>
      </c>
      <c r="F8" s="25">
        <f>SUBTOTAL(103,Octubre!$F$7)</f>
        <v>0</v>
      </c>
      <c r="G8" s="25">
        <f>SUBTOTAL(103,Octubre!$G$7)</f>
        <v>0</v>
      </c>
      <c r="H8" s="25">
        <f>SUBTOTAL(103,Octubre!$H$7)</f>
        <v>0</v>
      </c>
      <c r="I8" s="25">
        <f>SUBTOTAL(103,Octubre!$I$7)</f>
        <v>0</v>
      </c>
      <c r="J8" s="25">
        <f>SUBTOTAL(103,Octubre!$J$7)</f>
        <v>0</v>
      </c>
      <c r="K8" s="25">
        <f>SUBTOTAL(103,Octubre!$K$7)</f>
        <v>0</v>
      </c>
      <c r="L8" s="25">
        <f>SUBTOTAL(103,Octubre!$L$7)</f>
        <v>0</v>
      </c>
      <c r="M8" s="25">
        <f>SUBTOTAL(103,Octubre!$M$7)</f>
        <v>0</v>
      </c>
      <c r="N8" s="25">
        <f>SUBTOTAL(103,Octubre!$N$7)</f>
        <v>0</v>
      </c>
      <c r="O8" s="25">
        <f>SUBTOTAL(103,Octubre!$O$7)</f>
        <v>0</v>
      </c>
      <c r="P8" s="25">
        <f>SUBTOTAL(103,Octubre!$P$7)</f>
        <v>0</v>
      </c>
      <c r="Q8" s="25">
        <f>SUBTOTAL(103,Octubre!$Q$7)</f>
        <v>0</v>
      </c>
      <c r="R8" s="25">
        <f>SUBTOTAL(103,Octubre!$R$7)</f>
        <v>0</v>
      </c>
      <c r="S8" s="25">
        <f>SUBTOTAL(103,Octubre!$S$7)</f>
        <v>0</v>
      </c>
      <c r="T8" s="25">
        <f>SUBTOTAL(103,Octubre!$T$7)</f>
        <v>0</v>
      </c>
      <c r="U8" s="25">
        <f>SUBTOTAL(103,Octubre!$U$7)</f>
        <v>0</v>
      </c>
      <c r="V8" s="25">
        <f>SUBTOTAL(103,Octubre!$V$7)</f>
        <v>0</v>
      </c>
      <c r="W8" s="25">
        <f>SUBTOTAL(103,Octubre!$W$7)</f>
        <v>0</v>
      </c>
      <c r="X8" s="25">
        <f>SUBTOTAL(103,Octubre!$X$7)</f>
        <v>0</v>
      </c>
      <c r="Y8" s="25">
        <f>SUBTOTAL(103,Octubre!$Y$7)</f>
        <v>0</v>
      </c>
      <c r="Z8" s="25">
        <f>SUBTOTAL(103,Octubre!$Z$7)</f>
        <v>0</v>
      </c>
      <c r="AA8" s="25">
        <f>SUBTOTAL(103,Octubre!$AA$7)</f>
        <v>0</v>
      </c>
      <c r="AB8" s="25">
        <f>SUBTOTAL(103,Octubre!$AB$7)</f>
        <v>0</v>
      </c>
      <c r="AC8" s="25">
        <f>SUBTOTAL(103,Octubre!$AC$7)</f>
        <v>0</v>
      </c>
      <c r="AD8" s="25">
        <f>SUBTOTAL(103,Octubre!$AD$7)</f>
        <v>0</v>
      </c>
      <c r="AE8" s="25">
        <f>SUBTOTAL(103,Octubre!$AE$7)</f>
        <v>0</v>
      </c>
      <c r="AF8" s="25">
        <f>SUBTOTAL(103,Octubre!$AF$7)</f>
        <v>0</v>
      </c>
      <c r="AG8" s="25">
        <f>SUBTOTAL(103,Octubre!$AG$7)</f>
        <v>0</v>
      </c>
      <c r="AH8" s="25"/>
      <c r="AI8" s="25"/>
      <c r="AJ8" s="25"/>
    </row>
    <row r="9" ht="30.0" customHeight="1">
      <c r="AH9" s="5"/>
      <c r="AI9" s="5"/>
      <c r="AJ9" s="5"/>
    </row>
    <row r="10" ht="30.0" customHeight="1">
      <c r="B10" s="26" t="s">
        <v>12</v>
      </c>
      <c r="C10" s="27" t="s">
        <v>47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9">
        <v>2026.0</v>
      </c>
      <c r="AI10" s="15"/>
      <c r="AJ10" s="15"/>
    </row>
    <row r="11" ht="30.0" customHeight="1">
      <c r="B11" s="30"/>
      <c r="C11" s="16" t="str">
        <f>TEXT(WEEKDAY(DATE(Octubre!CalendarioAño,1,1),1),"ddd")</f>
        <v>jue</v>
      </c>
      <c r="D11" s="16" t="str">
        <f>TEXT(WEEKDAY(DATE(Octubre!CalendarioAño,1,2),1),"ddd")</f>
        <v>vie</v>
      </c>
      <c r="E11" s="16" t="str">
        <f>TEXT(WEEKDAY(DATE(Octubre!CalendarioAño,1,3),1),"ddd")</f>
        <v>sáb</v>
      </c>
      <c r="F11" s="16" t="str">
        <f>TEXT(WEEKDAY(DATE(Octubre!CalendarioAño,1,4),1),"ddd")</f>
        <v>dom</v>
      </c>
      <c r="G11" s="16" t="str">
        <f>TEXT(WEEKDAY(DATE(Octubre!CalendarioAño,1,5),1),"ddd")</f>
        <v>lun</v>
      </c>
      <c r="H11" s="16" t="str">
        <f>TEXT(WEEKDAY(DATE(Octubre!CalendarioAño,1,6),1),"ddd")</f>
        <v>mar</v>
      </c>
      <c r="I11" s="16" t="str">
        <f>TEXT(WEEKDAY(DATE(Octubre!CalendarioAño,1,7),1),"ddd")</f>
        <v>mié</v>
      </c>
      <c r="J11" s="16" t="str">
        <f>TEXT(WEEKDAY(DATE(Octubre!CalendarioAño,1,8),1),"ddd")</f>
        <v>jue</v>
      </c>
      <c r="K11" s="16" t="str">
        <f>TEXT(WEEKDAY(DATE(Octubre!CalendarioAño,1,9),1),"ddd")</f>
        <v>vie</v>
      </c>
      <c r="L11" s="16" t="str">
        <f>TEXT(WEEKDAY(DATE(Octubre!CalendarioAño,1,10),1),"ddd")</f>
        <v>sáb</v>
      </c>
      <c r="M11" s="16" t="str">
        <f>TEXT(WEEKDAY(DATE(Octubre!CalendarioAño,1,11),1),"ddd")</f>
        <v>dom</v>
      </c>
      <c r="N11" s="16" t="str">
        <f>TEXT(WEEKDAY(DATE(Octubre!CalendarioAño,1,12),1),"ddd")</f>
        <v>lun</v>
      </c>
      <c r="O11" s="16" t="str">
        <f>TEXT(WEEKDAY(DATE(Octubre!CalendarioAño,1,13),1),"ddd")</f>
        <v>mar</v>
      </c>
      <c r="P11" s="16" t="str">
        <f>TEXT(WEEKDAY(DATE(Octubre!CalendarioAño,1,14),1),"ddd")</f>
        <v>mié</v>
      </c>
      <c r="Q11" s="16" t="str">
        <f>TEXT(WEEKDAY(DATE(Octubre!CalendarioAño,1,15),1),"ddd")</f>
        <v>jue</v>
      </c>
      <c r="R11" s="16" t="str">
        <f>TEXT(WEEKDAY(DATE(Octubre!CalendarioAño,1,16),1),"ddd")</f>
        <v>vie</v>
      </c>
      <c r="S11" s="16" t="str">
        <f>TEXT(WEEKDAY(DATE(Octubre!CalendarioAño,1,17),1),"ddd")</f>
        <v>sáb</v>
      </c>
      <c r="T11" s="16" t="str">
        <f>TEXT(WEEKDAY(DATE(Octubre!CalendarioAño,1,18),1),"ddd")</f>
        <v>dom</v>
      </c>
      <c r="U11" s="16" t="str">
        <f>TEXT(WEEKDAY(DATE(Octubre!CalendarioAño,1,19),1),"ddd")</f>
        <v>lun</v>
      </c>
      <c r="V11" s="16" t="str">
        <f>TEXT(WEEKDAY(DATE(Octubre!CalendarioAño,1,20),1),"ddd")</f>
        <v>mar</v>
      </c>
      <c r="W11" s="16" t="str">
        <f>TEXT(WEEKDAY(DATE(Octubre!CalendarioAño,1,21),1),"ddd")</f>
        <v>mié</v>
      </c>
      <c r="X11" s="16" t="str">
        <f>TEXT(WEEKDAY(DATE(Octubre!CalendarioAño,1,22),1),"ddd")</f>
        <v>jue</v>
      </c>
      <c r="Y11" s="16" t="str">
        <f>TEXT(WEEKDAY(DATE(Octubre!CalendarioAño,1,23),1),"ddd")</f>
        <v>vie</v>
      </c>
      <c r="Z11" s="16" t="str">
        <f>TEXT(WEEKDAY(DATE(Octubre!CalendarioAño,1,24),1),"ddd")</f>
        <v>sáb</v>
      </c>
      <c r="AA11" s="16" t="str">
        <f>TEXT(WEEKDAY(DATE(Octubre!CalendarioAño,1,25),1),"ddd")</f>
        <v>dom</v>
      </c>
      <c r="AB11" s="16" t="str">
        <f>TEXT(WEEKDAY(DATE(Octubre!CalendarioAño,1,26),1),"ddd")</f>
        <v>lun</v>
      </c>
      <c r="AC11" s="16" t="str">
        <f>TEXT(WEEKDAY(DATE(Octubre!CalendarioAño,1,27),1),"ddd")</f>
        <v>mar</v>
      </c>
      <c r="AD11" s="16" t="str">
        <f>TEXT(WEEKDAY(DATE(Octubre!CalendarioAño,1,28),1),"ddd")</f>
        <v>mié</v>
      </c>
      <c r="AE11" s="16" t="str">
        <f>TEXT(WEEKDAY(DATE(Octubre!CalendarioAño,1,29),1),"ddd")</f>
        <v>jue</v>
      </c>
      <c r="AF11" s="16" t="str">
        <f>TEXT(WEEKDAY(DATE(Octubre!CalendarioAño,1,30),1),"ddd")</f>
        <v>vie</v>
      </c>
      <c r="AG11" s="16" t="str">
        <f>TEXT(WEEKDAY(DATE(Octubre!CalendarioAño,1,31),1),"ddd")</f>
        <v>sáb</v>
      </c>
      <c r="AH11" s="30"/>
      <c r="AI11" s="14"/>
      <c r="AJ11" s="14"/>
    </row>
    <row r="12" ht="21.75" customHeight="1">
      <c r="A12" s="17"/>
      <c r="B12" s="31" t="s">
        <v>14</v>
      </c>
      <c r="C12" s="19" t="s">
        <v>15</v>
      </c>
      <c r="D12" s="19" t="s">
        <v>16</v>
      </c>
      <c r="E12" s="19" t="s">
        <v>17</v>
      </c>
      <c r="F12" s="19" t="s">
        <v>18</v>
      </c>
      <c r="G12" s="19" t="s">
        <v>19</v>
      </c>
      <c r="H12" s="19" t="s">
        <v>20</v>
      </c>
      <c r="I12" s="19" t="s">
        <v>21</v>
      </c>
      <c r="J12" s="19" t="s">
        <v>22</v>
      </c>
      <c r="K12" s="19" t="s">
        <v>23</v>
      </c>
      <c r="L12" s="19" t="s">
        <v>24</v>
      </c>
      <c r="M12" s="19" t="s">
        <v>25</v>
      </c>
      <c r="N12" s="19" t="s">
        <v>26</v>
      </c>
      <c r="O12" s="19" t="s">
        <v>27</v>
      </c>
      <c r="P12" s="19" t="s">
        <v>28</v>
      </c>
      <c r="Q12" s="19" t="s">
        <v>29</v>
      </c>
      <c r="R12" s="19" t="s">
        <v>30</v>
      </c>
      <c r="S12" s="19" t="s">
        <v>31</v>
      </c>
      <c r="T12" s="19" t="s">
        <v>32</v>
      </c>
      <c r="U12" s="19" t="s">
        <v>33</v>
      </c>
      <c r="V12" s="19" t="s">
        <v>34</v>
      </c>
      <c r="W12" s="19" t="s">
        <v>35</v>
      </c>
      <c r="X12" s="19" t="s">
        <v>36</v>
      </c>
      <c r="Y12" s="19" t="s">
        <v>37</v>
      </c>
      <c r="Z12" s="19" t="s">
        <v>38</v>
      </c>
      <c r="AA12" s="19" t="s">
        <v>39</v>
      </c>
      <c r="AB12" s="19" t="s">
        <v>40</v>
      </c>
      <c r="AC12" s="19" t="s">
        <v>41</v>
      </c>
      <c r="AD12" s="19" t="s">
        <v>42</v>
      </c>
      <c r="AE12" s="19" t="s">
        <v>43</v>
      </c>
      <c r="AF12" s="19" t="s">
        <v>44</v>
      </c>
      <c r="AG12" s="19" t="s">
        <v>45</v>
      </c>
      <c r="AH12" s="19" t="s">
        <v>46</v>
      </c>
      <c r="AI12" s="19"/>
      <c r="AJ12" s="19"/>
    </row>
    <row r="13" ht="30.0" customHeight="1">
      <c r="B13" s="32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23"/>
      <c r="AI13" s="23"/>
      <c r="AJ13" s="23"/>
    </row>
    <row r="14" ht="30.0" customHeight="1">
      <c r="B14" s="32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23"/>
      <c r="AI14" s="23"/>
      <c r="AJ14" s="23"/>
    </row>
    <row r="15" ht="30.0" customHeight="1">
      <c r="B15" s="32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23"/>
      <c r="AI15" s="23"/>
      <c r="AJ15" s="23"/>
    </row>
    <row r="16" ht="30.0" customHeight="1">
      <c r="B16" s="32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23"/>
      <c r="AI16" s="23"/>
      <c r="AJ16" s="23"/>
    </row>
    <row r="17" ht="30.0" customHeight="1">
      <c r="B17" s="32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23"/>
      <c r="AI17" s="23"/>
      <c r="AJ17" s="23"/>
    </row>
    <row r="18" ht="30.0" customHeight="1">
      <c r="B18" s="32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23"/>
      <c r="AI18" s="23"/>
      <c r="AJ18" s="23"/>
    </row>
    <row r="19" ht="30.0" customHeight="1">
      <c r="B19" s="32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23"/>
      <c r="AI19" s="23"/>
      <c r="AJ19" s="23"/>
    </row>
    <row r="20" ht="30.0" customHeight="1">
      <c r="B20" s="32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23"/>
      <c r="AI20" s="23"/>
      <c r="AJ20" s="23"/>
    </row>
    <row r="21" ht="30.0" customHeight="1">
      <c r="B21" s="32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23"/>
      <c r="AI21" s="23"/>
      <c r="AJ21" s="23"/>
    </row>
    <row r="22" ht="30.0" customHeight="1">
      <c r="B22" s="32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23"/>
      <c r="AI22" s="23"/>
      <c r="AJ22" s="23"/>
    </row>
    <row r="23" ht="30.0" customHeight="1">
      <c r="B23" s="32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23"/>
      <c r="AI23" s="23"/>
      <c r="AJ23" s="23"/>
    </row>
    <row r="24" ht="30.0" customHeight="1">
      <c r="B24" s="32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23"/>
      <c r="AI24" s="23"/>
      <c r="AJ24" s="23"/>
    </row>
    <row r="25" ht="30.0" customHeight="1">
      <c r="B25" s="32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23"/>
      <c r="AI25" s="23"/>
      <c r="AJ25" s="23"/>
    </row>
    <row r="26" ht="30.0" customHeight="1">
      <c r="B26" s="32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23"/>
      <c r="AI26" s="23"/>
      <c r="AJ26" s="23"/>
    </row>
    <row r="27" ht="30.0" customHeight="1">
      <c r="B27" s="32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23"/>
      <c r="AI27" s="23"/>
      <c r="AJ27" s="23"/>
    </row>
    <row r="28" ht="30.0" customHeight="1">
      <c r="B28" s="32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23"/>
      <c r="AI28" s="23"/>
      <c r="AJ28" s="23"/>
    </row>
    <row r="29" ht="30.0" customHeight="1">
      <c r="B29" s="32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23"/>
      <c r="AI29" s="23"/>
      <c r="AJ29" s="23"/>
    </row>
    <row r="30" ht="30.0" customHeight="1">
      <c r="B30" s="32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23"/>
      <c r="AI30" s="23"/>
      <c r="AJ30" s="23"/>
    </row>
    <row r="31" ht="30.0" customHeight="1">
      <c r="B31" s="32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23"/>
      <c r="AI31" s="23"/>
      <c r="AJ31" s="23"/>
    </row>
    <row r="32" ht="30.0" customHeight="1">
      <c r="B32" s="32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23"/>
      <c r="AI32" s="23"/>
      <c r="AJ32" s="23"/>
    </row>
    <row r="33" ht="30.0" customHeight="1">
      <c r="B33" s="32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2"/>
      <c r="O33" s="21"/>
      <c r="P33" s="21"/>
      <c r="Q33" s="22"/>
      <c r="R33" s="21"/>
      <c r="S33" s="21"/>
      <c r="T33" s="21"/>
      <c r="U33" s="21"/>
      <c r="V33" s="21"/>
      <c r="W33" s="21"/>
      <c r="X33" s="22"/>
      <c r="Y33" s="22"/>
      <c r="Z33" s="21"/>
      <c r="AA33" s="21"/>
      <c r="AB33" s="21"/>
      <c r="AC33" s="21"/>
      <c r="AD33" s="33"/>
      <c r="AE33" s="22"/>
      <c r="AF33" s="21"/>
      <c r="AG33" s="22"/>
      <c r="AH33" s="23"/>
      <c r="AI33" s="23"/>
      <c r="AJ33" s="23"/>
    </row>
    <row r="34" ht="30.0" customHeight="1">
      <c r="B34" s="24" t="str">
        <f>Octubre!MonthName&amp;" Total"</f>
        <v>Enero Total</v>
      </c>
      <c r="C34" s="25">
        <f>SUBTOTAL(103,Octubre!$C$7)</f>
        <v>0</v>
      </c>
      <c r="D34" s="25">
        <f>SUBTOTAL(103,Octubre!$D$7)</f>
        <v>0</v>
      </c>
      <c r="E34" s="25">
        <f>SUBTOTAL(103,Octubre!$E$7)</f>
        <v>0</v>
      </c>
      <c r="F34" s="25"/>
      <c r="G34" s="25">
        <f>SUBTOTAL(103,Octubre!$G$7)</f>
        <v>0</v>
      </c>
      <c r="H34" s="25">
        <f>SUBTOTAL(103,Octubre!$H$7)</f>
        <v>0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ht="30.0" customHeight="1">
      <c r="AH35" s="5"/>
      <c r="AI35" s="5"/>
      <c r="AJ35" s="5"/>
    </row>
    <row r="36" ht="30.0" customHeight="1">
      <c r="AH36" s="5"/>
      <c r="AI36" s="5"/>
      <c r="AJ36" s="5"/>
    </row>
    <row r="37" ht="30.0" customHeight="1">
      <c r="B37" s="30" t="s">
        <v>12</v>
      </c>
      <c r="C37" s="27" t="s">
        <v>67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39">
        <v>2026.0</v>
      </c>
      <c r="AI37" s="15"/>
      <c r="AJ37" s="15"/>
    </row>
    <row r="38" ht="30.0" customHeight="1">
      <c r="B38" s="30"/>
      <c r="C38" s="16" t="str">
        <f>TEXT(WEEKDAY(DATE(Octubre!CalendarioAño,1,1),1),"ddd")</f>
        <v>jue</v>
      </c>
      <c r="D38" s="16" t="str">
        <f>TEXT(WEEKDAY(DATE(Octubre!CalendarioAño,1,2),1),"ddd")</f>
        <v>vie</v>
      </c>
      <c r="E38" s="16" t="str">
        <f>TEXT(WEEKDAY(DATE(Octubre!CalendarioAño,1,3),1),"ddd")</f>
        <v>sáb</v>
      </c>
      <c r="F38" s="16" t="str">
        <f>TEXT(WEEKDAY(DATE(Octubre!CalendarioAño,1,4),1),"ddd")</f>
        <v>dom</v>
      </c>
      <c r="G38" s="16" t="str">
        <f>TEXT(WEEKDAY(DATE(Octubre!CalendarioAño,1,5),1),"ddd")</f>
        <v>lun</v>
      </c>
      <c r="H38" s="16" t="str">
        <f>TEXT(WEEKDAY(DATE(Octubre!CalendarioAño,1,6),1),"ddd")</f>
        <v>mar</v>
      </c>
      <c r="I38" s="16" t="str">
        <f>TEXT(WEEKDAY(DATE(Octubre!CalendarioAño,1,7),1),"ddd")</f>
        <v>mié</v>
      </c>
      <c r="J38" s="16" t="str">
        <f>TEXT(WEEKDAY(DATE(Octubre!CalendarioAño,1,8),1),"ddd")</f>
        <v>jue</v>
      </c>
      <c r="K38" s="16" t="str">
        <f>TEXT(WEEKDAY(DATE(Octubre!CalendarioAño,1,9),1),"ddd")</f>
        <v>vie</v>
      </c>
      <c r="L38" s="16" t="str">
        <f>TEXT(WEEKDAY(DATE(Octubre!CalendarioAño,1,10),1),"ddd")</f>
        <v>sáb</v>
      </c>
      <c r="M38" s="16" t="str">
        <f>TEXT(WEEKDAY(DATE(Octubre!CalendarioAño,1,11),1),"ddd")</f>
        <v>dom</v>
      </c>
      <c r="N38" s="16" t="str">
        <f>TEXT(WEEKDAY(DATE(Octubre!CalendarioAño,1,12),1),"ddd")</f>
        <v>lun</v>
      </c>
      <c r="O38" s="16" t="str">
        <f>TEXT(WEEKDAY(DATE(Octubre!CalendarioAño,1,13),1),"ddd")</f>
        <v>mar</v>
      </c>
      <c r="P38" s="16" t="str">
        <f>TEXT(WEEKDAY(DATE(Octubre!CalendarioAño,1,14),1),"ddd")</f>
        <v>mié</v>
      </c>
      <c r="Q38" s="16" t="str">
        <f>TEXT(WEEKDAY(DATE(Octubre!CalendarioAño,1,15),1),"ddd")</f>
        <v>jue</v>
      </c>
      <c r="R38" s="16" t="str">
        <f>TEXT(WEEKDAY(DATE(Octubre!CalendarioAño,1,16),1),"ddd")</f>
        <v>vie</v>
      </c>
      <c r="S38" s="16" t="str">
        <f>TEXT(WEEKDAY(DATE(Octubre!CalendarioAño,1,17),1),"ddd")</f>
        <v>sáb</v>
      </c>
      <c r="T38" s="16" t="str">
        <f>TEXT(WEEKDAY(DATE(Octubre!CalendarioAño,1,18),1),"ddd")</f>
        <v>dom</v>
      </c>
      <c r="U38" s="16" t="str">
        <f>TEXT(WEEKDAY(DATE(Octubre!CalendarioAño,1,19),1),"ddd")</f>
        <v>lun</v>
      </c>
      <c r="V38" s="16" t="str">
        <f>TEXT(WEEKDAY(DATE(Octubre!CalendarioAño,1,20),1),"ddd")</f>
        <v>mar</v>
      </c>
      <c r="W38" s="16" t="str">
        <f>TEXT(WEEKDAY(DATE(Octubre!CalendarioAño,1,21),1),"ddd")</f>
        <v>mié</v>
      </c>
      <c r="X38" s="16" t="str">
        <f>TEXT(WEEKDAY(DATE(Octubre!CalendarioAño,1,22),1),"ddd")</f>
        <v>jue</v>
      </c>
      <c r="Y38" s="16" t="str">
        <f>TEXT(WEEKDAY(DATE(Octubre!CalendarioAño,1,23),1),"ddd")</f>
        <v>vie</v>
      </c>
      <c r="Z38" s="16" t="str">
        <f>TEXT(WEEKDAY(DATE(Octubre!CalendarioAño,1,24),1),"ddd")</f>
        <v>sáb</v>
      </c>
      <c r="AA38" s="16" t="str">
        <f>TEXT(WEEKDAY(DATE(Octubre!CalendarioAño,1,25),1),"ddd")</f>
        <v>dom</v>
      </c>
      <c r="AB38" s="16" t="str">
        <f>TEXT(WEEKDAY(DATE(Octubre!CalendarioAño,1,26),1),"ddd")</f>
        <v>lun</v>
      </c>
      <c r="AC38" s="16" t="str">
        <f>TEXT(WEEKDAY(DATE(Octubre!CalendarioAño,1,27),1),"ddd")</f>
        <v>mar</v>
      </c>
      <c r="AD38" s="16" t="str">
        <f>TEXT(WEEKDAY(DATE(Octubre!CalendarioAño,1,28),1),"ddd")</f>
        <v>mié</v>
      </c>
      <c r="AE38" s="16" t="str">
        <f>TEXT(WEEKDAY(DATE(Octubre!CalendarioAño,1,29),1),"ddd")</f>
        <v>jue</v>
      </c>
      <c r="AF38" s="16" t="str">
        <f>TEXT(WEEKDAY(DATE(Octubre!CalendarioAño,1,30),1),"ddd")</f>
        <v>vie</v>
      </c>
      <c r="AG38" s="16" t="str">
        <f>TEXT(WEEKDAY(DATE(Octubre!CalendarioAño,1,31),1),"ddd")</f>
        <v>sáb</v>
      </c>
      <c r="AH38" s="30"/>
      <c r="AI38" s="14"/>
      <c r="AJ38" s="14"/>
    </row>
    <row r="39" ht="30.0" customHeight="1">
      <c r="A39" s="17"/>
      <c r="B39" s="31" t="s">
        <v>14</v>
      </c>
      <c r="C39" s="19" t="s">
        <v>15</v>
      </c>
      <c r="D39" s="19" t="s">
        <v>16</v>
      </c>
      <c r="E39" s="19" t="s">
        <v>17</v>
      </c>
      <c r="F39" s="19" t="s">
        <v>18</v>
      </c>
      <c r="G39" s="19" t="s">
        <v>19</v>
      </c>
      <c r="H39" s="19" t="s">
        <v>20</v>
      </c>
      <c r="I39" s="19" t="s">
        <v>21</v>
      </c>
      <c r="J39" s="19" t="s">
        <v>22</v>
      </c>
      <c r="K39" s="19" t="s">
        <v>23</v>
      </c>
      <c r="L39" s="19" t="s">
        <v>24</v>
      </c>
      <c r="M39" s="19" t="s">
        <v>25</v>
      </c>
      <c r="N39" s="19" t="s">
        <v>26</v>
      </c>
      <c r="O39" s="19" t="s">
        <v>27</v>
      </c>
      <c r="P39" s="19" t="s">
        <v>28</v>
      </c>
      <c r="Q39" s="19" t="s">
        <v>29</v>
      </c>
      <c r="R39" s="19" t="s">
        <v>30</v>
      </c>
      <c r="S39" s="19" t="s">
        <v>31</v>
      </c>
      <c r="T39" s="19" t="s">
        <v>32</v>
      </c>
      <c r="U39" s="19" t="s">
        <v>33</v>
      </c>
      <c r="V39" s="19" t="s">
        <v>34</v>
      </c>
      <c r="W39" s="19" t="s">
        <v>35</v>
      </c>
      <c r="X39" s="19" t="s">
        <v>36</v>
      </c>
      <c r="Y39" s="19" t="s">
        <v>37</v>
      </c>
      <c r="Z39" s="19" t="s">
        <v>38</v>
      </c>
      <c r="AA39" s="19" t="s">
        <v>39</v>
      </c>
      <c r="AB39" s="19" t="s">
        <v>40</v>
      </c>
      <c r="AC39" s="19" t="s">
        <v>41</v>
      </c>
      <c r="AD39" s="19" t="s">
        <v>42</v>
      </c>
      <c r="AE39" s="19" t="s">
        <v>43</v>
      </c>
      <c r="AF39" s="19" t="s">
        <v>44</v>
      </c>
      <c r="AG39" s="19" t="s">
        <v>45</v>
      </c>
      <c r="AH39" s="19" t="s">
        <v>46</v>
      </c>
      <c r="AI39" s="19"/>
      <c r="AJ39" s="19"/>
    </row>
    <row r="40" ht="30.0" customHeight="1">
      <c r="B40" s="40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23"/>
      <c r="AI40" s="23"/>
      <c r="AJ40" s="23"/>
    </row>
    <row r="41" ht="30.0" customHeight="1">
      <c r="B41" s="4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23"/>
      <c r="AI41" s="23"/>
      <c r="AJ41" s="23"/>
    </row>
    <row r="42" ht="30.0" customHeight="1">
      <c r="B42" s="32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21"/>
      <c r="AI42" s="21"/>
      <c r="AJ42" s="33"/>
    </row>
    <row r="43" ht="30.0" customHeight="1">
      <c r="B43" s="32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23"/>
      <c r="AI43" s="23"/>
      <c r="AJ43" s="23"/>
    </row>
    <row r="44" ht="30.0" customHeight="1">
      <c r="B44" s="32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121"/>
      <c r="AI44" s="23"/>
      <c r="AJ44" s="23"/>
    </row>
    <row r="45" ht="30.0" customHeight="1">
      <c r="B45" s="32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23"/>
      <c r="AI45" s="23"/>
      <c r="AJ45" s="23"/>
    </row>
    <row r="46" ht="30.0" customHeight="1">
      <c r="B46" s="32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23"/>
      <c r="AI46" s="23"/>
      <c r="AJ46" s="23"/>
    </row>
    <row r="47" ht="30.0" customHeight="1">
      <c r="B47" s="32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23"/>
      <c r="AI47" s="23"/>
      <c r="AJ47" s="23"/>
    </row>
    <row r="48" ht="30.0" customHeight="1">
      <c r="B48" s="32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23"/>
      <c r="AI48" s="23"/>
      <c r="AJ48" s="23"/>
    </row>
    <row r="49" ht="30.0" customHeight="1">
      <c r="B49" s="40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23"/>
      <c r="AI49" s="23"/>
      <c r="AJ49" s="23"/>
    </row>
    <row r="50" ht="30.0" customHeight="1">
      <c r="B50" s="32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23"/>
      <c r="AI50" s="23"/>
      <c r="AJ50" s="23"/>
    </row>
    <row r="51" ht="30.0" customHeight="1">
      <c r="B51" s="32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23"/>
      <c r="AI51" s="23"/>
      <c r="AJ51" s="23"/>
    </row>
    <row r="52" ht="30.0" customHeight="1">
      <c r="B52" s="32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23"/>
      <c r="AI52" s="23"/>
      <c r="AJ52" s="23"/>
    </row>
    <row r="53" ht="30.0" customHeight="1">
      <c r="B53" s="32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23"/>
      <c r="AI53" s="23"/>
      <c r="AJ53" s="23"/>
    </row>
    <row r="54" ht="30.0" customHeight="1">
      <c r="B54" s="32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23"/>
      <c r="AI54" s="23"/>
      <c r="AJ54" s="23"/>
    </row>
    <row r="55" ht="30.0" customHeight="1">
      <c r="B55" s="32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23"/>
      <c r="AI55" s="23"/>
      <c r="AJ55" s="23"/>
    </row>
    <row r="56" ht="30.0" customHeight="1">
      <c r="B56" s="32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25"/>
      <c r="AI56" s="25"/>
      <c r="AJ56" s="25"/>
    </row>
    <row r="57" ht="30.0" customHeight="1">
      <c r="B57" s="32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25"/>
      <c r="AI57" s="25"/>
      <c r="AJ57" s="25"/>
    </row>
    <row r="58" ht="30.0" customHeight="1">
      <c r="B58" s="32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25"/>
      <c r="AI58" s="25"/>
      <c r="AJ58" s="25"/>
    </row>
    <row r="59" ht="30.0" customHeight="1">
      <c r="B59" s="32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25"/>
      <c r="AI59" s="25"/>
      <c r="AJ59" s="25"/>
    </row>
    <row r="60" ht="30.0" customHeight="1">
      <c r="B60" s="24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ht="30.0" customHeight="1">
      <c r="B61" s="24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ht="30.0" customHeight="1">
      <c r="B62" s="24" t="str">
        <f>Octubre!MonthName&amp;" Total"</f>
        <v>Enero Total</v>
      </c>
      <c r="C62" s="25">
        <f>SUBTOTAL(103,Octubre!$C$7)</f>
        <v>0</v>
      </c>
      <c r="D62" s="25">
        <f>SUBTOTAL(103,Octubre!$D$7)</f>
        <v>0</v>
      </c>
      <c r="E62" s="25">
        <f>SUBTOTAL(103,Octubre!$E$7)</f>
        <v>0</v>
      </c>
      <c r="F62" s="25"/>
      <c r="G62" s="25">
        <f>SUBTOTAL(103,Octubre!$G$7)</f>
        <v>0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ht="30.0" customHeight="1">
      <c r="AH63" s="5"/>
      <c r="AI63" s="5"/>
      <c r="AJ63" s="5"/>
    </row>
    <row r="64" ht="30.0" customHeight="1">
      <c r="B64" s="30" t="s">
        <v>12</v>
      </c>
      <c r="C64" s="27" t="s">
        <v>89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39">
        <v>2026.0</v>
      </c>
      <c r="AI64" s="15"/>
      <c r="AJ64" s="15"/>
    </row>
    <row r="65" ht="30.0" customHeight="1">
      <c r="B65" s="30"/>
      <c r="C65" s="16" t="str">
        <f>TEXT(WEEKDAY(DATE(Octubre!CalendarioAño,1,1),1),"ddd")</f>
        <v>jue</v>
      </c>
      <c r="D65" s="16" t="str">
        <f>TEXT(WEEKDAY(DATE(Octubre!CalendarioAño,1,2),1),"ddd")</f>
        <v>vie</v>
      </c>
      <c r="E65" s="16" t="str">
        <f>TEXT(WEEKDAY(DATE(Octubre!CalendarioAño,1,3),1),"ddd")</f>
        <v>sáb</v>
      </c>
      <c r="F65" s="16" t="str">
        <f>TEXT(WEEKDAY(DATE(Octubre!CalendarioAño,1,4),1),"ddd")</f>
        <v>dom</v>
      </c>
      <c r="G65" s="16" t="str">
        <f>TEXT(WEEKDAY(DATE(Octubre!CalendarioAño,1,5),1),"ddd")</f>
        <v>lun</v>
      </c>
      <c r="H65" s="16" t="str">
        <f>TEXT(WEEKDAY(DATE(Octubre!CalendarioAño,1,6),1),"ddd")</f>
        <v>mar</v>
      </c>
      <c r="I65" s="16" t="str">
        <f>TEXT(WEEKDAY(DATE(Octubre!CalendarioAño,1,7),1),"ddd")</f>
        <v>mié</v>
      </c>
      <c r="J65" s="16" t="str">
        <f>TEXT(WEEKDAY(DATE(Octubre!CalendarioAño,1,8),1),"ddd")</f>
        <v>jue</v>
      </c>
      <c r="K65" s="16" t="str">
        <f>TEXT(WEEKDAY(DATE(Octubre!CalendarioAño,1,9),1),"ddd")</f>
        <v>vie</v>
      </c>
      <c r="L65" s="16" t="str">
        <f>TEXT(WEEKDAY(DATE(Octubre!CalendarioAño,1,10),1),"ddd")</f>
        <v>sáb</v>
      </c>
      <c r="M65" s="16" t="str">
        <f>TEXT(WEEKDAY(DATE(Octubre!CalendarioAño,1,11),1),"ddd")</f>
        <v>dom</v>
      </c>
      <c r="N65" s="16" t="str">
        <f>TEXT(WEEKDAY(DATE(Octubre!CalendarioAño,1,12),1),"ddd")</f>
        <v>lun</v>
      </c>
      <c r="O65" s="16" t="str">
        <f>TEXT(WEEKDAY(DATE(Octubre!CalendarioAño,1,13),1),"ddd")</f>
        <v>mar</v>
      </c>
      <c r="P65" s="16" t="str">
        <f>TEXT(WEEKDAY(DATE(Octubre!CalendarioAño,1,14),1),"ddd")</f>
        <v>mié</v>
      </c>
      <c r="Q65" s="16" t="str">
        <f>TEXT(WEEKDAY(DATE(Octubre!CalendarioAño,1,15),1),"ddd")</f>
        <v>jue</v>
      </c>
      <c r="R65" s="16" t="str">
        <f>TEXT(WEEKDAY(DATE(Octubre!CalendarioAño,1,16),1),"ddd")</f>
        <v>vie</v>
      </c>
      <c r="S65" s="16" t="str">
        <f>TEXT(WEEKDAY(DATE(Octubre!CalendarioAño,1,17),1),"ddd")</f>
        <v>sáb</v>
      </c>
      <c r="T65" s="16" t="str">
        <f>TEXT(WEEKDAY(DATE(Octubre!CalendarioAño,1,18),1),"ddd")</f>
        <v>dom</v>
      </c>
      <c r="U65" s="16" t="str">
        <f>TEXT(WEEKDAY(DATE(Octubre!CalendarioAño,1,19),1),"ddd")</f>
        <v>lun</v>
      </c>
      <c r="V65" s="16" t="str">
        <f>TEXT(WEEKDAY(DATE(Octubre!CalendarioAño,1,20),1),"ddd")</f>
        <v>mar</v>
      </c>
      <c r="W65" s="16" t="str">
        <f>TEXT(WEEKDAY(DATE(Octubre!CalendarioAño,1,21),1),"ddd")</f>
        <v>mié</v>
      </c>
      <c r="X65" s="16" t="str">
        <f>TEXT(WEEKDAY(DATE(Octubre!CalendarioAño,1,22),1),"ddd")</f>
        <v>jue</v>
      </c>
      <c r="Y65" s="16" t="str">
        <f>TEXT(WEEKDAY(DATE(Octubre!CalendarioAño,1,23),1),"ddd")</f>
        <v>vie</v>
      </c>
      <c r="Z65" s="16" t="str">
        <f>TEXT(WEEKDAY(DATE(Octubre!CalendarioAño,1,24),1),"ddd")</f>
        <v>sáb</v>
      </c>
      <c r="AA65" s="16" t="str">
        <f>TEXT(WEEKDAY(DATE(Octubre!CalendarioAño,1,25),1),"ddd")</f>
        <v>dom</v>
      </c>
      <c r="AB65" s="16" t="str">
        <f>TEXT(WEEKDAY(DATE(Octubre!CalendarioAño,1,26),1),"ddd")</f>
        <v>lun</v>
      </c>
      <c r="AC65" s="16" t="str">
        <f>TEXT(WEEKDAY(DATE(Octubre!CalendarioAño,1,27),1),"ddd")</f>
        <v>mar</v>
      </c>
      <c r="AD65" s="16" t="str">
        <f>TEXT(WEEKDAY(DATE(Octubre!CalendarioAño,1,28),1),"ddd")</f>
        <v>mié</v>
      </c>
      <c r="AE65" s="16" t="str">
        <f>TEXT(WEEKDAY(DATE(Octubre!CalendarioAño,1,29),1),"ddd")</f>
        <v>jue</v>
      </c>
      <c r="AF65" s="16" t="str">
        <f>TEXT(WEEKDAY(DATE(Octubre!CalendarioAño,1,30),1),"ddd")</f>
        <v>vie</v>
      </c>
      <c r="AG65" s="16" t="str">
        <f>TEXT(WEEKDAY(DATE(Octubre!CalendarioAño,1,31),1),"ddd")</f>
        <v>sáb</v>
      </c>
      <c r="AH65" s="30"/>
      <c r="AI65" s="14"/>
      <c r="AJ65" s="14"/>
    </row>
    <row r="66" ht="30.0" customHeight="1">
      <c r="A66" s="17"/>
      <c r="B66" s="31" t="s">
        <v>14</v>
      </c>
      <c r="C66" s="19" t="s">
        <v>15</v>
      </c>
      <c r="D66" s="19" t="s">
        <v>16</v>
      </c>
      <c r="E66" s="19" t="s">
        <v>17</v>
      </c>
      <c r="F66" s="19" t="s">
        <v>18</v>
      </c>
      <c r="G66" s="19" t="s">
        <v>19</v>
      </c>
      <c r="H66" s="19" t="s">
        <v>20</v>
      </c>
      <c r="I66" s="19" t="s">
        <v>21</v>
      </c>
      <c r="J66" s="19" t="s">
        <v>22</v>
      </c>
      <c r="K66" s="19" t="s">
        <v>23</v>
      </c>
      <c r="L66" s="19" t="s">
        <v>24</v>
      </c>
      <c r="M66" s="19" t="s">
        <v>25</v>
      </c>
      <c r="N66" s="19" t="s">
        <v>26</v>
      </c>
      <c r="O66" s="19" t="s">
        <v>27</v>
      </c>
      <c r="P66" s="19" t="s">
        <v>28</v>
      </c>
      <c r="Q66" s="19" t="s">
        <v>29</v>
      </c>
      <c r="R66" s="19" t="s">
        <v>30</v>
      </c>
      <c r="S66" s="19" t="s">
        <v>31</v>
      </c>
      <c r="T66" s="19" t="s">
        <v>32</v>
      </c>
      <c r="U66" s="19" t="s">
        <v>33</v>
      </c>
      <c r="V66" s="19" t="s">
        <v>34</v>
      </c>
      <c r="W66" s="19" t="s">
        <v>35</v>
      </c>
      <c r="X66" s="19" t="s">
        <v>36</v>
      </c>
      <c r="Y66" s="19" t="s">
        <v>37</v>
      </c>
      <c r="Z66" s="19" t="s">
        <v>38</v>
      </c>
      <c r="AA66" s="19" t="s">
        <v>39</v>
      </c>
      <c r="AB66" s="19" t="s">
        <v>40</v>
      </c>
      <c r="AC66" s="19" t="s">
        <v>41</v>
      </c>
      <c r="AD66" s="19" t="s">
        <v>42</v>
      </c>
      <c r="AE66" s="19" t="s">
        <v>43</v>
      </c>
      <c r="AF66" s="19" t="s">
        <v>44</v>
      </c>
      <c r="AG66" s="19" t="s">
        <v>45</v>
      </c>
      <c r="AH66" s="19" t="s">
        <v>46</v>
      </c>
      <c r="AI66" s="19"/>
      <c r="AJ66" s="19"/>
    </row>
    <row r="67" ht="30.0" customHeight="1">
      <c r="B67" s="40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23"/>
      <c r="AI67" s="23"/>
      <c r="AJ67" s="23"/>
    </row>
    <row r="68" ht="30.0" customHeight="1">
      <c r="B68" s="40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23"/>
      <c r="AI68" s="23"/>
      <c r="AJ68" s="23"/>
    </row>
    <row r="69" ht="30.0" customHeight="1">
      <c r="B69" s="40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23"/>
      <c r="AI69" s="23"/>
      <c r="AJ69" s="23"/>
    </row>
    <row r="70" ht="30.0" customHeight="1">
      <c r="B70" s="40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23"/>
      <c r="AI70" s="23"/>
      <c r="AJ70" s="23"/>
    </row>
    <row r="71" ht="30.0" customHeight="1">
      <c r="B71" s="32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23"/>
      <c r="AI71" s="23"/>
      <c r="AJ71" s="23"/>
    </row>
    <row r="72" ht="30.0" customHeight="1">
      <c r="B72" s="40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23"/>
      <c r="AI72" s="23"/>
      <c r="AJ72" s="23"/>
    </row>
    <row r="73" ht="30.0" customHeight="1">
      <c r="B73" s="32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23"/>
      <c r="AI73" s="23"/>
      <c r="AJ73" s="23"/>
    </row>
    <row r="74" ht="30.0" customHeight="1">
      <c r="B74" s="32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23"/>
      <c r="AI74" s="23"/>
      <c r="AJ74" s="23"/>
    </row>
    <row r="75" ht="30.0" customHeight="1">
      <c r="B75" s="32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23"/>
      <c r="AI75" s="23"/>
      <c r="AJ75" s="23"/>
    </row>
    <row r="76" ht="30.0" customHeight="1">
      <c r="B76" s="32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23"/>
      <c r="AI76" s="23"/>
      <c r="AJ76" s="23"/>
    </row>
    <row r="77" ht="30.0" customHeight="1">
      <c r="B77" s="32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23"/>
      <c r="AI77" s="23"/>
      <c r="AJ77" s="23"/>
    </row>
    <row r="78" ht="30.0" customHeight="1">
      <c r="B78" s="32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23"/>
      <c r="AI78" s="23"/>
      <c r="AJ78" s="23"/>
    </row>
    <row r="79" ht="30.0" customHeight="1">
      <c r="B79" s="32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23"/>
      <c r="AI79" s="23"/>
      <c r="AJ79" s="23"/>
    </row>
    <row r="80" ht="30.0" customHeight="1">
      <c r="B80" s="32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23"/>
      <c r="AI80" s="23"/>
      <c r="AJ80" s="23"/>
    </row>
    <row r="81" ht="30.0" customHeight="1">
      <c r="B81" s="32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23"/>
      <c r="AI81" s="23"/>
      <c r="AJ81" s="23"/>
    </row>
    <row r="82" ht="30.0" customHeight="1">
      <c r="B82" s="32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23"/>
      <c r="AI82" s="23"/>
      <c r="AJ82" s="23"/>
    </row>
    <row r="83" ht="30.0" customHeight="1">
      <c r="B83" s="40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23"/>
      <c r="AI83" s="23"/>
      <c r="AJ83" s="23"/>
    </row>
    <row r="84" ht="30.0" customHeight="1">
      <c r="B84" s="40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23"/>
      <c r="AI84" s="23"/>
      <c r="AJ84" s="23"/>
    </row>
    <row r="85" ht="30.0" customHeight="1">
      <c r="B85" s="32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23"/>
      <c r="AI85" s="23"/>
      <c r="AJ85" s="23"/>
    </row>
    <row r="86" ht="30.0" customHeight="1">
      <c r="B86" s="32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23"/>
      <c r="AI86" s="23"/>
      <c r="AJ86" s="23"/>
    </row>
    <row r="87" ht="30.0" customHeight="1">
      <c r="B87" s="32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23"/>
      <c r="AI87" s="23"/>
      <c r="AJ87" s="23"/>
    </row>
    <row r="88" ht="30.0" customHeight="1">
      <c r="B88" s="32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23"/>
      <c r="AI88" s="23"/>
      <c r="AJ88" s="23"/>
    </row>
    <row r="89" ht="30.0" customHeight="1">
      <c r="B89" s="32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23"/>
      <c r="AI89" s="23"/>
      <c r="AJ89" s="23"/>
    </row>
    <row r="90" ht="30.0" customHeight="1">
      <c r="B90" s="32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23"/>
      <c r="AI90" s="23"/>
      <c r="AJ90" s="23"/>
    </row>
    <row r="91" ht="30.0" customHeight="1">
      <c r="B91" s="32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23"/>
      <c r="AI91" s="23"/>
      <c r="AJ91" s="23"/>
    </row>
    <row r="92" ht="30.0" customHeight="1">
      <c r="B92" s="32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23"/>
      <c r="AI92" s="23"/>
      <c r="AJ92" s="23"/>
    </row>
    <row r="93" ht="30.0" customHeight="1">
      <c r="B93" s="32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23"/>
      <c r="AI93" s="23"/>
      <c r="AJ93" s="23"/>
    </row>
    <row r="94" ht="30.0" customHeight="1">
      <c r="B94" s="20"/>
      <c r="C94" s="21"/>
      <c r="D94" s="21"/>
      <c r="E94" s="21"/>
      <c r="F94" s="21"/>
      <c r="G94" s="21"/>
      <c r="H94" s="21"/>
      <c r="I94" s="43"/>
      <c r="J94" s="43"/>
      <c r="K94" s="43"/>
      <c r="L94" s="43"/>
      <c r="M94" s="43"/>
      <c r="N94" s="21"/>
      <c r="O94" s="43"/>
      <c r="P94" s="43"/>
      <c r="Q94" s="43"/>
      <c r="R94" s="21"/>
      <c r="S94" s="43"/>
      <c r="T94" s="21"/>
      <c r="U94" s="21"/>
      <c r="V94" s="21"/>
      <c r="W94" s="21"/>
      <c r="X94" s="43"/>
      <c r="Y94" s="21"/>
      <c r="Z94" s="43"/>
      <c r="AA94" s="21"/>
      <c r="AB94" s="21"/>
      <c r="AC94" s="21"/>
      <c r="AD94" s="21"/>
      <c r="AE94" s="33"/>
      <c r="AF94" s="21"/>
      <c r="AG94" s="21"/>
      <c r="AH94" s="23"/>
      <c r="AI94" s="23"/>
      <c r="AJ94" s="23"/>
    </row>
    <row r="95" ht="30.0" customHeight="1">
      <c r="B95" s="48" t="str">
        <f>Octubre!MonthName&amp;" Total"</f>
        <v>Enero Total</v>
      </c>
      <c r="C95" s="25">
        <f>SUBTOTAL(103,Octubre!$C$7)</f>
        <v>0</v>
      </c>
      <c r="D95" s="25">
        <f>SUBTOTAL(103,Octubre!$D$7)</f>
        <v>0</v>
      </c>
      <c r="E95" s="25">
        <f>SUBTOTAL(103,Octubre!$E$7)</f>
        <v>0</v>
      </c>
      <c r="F95" s="25"/>
      <c r="G95" s="25">
        <f>SUBTOTAL(103,Octubre!$G$7)</f>
        <v>0</v>
      </c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</row>
    <row r="96" ht="30.0" customHeight="1">
      <c r="AH96" s="5"/>
      <c r="AI96" s="5"/>
      <c r="AJ96" s="5"/>
    </row>
    <row r="97" ht="30.0" customHeight="1">
      <c r="B97" s="30" t="s">
        <v>12</v>
      </c>
      <c r="C97" s="27" t="s">
        <v>118</v>
      </c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39">
        <v>2026.0</v>
      </c>
      <c r="AI97" s="15"/>
      <c r="AJ97" s="15"/>
    </row>
    <row r="98" ht="30.0" customHeight="1">
      <c r="B98" s="30"/>
      <c r="C98" s="16" t="str">
        <f>TEXT(WEEKDAY(DATE(Octubre!CalendarioAño,1,1),1),"ddd")</f>
        <v>jue</v>
      </c>
      <c r="D98" s="16" t="str">
        <f>TEXT(WEEKDAY(DATE(Octubre!CalendarioAño,1,2),1),"ddd")</f>
        <v>vie</v>
      </c>
      <c r="E98" s="16" t="str">
        <f>TEXT(WEEKDAY(DATE(Octubre!CalendarioAño,1,3),1),"ddd")</f>
        <v>sáb</v>
      </c>
      <c r="F98" s="16" t="str">
        <f>TEXT(WEEKDAY(DATE(Octubre!CalendarioAño,1,4),1),"ddd")</f>
        <v>dom</v>
      </c>
      <c r="G98" s="16" t="str">
        <f>TEXT(WEEKDAY(DATE(Octubre!CalendarioAño,1,5),1),"ddd")</f>
        <v>lun</v>
      </c>
      <c r="H98" s="16" t="str">
        <f>TEXT(WEEKDAY(DATE(Octubre!CalendarioAño,1,6),1),"ddd")</f>
        <v>mar</v>
      </c>
      <c r="I98" s="16" t="str">
        <f>TEXT(WEEKDAY(DATE(Octubre!CalendarioAño,1,7),1),"ddd")</f>
        <v>mié</v>
      </c>
      <c r="J98" s="16" t="str">
        <f>TEXT(WEEKDAY(DATE(Octubre!CalendarioAño,1,8),1),"ddd")</f>
        <v>jue</v>
      </c>
      <c r="K98" s="16" t="str">
        <f>TEXT(WEEKDAY(DATE(Octubre!CalendarioAño,1,9),1),"ddd")</f>
        <v>vie</v>
      </c>
      <c r="L98" s="16" t="str">
        <f>TEXT(WEEKDAY(DATE(Octubre!CalendarioAño,1,10),1),"ddd")</f>
        <v>sáb</v>
      </c>
      <c r="M98" s="16" t="str">
        <f>TEXT(WEEKDAY(DATE(Octubre!CalendarioAño,1,11),1),"ddd")</f>
        <v>dom</v>
      </c>
      <c r="N98" s="16" t="str">
        <f>TEXT(WEEKDAY(DATE(Octubre!CalendarioAño,1,12),1),"ddd")</f>
        <v>lun</v>
      </c>
      <c r="O98" s="16" t="str">
        <f>TEXT(WEEKDAY(DATE(Octubre!CalendarioAño,1,13),1),"ddd")</f>
        <v>mar</v>
      </c>
      <c r="P98" s="16" t="str">
        <f>TEXT(WEEKDAY(DATE(Octubre!CalendarioAño,1,14),1),"ddd")</f>
        <v>mié</v>
      </c>
      <c r="Q98" s="16" t="str">
        <f>TEXT(WEEKDAY(DATE(Octubre!CalendarioAño,1,15),1),"ddd")</f>
        <v>jue</v>
      </c>
      <c r="R98" s="16" t="str">
        <f>TEXT(WEEKDAY(DATE(Octubre!CalendarioAño,1,16),1),"ddd")</f>
        <v>vie</v>
      </c>
      <c r="S98" s="16" t="str">
        <f>TEXT(WEEKDAY(DATE(Octubre!CalendarioAño,1,17),1),"ddd")</f>
        <v>sáb</v>
      </c>
      <c r="T98" s="16" t="str">
        <f>TEXT(WEEKDAY(DATE(Octubre!CalendarioAño,1,18),1),"ddd")</f>
        <v>dom</v>
      </c>
      <c r="U98" s="16" t="str">
        <f>TEXT(WEEKDAY(DATE(Octubre!CalendarioAño,1,19),1),"ddd")</f>
        <v>lun</v>
      </c>
      <c r="V98" s="16" t="str">
        <f>TEXT(WEEKDAY(DATE(Octubre!CalendarioAño,1,20),1),"ddd")</f>
        <v>mar</v>
      </c>
      <c r="W98" s="16" t="str">
        <f>TEXT(WEEKDAY(DATE(Octubre!CalendarioAño,1,21),1),"ddd")</f>
        <v>mié</v>
      </c>
      <c r="X98" s="16" t="str">
        <f>TEXT(WEEKDAY(DATE(Octubre!CalendarioAño,1,22),1),"ddd")</f>
        <v>jue</v>
      </c>
      <c r="Y98" s="16" t="str">
        <f>TEXT(WEEKDAY(DATE(Octubre!CalendarioAño,1,23),1),"ddd")</f>
        <v>vie</v>
      </c>
      <c r="Z98" s="16" t="str">
        <f>TEXT(WEEKDAY(DATE(Octubre!CalendarioAño,1,24),1),"ddd")</f>
        <v>sáb</v>
      </c>
      <c r="AA98" s="16" t="str">
        <f>TEXT(WEEKDAY(DATE(Octubre!CalendarioAño,1,25),1),"ddd")</f>
        <v>dom</v>
      </c>
      <c r="AB98" s="16" t="str">
        <f>TEXT(WEEKDAY(DATE(Octubre!CalendarioAño,1,26),1),"ddd")</f>
        <v>lun</v>
      </c>
      <c r="AC98" s="16" t="str">
        <f>TEXT(WEEKDAY(DATE(Octubre!CalendarioAño,1,27),1),"ddd")</f>
        <v>mar</v>
      </c>
      <c r="AD98" s="16" t="str">
        <f>TEXT(WEEKDAY(DATE(Octubre!CalendarioAño,1,28),1),"ddd")</f>
        <v>mié</v>
      </c>
      <c r="AE98" s="16" t="str">
        <f>TEXT(WEEKDAY(DATE(Octubre!CalendarioAño,1,29),1),"ddd")</f>
        <v>jue</v>
      </c>
      <c r="AF98" s="16" t="str">
        <f>TEXT(WEEKDAY(DATE(Octubre!CalendarioAño,1,30),1),"ddd")</f>
        <v>vie</v>
      </c>
      <c r="AG98" s="16" t="str">
        <f>TEXT(WEEKDAY(DATE(Octubre!CalendarioAño,1,31),1),"ddd")</f>
        <v>sáb</v>
      </c>
      <c r="AH98" s="30"/>
      <c r="AI98" s="14"/>
      <c r="AJ98" s="14"/>
    </row>
    <row r="99" ht="30.0" customHeight="1">
      <c r="A99" s="17"/>
      <c r="B99" s="31" t="s">
        <v>14</v>
      </c>
      <c r="C99" s="19" t="s">
        <v>15</v>
      </c>
      <c r="D99" s="19" t="s">
        <v>16</v>
      </c>
      <c r="E99" s="19" t="s">
        <v>17</v>
      </c>
      <c r="F99" s="19" t="s">
        <v>18</v>
      </c>
      <c r="G99" s="19" t="s">
        <v>19</v>
      </c>
      <c r="H99" s="19" t="s">
        <v>20</v>
      </c>
      <c r="I99" s="19" t="s">
        <v>21</v>
      </c>
      <c r="J99" s="19" t="s">
        <v>22</v>
      </c>
      <c r="K99" s="19" t="s">
        <v>23</v>
      </c>
      <c r="L99" s="19" t="s">
        <v>24</v>
      </c>
      <c r="M99" s="19" t="s">
        <v>25</v>
      </c>
      <c r="N99" s="19" t="s">
        <v>26</v>
      </c>
      <c r="O99" s="19" t="s">
        <v>27</v>
      </c>
      <c r="P99" s="19" t="s">
        <v>28</v>
      </c>
      <c r="Q99" s="19" t="s">
        <v>29</v>
      </c>
      <c r="R99" s="19" t="s">
        <v>30</v>
      </c>
      <c r="S99" s="19" t="s">
        <v>31</v>
      </c>
      <c r="T99" s="19" t="s">
        <v>32</v>
      </c>
      <c r="U99" s="19" t="s">
        <v>33</v>
      </c>
      <c r="V99" s="19" t="s">
        <v>34</v>
      </c>
      <c r="W99" s="19" t="s">
        <v>35</v>
      </c>
      <c r="X99" s="19" t="s">
        <v>36</v>
      </c>
      <c r="Y99" s="19" t="s">
        <v>37</v>
      </c>
      <c r="Z99" s="19" t="s">
        <v>38</v>
      </c>
      <c r="AA99" s="19" t="s">
        <v>39</v>
      </c>
      <c r="AB99" s="19" t="s">
        <v>40</v>
      </c>
      <c r="AC99" s="19" t="s">
        <v>41</v>
      </c>
      <c r="AD99" s="19" t="s">
        <v>42</v>
      </c>
      <c r="AE99" s="19" t="s">
        <v>43</v>
      </c>
      <c r="AF99" s="19" t="s">
        <v>44</v>
      </c>
      <c r="AG99" s="19" t="s">
        <v>45</v>
      </c>
      <c r="AH99" s="19" t="s">
        <v>46</v>
      </c>
      <c r="AI99" s="19"/>
      <c r="AJ99" s="19"/>
    </row>
    <row r="100" ht="30.0" customHeight="1">
      <c r="B100" s="32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23"/>
      <c r="AI100" s="23"/>
      <c r="AJ100" s="23"/>
    </row>
    <row r="101" ht="30.0" customHeight="1">
      <c r="B101" s="32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23"/>
      <c r="AI101" s="23"/>
      <c r="AJ101" s="23"/>
    </row>
    <row r="102" ht="30.0" customHeight="1">
      <c r="B102" s="32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23"/>
      <c r="AI102" s="23"/>
      <c r="AJ102" s="23"/>
    </row>
    <row r="103" ht="30.0" customHeight="1">
      <c r="B103" s="32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23"/>
      <c r="AI103" s="23"/>
      <c r="AJ103" s="23"/>
    </row>
    <row r="104" ht="30.0" customHeight="1">
      <c r="B104" s="32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23"/>
      <c r="AI104" s="23"/>
      <c r="AJ104" s="23"/>
    </row>
    <row r="105" ht="30.0" customHeight="1">
      <c r="B105" s="32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23"/>
      <c r="AI105" s="23"/>
      <c r="AJ105" s="23"/>
    </row>
    <row r="106" ht="30.0" customHeight="1">
      <c r="B106" s="32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23"/>
      <c r="AI106" s="23"/>
      <c r="AJ106" s="23"/>
    </row>
    <row r="107" ht="30.0" customHeight="1">
      <c r="B107" s="32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23"/>
      <c r="AI107" s="23"/>
      <c r="AJ107" s="23"/>
    </row>
    <row r="108" ht="30.0" customHeight="1">
      <c r="B108" s="32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23"/>
      <c r="AI108" s="23"/>
      <c r="AJ108" s="23"/>
    </row>
    <row r="109" ht="30.0" customHeight="1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23"/>
      <c r="AI109" s="23"/>
      <c r="AJ109" s="23"/>
    </row>
    <row r="110" ht="30.0" customHeight="1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23"/>
      <c r="AI110" s="23"/>
      <c r="AJ110" s="23"/>
    </row>
    <row r="111" ht="30.0" customHeight="1">
      <c r="A111" s="50"/>
      <c r="B111" s="5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23"/>
      <c r="AI111" s="23"/>
      <c r="AJ111" s="23"/>
    </row>
    <row r="112" ht="30.0" customHeight="1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23"/>
      <c r="AI112" s="23"/>
      <c r="AJ112" s="23"/>
    </row>
    <row r="113" ht="30.0" customHeight="1">
      <c r="A113" s="50"/>
      <c r="B113" s="5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23"/>
      <c r="AI113" s="23"/>
      <c r="AJ113" s="23"/>
    </row>
    <row r="114" ht="30.0" customHeight="1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23"/>
      <c r="AI114" s="23"/>
      <c r="AJ114" s="23"/>
    </row>
    <row r="115" ht="30.0" customHeight="1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23"/>
      <c r="AI115" s="23"/>
      <c r="AJ115" s="23"/>
    </row>
    <row r="116" ht="30.0" customHeight="1">
      <c r="A116" s="50"/>
      <c r="B116" s="5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23"/>
      <c r="AI116" s="23"/>
      <c r="AJ116" s="23"/>
    </row>
    <row r="117" ht="30.0" customHeight="1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23"/>
      <c r="AI117" s="23"/>
      <c r="AJ117" s="23"/>
    </row>
    <row r="118" ht="30.0" customHeight="1">
      <c r="A118" s="50"/>
      <c r="B118" s="5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23"/>
      <c r="AI118" s="23"/>
      <c r="AJ118" s="23"/>
    </row>
    <row r="119" ht="30.0" customHeight="1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23"/>
      <c r="AI119" s="23"/>
      <c r="AJ119" s="23"/>
    </row>
    <row r="120" ht="30.0" customHeight="1">
      <c r="A120" s="50"/>
      <c r="B120" s="71"/>
      <c r="C120" s="36"/>
      <c r="D120" s="36"/>
      <c r="E120" s="36"/>
      <c r="F120" s="36"/>
      <c r="G120" s="36"/>
      <c r="H120" s="36"/>
      <c r="I120" s="36"/>
      <c r="J120" s="36"/>
      <c r="K120" s="52"/>
      <c r="L120" s="43"/>
      <c r="M120" s="43"/>
      <c r="N120" s="36"/>
      <c r="O120" s="43"/>
      <c r="P120" s="43"/>
      <c r="Q120" s="36"/>
      <c r="R120" s="36"/>
      <c r="S120" s="36"/>
      <c r="T120" s="43"/>
      <c r="U120" s="36"/>
      <c r="V120" s="36"/>
      <c r="W120" s="36"/>
      <c r="X120" s="36"/>
      <c r="Y120" s="36"/>
      <c r="Z120" s="36"/>
      <c r="AA120" s="43"/>
      <c r="AB120" s="36"/>
      <c r="AC120" s="36"/>
      <c r="AD120" s="36"/>
      <c r="AE120" s="36"/>
      <c r="AF120" s="33"/>
      <c r="AG120" s="36"/>
      <c r="AH120" s="23"/>
      <c r="AI120" s="23"/>
      <c r="AJ120" s="23"/>
    </row>
    <row r="121" ht="30.0" customHeight="1">
      <c r="B121" s="48" t="str">
        <f>Octubre!MonthName&amp;" Total"</f>
        <v>Enero Total</v>
      </c>
      <c r="C121" s="25">
        <f>SUBTOTAL(103,Octubre!$C$7)</f>
        <v>0</v>
      </c>
      <c r="D121" s="25">
        <f>SUBTOTAL(103,Octubre!$D$7)</f>
        <v>0</v>
      </c>
      <c r="E121" s="25">
        <f>SUBTOTAL(103,Octubre!$E$7)</f>
        <v>0</v>
      </c>
      <c r="F121" s="25"/>
      <c r="G121" s="25"/>
      <c r="H121" s="25">
        <f>SUBTOTAL(103,Octubre!$H$7)</f>
        <v>0</v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</row>
    <row r="122" ht="30.0" customHeight="1">
      <c r="AH122" s="5"/>
      <c r="AI122" s="5"/>
      <c r="AJ122" s="5"/>
    </row>
    <row r="123" ht="30.0" customHeight="1">
      <c r="B123" s="30" t="s">
        <v>12</v>
      </c>
      <c r="C123" s="27" t="s">
        <v>140</v>
      </c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39">
        <v>2026.0</v>
      </c>
      <c r="AI123" s="15"/>
      <c r="AJ123" s="15"/>
    </row>
    <row r="124" ht="30.0" customHeight="1">
      <c r="B124" s="30"/>
      <c r="C124" s="16" t="str">
        <f>TEXT(WEEKDAY(DATE(Octubre!CalendarioAño,1,1),1),"ddd")</f>
        <v>jue</v>
      </c>
      <c r="D124" s="16" t="str">
        <f>TEXT(WEEKDAY(DATE(Octubre!CalendarioAño,1,2),1),"ddd")</f>
        <v>vie</v>
      </c>
      <c r="E124" s="16" t="str">
        <f>TEXT(WEEKDAY(DATE(Octubre!CalendarioAño,1,3),1),"ddd")</f>
        <v>sáb</v>
      </c>
      <c r="F124" s="16" t="str">
        <f>TEXT(WEEKDAY(DATE(Octubre!CalendarioAño,1,4),1),"ddd")</f>
        <v>dom</v>
      </c>
      <c r="G124" s="16" t="str">
        <f>TEXT(WEEKDAY(DATE(Octubre!CalendarioAño,1,5),1),"ddd")</f>
        <v>lun</v>
      </c>
      <c r="H124" s="16" t="str">
        <f>TEXT(WEEKDAY(DATE(Octubre!CalendarioAño,1,6),1),"ddd")</f>
        <v>mar</v>
      </c>
      <c r="I124" s="16" t="str">
        <f>TEXT(WEEKDAY(DATE(Octubre!CalendarioAño,1,7),1),"ddd")</f>
        <v>mié</v>
      </c>
      <c r="J124" s="16" t="str">
        <f>TEXT(WEEKDAY(DATE(Octubre!CalendarioAño,1,8),1),"ddd")</f>
        <v>jue</v>
      </c>
      <c r="K124" s="16" t="str">
        <f>TEXT(WEEKDAY(DATE(Octubre!CalendarioAño,1,9),1),"ddd")</f>
        <v>vie</v>
      </c>
      <c r="L124" s="16" t="str">
        <f>TEXT(WEEKDAY(DATE(Octubre!CalendarioAño,1,10),1),"ddd")</f>
        <v>sáb</v>
      </c>
      <c r="M124" s="16" t="str">
        <f>TEXT(WEEKDAY(DATE(Octubre!CalendarioAño,1,11),1),"ddd")</f>
        <v>dom</v>
      </c>
      <c r="N124" s="16" t="str">
        <f>TEXT(WEEKDAY(DATE(Octubre!CalendarioAño,1,12),1),"ddd")</f>
        <v>lun</v>
      </c>
      <c r="O124" s="16" t="str">
        <f>TEXT(WEEKDAY(DATE(Octubre!CalendarioAño,1,13),1),"ddd")</f>
        <v>mar</v>
      </c>
      <c r="P124" s="16" t="str">
        <f>TEXT(WEEKDAY(DATE(Octubre!CalendarioAño,1,14),1),"ddd")</f>
        <v>mié</v>
      </c>
      <c r="Q124" s="16" t="str">
        <f>TEXT(WEEKDAY(DATE(Octubre!CalendarioAño,1,15),1),"ddd")</f>
        <v>jue</v>
      </c>
      <c r="R124" s="16" t="str">
        <f>TEXT(WEEKDAY(DATE(Octubre!CalendarioAño,1,16),1),"ddd")</f>
        <v>vie</v>
      </c>
      <c r="S124" s="16" t="str">
        <f>TEXT(WEEKDAY(DATE(Octubre!CalendarioAño,1,17),1),"ddd")</f>
        <v>sáb</v>
      </c>
      <c r="T124" s="16" t="str">
        <f>TEXT(WEEKDAY(DATE(Octubre!CalendarioAño,1,18),1),"ddd")</f>
        <v>dom</v>
      </c>
      <c r="U124" s="16" t="str">
        <f>TEXT(WEEKDAY(DATE(Octubre!CalendarioAño,1,19),1),"ddd")</f>
        <v>lun</v>
      </c>
      <c r="V124" s="16" t="str">
        <f>TEXT(WEEKDAY(DATE(Octubre!CalendarioAño,1,20),1),"ddd")</f>
        <v>mar</v>
      </c>
      <c r="W124" s="16" t="str">
        <f>TEXT(WEEKDAY(DATE(Octubre!CalendarioAño,1,21),1),"ddd")</f>
        <v>mié</v>
      </c>
      <c r="X124" s="16" t="str">
        <f>TEXT(WEEKDAY(DATE(Octubre!CalendarioAño,1,22),1),"ddd")</f>
        <v>jue</v>
      </c>
      <c r="Y124" s="16" t="str">
        <f>TEXT(WEEKDAY(DATE(Octubre!CalendarioAño,1,23),1),"ddd")</f>
        <v>vie</v>
      </c>
      <c r="Z124" s="16" t="str">
        <f>TEXT(WEEKDAY(DATE(Octubre!CalendarioAño,1,24),1),"ddd")</f>
        <v>sáb</v>
      </c>
      <c r="AA124" s="16" t="str">
        <f>TEXT(WEEKDAY(DATE(Octubre!CalendarioAño,1,25),1),"ddd")</f>
        <v>dom</v>
      </c>
      <c r="AB124" s="16" t="str">
        <f>TEXT(WEEKDAY(DATE(Octubre!CalendarioAño,1,26),1),"ddd")</f>
        <v>lun</v>
      </c>
      <c r="AC124" s="16" t="str">
        <f>TEXT(WEEKDAY(DATE(Octubre!CalendarioAño,1,27),1),"ddd")</f>
        <v>mar</v>
      </c>
      <c r="AD124" s="16" t="str">
        <f>TEXT(WEEKDAY(DATE(Octubre!CalendarioAño,1,28),1),"ddd")</f>
        <v>mié</v>
      </c>
      <c r="AE124" s="16" t="str">
        <f>TEXT(WEEKDAY(DATE(Octubre!CalendarioAño,1,29),1),"ddd")</f>
        <v>jue</v>
      </c>
      <c r="AF124" s="16" t="str">
        <f>TEXT(WEEKDAY(DATE(Octubre!CalendarioAño,1,30),1),"ddd")</f>
        <v>vie</v>
      </c>
      <c r="AG124" s="16" t="str">
        <f>TEXT(WEEKDAY(DATE(Octubre!CalendarioAño,1,31),1),"ddd")</f>
        <v>sáb</v>
      </c>
      <c r="AH124" s="30"/>
      <c r="AI124" s="14"/>
      <c r="AJ124" s="14"/>
    </row>
    <row r="125" ht="30.0" customHeight="1">
      <c r="A125" s="17"/>
      <c r="B125" s="31" t="s">
        <v>14</v>
      </c>
      <c r="C125" s="19" t="s">
        <v>15</v>
      </c>
      <c r="D125" s="19" t="s">
        <v>16</v>
      </c>
      <c r="E125" s="19" t="s">
        <v>17</v>
      </c>
      <c r="F125" s="19" t="s">
        <v>18</v>
      </c>
      <c r="G125" s="19" t="s">
        <v>19</v>
      </c>
      <c r="H125" s="19" t="s">
        <v>20</v>
      </c>
      <c r="I125" s="19" t="s">
        <v>21</v>
      </c>
      <c r="J125" s="19" t="s">
        <v>22</v>
      </c>
      <c r="K125" s="19" t="s">
        <v>23</v>
      </c>
      <c r="L125" s="19" t="s">
        <v>24</v>
      </c>
      <c r="M125" s="19" t="s">
        <v>25</v>
      </c>
      <c r="N125" s="19" t="s">
        <v>26</v>
      </c>
      <c r="O125" s="19" t="s">
        <v>27</v>
      </c>
      <c r="P125" s="19" t="s">
        <v>28</v>
      </c>
      <c r="Q125" s="19" t="s">
        <v>29</v>
      </c>
      <c r="R125" s="19" t="s">
        <v>30</v>
      </c>
      <c r="S125" s="19" t="s">
        <v>31</v>
      </c>
      <c r="T125" s="19" t="s">
        <v>32</v>
      </c>
      <c r="U125" s="19" t="s">
        <v>33</v>
      </c>
      <c r="V125" s="19" t="s">
        <v>34</v>
      </c>
      <c r="W125" s="19" t="s">
        <v>35</v>
      </c>
      <c r="X125" s="19" t="s">
        <v>36</v>
      </c>
      <c r="Y125" s="19" t="s">
        <v>37</v>
      </c>
      <c r="Z125" s="19" t="s">
        <v>38</v>
      </c>
      <c r="AA125" s="19" t="s">
        <v>39</v>
      </c>
      <c r="AB125" s="19" t="s">
        <v>40</v>
      </c>
      <c r="AC125" s="19" t="s">
        <v>41</v>
      </c>
      <c r="AD125" s="19" t="s">
        <v>42</v>
      </c>
      <c r="AE125" s="19" t="s">
        <v>43</v>
      </c>
      <c r="AF125" s="19" t="s">
        <v>44</v>
      </c>
      <c r="AG125" s="19" t="s">
        <v>45</v>
      </c>
      <c r="AH125" s="19" t="s">
        <v>46</v>
      </c>
      <c r="AI125" s="19"/>
      <c r="AJ125" s="19"/>
    </row>
    <row r="126" ht="30.0" customHeight="1">
      <c r="B126" s="40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23"/>
      <c r="AI126" s="23"/>
      <c r="AJ126" s="23"/>
    </row>
    <row r="127" ht="30.0" customHeight="1">
      <c r="B127" s="32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23"/>
      <c r="AI127" s="23"/>
      <c r="AJ127" s="23"/>
    </row>
    <row r="128" ht="30.0" customHeight="1">
      <c r="B128" s="32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23"/>
      <c r="AI128" s="23"/>
      <c r="AJ128" s="23"/>
    </row>
    <row r="129" ht="30.0" customHeight="1">
      <c r="B129" s="32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23"/>
      <c r="AI129" s="23"/>
      <c r="AJ129" s="23"/>
    </row>
    <row r="130" ht="30.0" customHeight="1">
      <c r="B130" s="32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23"/>
      <c r="AI130" s="23"/>
      <c r="AJ130" s="23"/>
    </row>
    <row r="131" ht="30.0" customHeight="1">
      <c r="B131" s="40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23"/>
      <c r="AI131" s="23"/>
      <c r="AJ131" s="23"/>
    </row>
    <row r="132" ht="30.0" customHeight="1">
      <c r="B132" s="32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23"/>
      <c r="AI132" s="23"/>
      <c r="AJ132" s="23"/>
    </row>
    <row r="133" ht="30.0" customHeight="1">
      <c r="B133" s="32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23"/>
      <c r="AI133" s="23"/>
      <c r="AJ133" s="23"/>
    </row>
    <row r="134" ht="30.0" customHeight="1">
      <c r="B134" s="32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23"/>
      <c r="AI134" s="23"/>
      <c r="AJ134" s="23"/>
    </row>
    <row r="135" ht="30.0" customHeight="1">
      <c r="B135" s="32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23"/>
      <c r="AI135" s="23"/>
      <c r="AJ135" s="23"/>
    </row>
    <row r="136" ht="30.0" customHeight="1">
      <c r="B136" s="32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23"/>
      <c r="AI136" s="23"/>
      <c r="AJ136" s="23"/>
    </row>
    <row r="137" ht="30.0" customHeight="1">
      <c r="B137" s="32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23"/>
      <c r="AI137" s="23"/>
      <c r="AJ137" s="23"/>
    </row>
    <row r="138" ht="30.0" customHeight="1">
      <c r="B138" s="32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23"/>
      <c r="AI138" s="23"/>
      <c r="AJ138" s="23"/>
    </row>
    <row r="139" ht="30.0" customHeight="1">
      <c r="B139" s="32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23"/>
      <c r="AI139" s="23"/>
      <c r="AJ139" s="23"/>
    </row>
    <row r="140" ht="30.0" customHeight="1">
      <c r="B140" s="32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23"/>
      <c r="AI140" s="23"/>
      <c r="AJ140" s="23"/>
    </row>
    <row r="141" ht="30.0" customHeight="1">
      <c r="B141" s="32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23"/>
      <c r="AI141" s="23"/>
      <c r="AJ141" s="23"/>
    </row>
    <row r="142" ht="30.0" customHeight="1">
      <c r="B142" s="32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25"/>
      <c r="AI142" s="25"/>
      <c r="AJ142" s="25"/>
    </row>
    <row r="143" ht="30.0" customHeight="1">
      <c r="B143" s="32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25"/>
      <c r="AI143" s="25"/>
      <c r="AJ143" s="25"/>
    </row>
    <row r="144" ht="30.0" customHeight="1">
      <c r="B144" s="32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25"/>
      <c r="AI144" s="25"/>
      <c r="AJ144" s="25"/>
    </row>
    <row r="145" ht="30.0" customHeight="1">
      <c r="B145" s="48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25"/>
      <c r="AI145" s="25"/>
      <c r="AJ145" s="25"/>
    </row>
    <row r="146" ht="30.0" customHeight="1">
      <c r="B146" s="48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</row>
    <row r="147" ht="30.0" customHeight="1">
      <c r="B147" s="48" t="str">
        <f>Octubre!MonthName&amp;" Total"</f>
        <v>Enero Total</v>
      </c>
      <c r="C147" s="25">
        <f>SUBTOTAL(103,Octubre!$C$7)</f>
        <v>0</v>
      </c>
      <c r="D147" s="25">
        <f>SUBTOTAL(103,Octubre!$D$7)</f>
        <v>0</v>
      </c>
      <c r="E147" s="25">
        <f>SUBTOTAL(103,Octubre!$E$7)</f>
        <v>0</v>
      </c>
      <c r="F147" s="25"/>
      <c r="G147" s="25"/>
      <c r="H147" s="25">
        <f>SUBTOTAL(103,Octubre!$H$7)</f>
        <v>0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>
        <f>SUBTOTAL(103,Octubre!$AE$7)</f>
        <v>0</v>
      </c>
      <c r="AF147" s="25">
        <f>SUBTOTAL(103,Octubre!$AF$7)</f>
        <v>0</v>
      </c>
      <c r="AG147" s="25">
        <f>SUBTOTAL(103,Octubre!$AG$7)</f>
        <v>0</v>
      </c>
      <c r="AH147" s="25">
        <f>SUM(C147:AG147)</f>
        <v>0</v>
      </c>
      <c r="AI147" s="25"/>
      <c r="AJ147" s="25"/>
    </row>
    <row r="148" ht="30.0" customHeight="1">
      <c r="AH148" s="5"/>
      <c r="AI148" s="5"/>
      <c r="AJ148" s="5"/>
    </row>
    <row r="149" ht="30.0" customHeight="1">
      <c r="B149" s="30" t="s">
        <v>12</v>
      </c>
      <c r="C149" s="27" t="s">
        <v>160</v>
      </c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39">
        <v>2026.0</v>
      </c>
      <c r="AI149" s="15"/>
      <c r="AJ149" s="15"/>
    </row>
    <row r="150" ht="30.0" customHeight="1">
      <c r="B150" s="30"/>
      <c r="C150" s="16" t="str">
        <f>TEXT(WEEKDAY(DATE(Octubre!CalendarioAño,1,1),1),"ddd")</f>
        <v>jue</v>
      </c>
      <c r="D150" s="16" t="str">
        <f>TEXT(WEEKDAY(DATE(Octubre!CalendarioAño,1,2),1),"ddd")</f>
        <v>vie</v>
      </c>
      <c r="E150" s="16" t="str">
        <f>TEXT(WEEKDAY(DATE(Octubre!CalendarioAño,1,3),1),"ddd")</f>
        <v>sáb</v>
      </c>
      <c r="F150" s="16" t="str">
        <f>TEXT(WEEKDAY(DATE(Octubre!CalendarioAño,1,4),1),"ddd")</f>
        <v>dom</v>
      </c>
      <c r="G150" s="16" t="str">
        <f>TEXT(WEEKDAY(DATE(Octubre!CalendarioAño,1,5),1),"ddd")</f>
        <v>lun</v>
      </c>
      <c r="H150" s="16" t="str">
        <f>TEXT(WEEKDAY(DATE(Octubre!CalendarioAño,1,6),1),"ddd")</f>
        <v>mar</v>
      </c>
      <c r="I150" s="16" t="str">
        <f>TEXT(WEEKDAY(DATE(Octubre!CalendarioAño,1,7),1),"ddd")</f>
        <v>mié</v>
      </c>
      <c r="J150" s="16" t="str">
        <f>TEXT(WEEKDAY(DATE(Octubre!CalendarioAño,1,8),1),"ddd")</f>
        <v>jue</v>
      </c>
      <c r="K150" s="16" t="str">
        <f>TEXT(WEEKDAY(DATE(Octubre!CalendarioAño,1,9),1),"ddd")</f>
        <v>vie</v>
      </c>
      <c r="L150" s="16" t="str">
        <f>TEXT(WEEKDAY(DATE(Octubre!CalendarioAño,1,10),1),"ddd")</f>
        <v>sáb</v>
      </c>
      <c r="M150" s="16" t="str">
        <f>TEXT(WEEKDAY(DATE(Octubre!CalendarioAño,1,11),1),"ddd")</f>
        <v>dom</v>
      </c>
      <c r="N150" s="16" t="str">
        <f>TEXT(WEEKDAY(DATE(Octubre!CalendarioAño,1,12),1),"ddd")</f>
        <v>lun</v>
      </c>
      <c r="O150" s="16" t="str">
        <f>TEXT(WEEKDAY(DATE(Octubre!CalendarioAño,1,13),1),"ddd")</f>
        <v>mar</v>
      </c>
      <c r="P150" s="16" t="str">
        <f>TEXT(WEEKDAY(DATE(Octubre!CalendarioAño,1,14),1),"ddd")</f>
        <v>mié</v>
      </c>
      <c r="Q150" s="16" t="str">
        <f>TEXT(WEEKDAY(DATE(Octubre!CalendarioAño,1,15),1),"ddd")</f>
        <v>jue</v>
      </c>
      <c r="R150" s="16" t="str">
        <f>TEXT(WEEKDAY(DATE(Octubre!CalendarioAño,1,16),1),"ddd")</f>
        <v>vie</v>
      </c>
      <c r="S150" s="16" t="str">
        <f>TEXT(WEEKDAY(DATE(Octubre!CalendarioAño,1,17),1),"ddd")</f>
        <v>sáb</v>
      </c>
      <c r="T150" s="16" t="str">
        <f>TEXT(WEEKDAY(DATE(Octubre!CalendarioAño,1,18),1),"ddd")</f>
        <v>dom</v>
      </c>
      <c r="U150" s="16" t="str">
        <f>TEXT(WEEKDAY(DATE(Octubre!CalendarioAño,1,19),1),"ddd")</f>
        <v>lun</v>
      </c>
      <c r="V150" s="16" t="str">
        <f>TEXT(WEEKDAY(DATE(Octubre!CalendarioAño,1,20),1),"ddd")</f>
        <v>mar</v>
      </c>
      <c r="W150" s="16" t="str">
        <f>TEXT(WEEKDAY(DATE(Octubre!CalendarioAño,1,21),1),"ddd")</f>
        <v>mié</v>
      </c>
      <c r="X150" s="16" t="str">
        <f>TEXT(WEEKDAY(DATE(Octubre!CalendarioAño,1,22),1),"ddd")</f>
        <v>jue</v>
      </c>
      <c r="Y150" s="16" t="str">
        <f>TEXT(WEEKDAY(DATE(Octubre!CalendarioAño,1,23),1),"ddd")</f>
        <v>vie</v>
      </c>
      <c r="Z150" s="16" t="str">
        <f>TEXT(WEEKDAY(DATE(Octubre!CalendarioAño,1,24),1),"ddd")</f>
        <v>sáb</v>
      </c>
      <c r="AA150" s="16" t="str">
        <f>TEXT(WEEKDAY(DATE(Octubre!CalendarioAño,1,25),1),"ddd")</f>
        <v>dom</v>
      </c>
      <c r="AB150" s="16" t="str">
        <f>TEXT(WEEKDAY(DATE(Octubre!CalendarioAño,1,26),1),"ddd")</f>
        <v>lun</v>
      </c>
      <c r="AC150" s="16" t="str">
        <f>TEXT(WEEKDAY(DATE(Octubre!CalendarioAño,1,27),1),"ddd")</f>
        <v>mar</v>
      </c>
      <c r="AD150" s="16" t="str">
        <f>TEXT(WEEKDAY(DATE(Octubre!CalendarioAño,1,28),1),"ddd")</f>
        <v>mié</v>
      </c>
      <c r="AE150" s="16" t="str">
        <f>TEXT(WEEKDAY(DATE(Octubre!CalendarioAño,1,29),1),"ddd")</f>
        <v>jue</v>
      </c>
      <c r="AF150" s="16" t="str">
        <f>TEXT(WEEKDAY(DATE(Octubre!CalendarioAño,1,30),1),"ddd")</f>
        <v>vie</v>
      </c>
      <c r="AG150" s="16" t="str">
        <f>TEXT(WEEKDAY(DATE(Octubre!CalendarioAño,1,31),1),"ddd")</f>
        <v>sáb</v>
      </c>
      <c r="AH150" s="30"/>
      <c r="AI150" s="14"/>
      <c r="AJ150" s="14"/>
    </row>
    <row r="151" ht="30.0" customHeight="1">
      <c r="A151" s="17"/>
      <c r="B151" s="31" t="s">
        <v>14</v>
      </c>
      <c r="C151" s="19" t="s">
        <v>15</v>
      </c>
      <c r="D151" s="19" t="s">
        <v>16</v>
      </c>
      <c r="E151" s="19" t="s">
        <v>17</v>
      </c>
      <c r="F151" s="19" t="s">
        <v>18</v>
      </c>
      <c r="G151" s="19" t="s">
        <v>19</v>
      </c>
      <c r="H151" s="19" t="s">
        <v>20</v>
      </c>
      <c r="I151" s="19" t="s">
        <v>21</v>
      </c>
      <c r="J151" s="19" t="s">
        <v>22</v>
      </c>
      <c r="K151" s="19" t="s">
        <v>23</v>
      </c>
      <c r="L151" s="19" t="s">
        <v>24</v>
      </c>
      <c r="M151" s="19" t="s">
        <v>25</v>
      </c>
      <c r="N151" s="19" t="s">
        <v>26</v>
      </c>
      <c r="O151" s="19" t="s">
        <v>27</v>
      </c>
      <c r="P151" s="19" t="s">
        <v>28</v>
      </c>
      <c r="Q151" s="19" t="s">
        <v>29</v>
      </c>
      <c r="R151" s="19" t="s">
        <v>30</v>
      </c>
      <c r="S151" s="19" t="s">
        <v>31</v>
      </c>
      <c r="T151" s="19" t="s">
        <v>32</v>
      </c>
      <c r="U151" s="19" t="s">
        <v>33</v>
      </c>
      <c r="V151" s="19" t="s">
        <v>34</v>
      </c>
      <c r="W151" s="19" t="s">
        <v>35</v>
      </c>
      <c r="X151" s="19" t="s">
        <v>36</v>
      </c>
      <c r="Y151" s="19" t="s">
        <v>37</v>
      </c>
      <c r="Z151" s="19" t="s">
        <v>38</v>
      </c>
      <c r="AA151" s="19" t="s">
        <v>39</v>
      </c>
      <c r="AB151" s="19" t="s">
        <v>40</v>
      </c>
      <c r="AC151" s="19" t="s">
        <v>41</v>
      </c>
      <c r="AD151" s="19" t="s">
        <v>42</v>
      </c>
      <c r="AE151" s="19" t="s">
        <v>43</v>
      </c>
      <c r="AF151" s="19" t="s">
        <v>44</v>
      </c>
      <c r="AG151" s="19" t="s">
        <v>45</v>
      </c>
      <c r="AH151" s="19" t="s">
        <v>46</v>
      </c>
      <c r="AI151" s="19"/>
      <c r="AJ151" s="19"/>
    </row>
    <row r="152" ht="30.0" customHeight="1">
      <c r="B152" s="32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23"/>
      <c r="AI152" s="23"/>
      <c r="AJ152" s="23"/>
    </row>
    <row r="153" ht="30.0" customHeight="1">
      <c r="B153" s="40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23"/>
      <c r="AI153" s="23"/>
      <c r="AJ153" s="23"/>
    </row>
    <row r="154" ht="30.0" customHeight="1">
      <c r="B154" s="40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23"/>
      <c r="AI154" s="23"/>
      <c r="AJ154" s="23"/>
    </row>
    <row r="155" ht="30.0" customHeight="1">
      <c r="B155" s="32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23"/>
      <c r="AI155" s="23"/>
      <c r="AJ155" s="23"/>
    </row>
    <row r="156" ht="30.0" customHeight="1">
      <c r="B156" s="32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23"/>
      <c r="AI156" s="23"/>
      <c r="AJ156" s="23"/>
    </row>
    <row r="157" ht="30.0" customHeight="1">
      <c r="B157" s="32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23"/>
      <c r="AI157" s="23"/>
      <c r="AJ157" s="23"/>
    </row>
    <row r="158" ht="30.0" customHeight="1">
      <c r="B158" s="32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23"/>
      <c r="AI158" s="23"/>
      <c r="AJ158" s="23"/>
    </row>
    <row r="159" ht="30.0" customHeight="1">
      <c r="B159" s="32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23"/>
      <c r="AI159" s="23"/>
      <c r="AJ159" s="23"/>
    </row>
    <row r="160" ht="30.0" customHeight="1">
      <c r="B160" s="32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23"/>
      <c r="AI160" s="23"/>
      <c r="AJ160" s="23"/>
    </row>
    <row r="161" ht="30.0" customHeight="1">
      <c r="B161" s="32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23"/>
      <c r="AI161" s="23"/>
      <c r="AJ161" s="23"/>
    </row>
    <row r="162" ht="30.0" customHeight="1">
      <c r="B162" s="20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33"/>
      <c r="N162" s="21"/>
      <c r="O162" s="21"/>
      <c r="P162" s="21"/>
      <c r="Q162" s="21"/>
      <c r="R162" s="21"/>
      <c r="S162" s="21"/>
      <c r="T162" s="33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3"/>
      <c r="AI162" s="23"/>
      <c r="AJ162" s="23"/>
    </row>
    <row r="163" ht="30.0" customHeight="1">
      <c r="B163" s="20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33"/>
      <c r="N163" s="21"/>
      <c r="O163" s="21"/>
      <c r="P163" s="21"/>
      <c r="Q163" s="21"/>
      <c r="R163" s="21"/>
      <c r="S163" s="21"/>
      <c r="T163" s="33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3"/>
      <c r="AI163" s="23"/>
      <c r="AJ163" s="23"/>
    </row>
    <row r="164" ht="30.0" customHeight="1">
      <c r="B164" s="48" t="str">
        <f>Octubre!MonthName&amp;" Total"</f>
        <v>Enero Total</v>
      </c>
      <c r="C164" s="25">
        <f>SUBTOTAL(103,Octubre!$C$7)</f>
        <v>0</v>
      </c>
      <c r="D164" s="25">
        <f>SUBTOTAL(103,Octubre!$D$7)</f>
        <v>0</v>
      </c>
      <c r="E164" s="25">
        <f>SUBTOTAL(103,Octubre!$E$7)</f>
        <v>0</v>
      </c>
      <c r="F164" s="25"/>
      <c r="G164" s="25"/>
      <c r="H164" s="25">
        <f>SUBTOTAL(103,Octubre!$H$7)</f>
        <v>0</v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>
        <f>SUBTOTAL(103,Octubre!$Y$7)</f>
        <v>0</v>
      </c>
      <c r="Z164" s="25">
        <f>SUBTOTAL(103,Octubre!$Z$7)</f>
        <v>0</v>
      </c>
      <c r="AA164" s="25">
        <f>SUBTOTAL(103,Octubre!$AA$7)</f>
        <v>0</v>
      </c>
      <c r="AB164" s="25">
        <f>SUBTOTAL(103,Octubre!$AB$7)</f>
        <v>0</v>
      </c>
      <c r="AC164" s="25">
        <f>SUBTOTAL(103,Octubre!$AC$7)</f>
        <v>0</v>
      </c>
      <c r="AD164" s="25">
        <f>SUBTOTAL(103,Octubre!$AD$7)</f>
        <v>0</v>
      </c>
      <c r="AE164" s="25">
        <f>SUBTOTAL(103,Octubre!$AE$7)</f>
        <v>0</v>
      </c>
      <c r="AF164" s="25">
        <f>SUBTOTAL(103,Octubre!$AF$7)</f>
        <v>0</v>
      </c>
      <c r="AG164" s="25">
        <f>SUBTOTAL(103,Octubre!$AG$7)</f>
        <v>0</v>
      </c>
      <c r="AH164" s="25">
        <f>SUM(C164:AG164)</f>
        <v>0</v>
      </c>
      <c r="AI164" s="25"/>
      <c r="AJ164" s="25"/>
    </row>
    <row r="165" ht="30.0" customHeight="1">
      <c r="AH165" s="5"/>
      <c r="AI165" s="5"/>
      <c r="AJ165" s="5"/>
    </row>
    <row r="166" ht="30.0" customHeight="1">
      <c r="A166" s="50"/>
      <c r="B166" s="30" t="s">
        <v>12</v>
      </c>
      <c r="C166" s="27" t="s">
        <v>171</v>
      </c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39">
        <v>2026.0</v>
      </c>
      <c r="AI166" s="15"/>
      <c r="AJ166" s="15"/>
    </row>
    <row r="167" ht="30.0" customHeight="1">
      <c r="A167" s="50"/>
      <c r="B167" s="56"/>
      <c r="C167" s="16" t="str">
        <f>TEXT(WEEKDAY(DATE(Octubre!CalendarioAño,1,1),1),"ddd")</f>
        <v>jue</v>
      </c>
      <c r="D167" s="16" t="str">
        <f>TEXT(WEEKDAY(DATE(Octubre!CalendarioAño,1,2),1),"ddd")</f>
        <v>vie</v>
      </c>
      <c r="E167" s="16" t="str">
        <f>TEXT(WEEKDAY(DATE(Octubre!CalendarioAño,1,3),1),"ddd")</f>
        <v>sáb</v>
      </c>
      <c r="F167" s="16" t="str">
        <f>TEXT(WEEKDAY(DATE(Octubre!CalendarioAño,1,4),1),"ddd")</f>
        <v>dom</v>
      </c>
      <c r="G167" s="16" t="str">
        <f>TEXT(WEEKDAY(DATE(Octubre!CalendarioAño,1,5),1),"ddd")</f>
        <v>lun</v>
      </c>
      <c r="H167" s="16" t="str">
        <f>TEXT(WEEKDAY(DATE(Octubre!CalendarioAño,1,6),1),"ddd")</f>
        <v>mar</v>
      </c>
      <c r="I167" s="16" t="str">
        <f>TEXT(WEEKDAY(DATE(Octubre!CalendarioAño,1,7),1),"ddd")</f>
        <v>mié</v>
      </c>
      <c r="J167" s="16" t="str">
        <f>TEXT(WEEKDAY(DATE(Octubre!CalendarioAño,1,8),1),"ddd")</f>
        <v>jue</v>
      </c>
      <c r="K167" s="16" t="str">
        <f>TEXT(WEEKDAY(DATE(Octubre!CalendarioAño,1,9),1),"ddd")</f>
        <v>vie</v>
      </c>
      <c r="L167" s="16" t="str">
        <f>TEXT(WEEKDAY(DATE(Octubre!CalendarioAño,1,10),1),"ddd")</f>
        <v>sáb</v>
      </c>
      <c r="M167" s="16" t="str">
        <f>TEXT(WEEKDAY(DATE(Octubre!CalendarioAño,1,11),1),"ddd")</f>
        <v>dom</v>
      </c>
      <c r="N167" s="16" t="str">
        <f>TEXT(WEEKDAY(DATE(Octubre!CalendarioAño,1,12),1),"ddd")</f>
        <v>lun</v>
      </c>
      <c r="O167" s="16" t="str">
        <f>TEXT(WEEKDAY(DATE(Octubre!CalendarioAño,1,13),1),"ddd")</f>
        <v>mar</v>
      </c>
      <c r="P167" s="16" t="str">
        <f>TEXT(WEEKDAY(DATE(Octubre!CalendarioAño,1,14),1),"ddd")</f>
        <v>mié</v>
      </c>
      <c r="Q167" s="16" t="str">
        <f>TEXT(WEEKDAY(DATE(Octubre!CalendarioAño,1,15),1),"ddd")</f>
        <v>jue</v>
      </c>
      <c r="R167" s="16" t="str">
        <f>TEXT(WEEKDAY(DATE(Octubre!CalendarioAño,1,16),1),"ddd")</f>
        <v>vie</v>
      </c>
      <c r="S167" s="16" t="str">
        <f>TEXT(WEEKDAY(DATE(Octubre!CalendarioAño,1,17),1),"ddd")</f>
        <v>sáb</v>
      </c>
      <c r="T167" s="16" t="str">
        <f>TEXT(WEEKDAY(DATE(Octubre!CalendarioAño,1,18),1),"ddd")</f>
        <v>dom</v>
      </c>
      <c r="U167" s="16" t="str">
        <f>TEXT(WEEKDAY(DATE(Octubre!CalendarioAño,1,19),1),"ddd")</f>
        <v>lun</v>
      </c>
      <c r="V167" s="16" t="str">
        <f>TEXT(WEEKDAY(DATE(Octubre!CalendarioAño,1,20),1),"ddd")</f>
        <v>mar</v>
      </c>
      <c r="W167" s="16" t="str">
        <f>TEXT(WEEKDAY(DATE(Octubre!CalendarioAño,1,21),1),"ddd")</f>
        <v>mié</v>
      </c>
      <c r="X167" s="16" t="str">
        <f>TEXT(WEEKDAY(DATE(Octubre!CalendarioAño,1,22),1),"ddd")</f>
        <v>jue</v>
      </c>
      <c r="Y167" s="16" t="str">
        <f>TEXT(WEEKDAY(DATE(Octubre!CalendarioAño,1,23),1),"ddd")</f>
        <v>vie</v>
      </c>
      <c r="Z167" s="16" t="str">
        <f>TEXT(WEEKDAY(DATE(Octubre!CalendarioAño,1,24),1),"ddd")</f>
        <v>sáb</v>
      </c>
      <c r="AA167" s="16" t="str">
        <f>TEXT(WEEKDAY(DATE(Octubre!CalendarioAño,1,25),1),"ddd")</f>
        <v>dom</v>
      </c>
      <c r="AB167" s="16" t="str">
        <f>TEXT(WEEKDAY(DATE(Octubre!CalendarioAño,1,26),1),"ddd")</f>
        <v>lun</v>
      </c>
      <c r="AC167" s="16" t="str">
        <f>TEXT(WEEKDAY(DATE(Octubre!CalendarioAño,1,27),1),"ddd")</f>
        <v>mar</v>
      </c>
      <c r="AD167" s="16" t="str">
        <f>TEXT(WEEKDAY(DATE(Octubre!CalendarioAño,1,28),1),"ddd")</f>
        <v>mié</v>
      </c>
      <c r="AE167" s="16" t="str">
        <f>TEXT(WEEKDAY(DATE(Octubre!CalendarioAño,1,29),1),"ddd")</f>
        <v>jue</v>
      </c>
      <c r="AF167" s="16" t="str">
        <f>TEXT(WEEKDAY(DATE(Octubre!CalendarioAño,1,30),1),"ddd")</f>
        <v>vie</v>
      </c>
      <c r="AG167" s="16" t="str">
        <f>TEXT(WEEKDAY(DATE(Octubre!CalendarioAño,1,31),1),"ddd")</f>
        <v>sáb</v>
      </c>
      <c r="AH167" s="57"/>
      <c r="AI167" s="119"/>
      <c r="AJ167" s="119"/>
    </row>
    <row r="168" ht="30.0" customHeight="1">
      <c r="A168" s="18"/>
      <c r="B168" s="31" t="s">
        <v>14</v>
      </c>
      <c r="C168" s="19" t="s">
        <v>15</v>
      </c>
      <c r="D168" s="19" t="s">
        <v>16</v>
      </c>
      <c r="E168" s="19" t="s">
        <v>17</v>
      </c>
      <c r="F168" s="19" t="s">
        <v>18</v>
      </c>
      <c r="G168" s="19" t="s">
        <v>19</v>
      </c>
      <c r="H168" s="19" t="s">
        <v>20</v>
      </c>
      <c r="I168" s="19" t="s">
        <v>21</v>
      </c>
      <c r="J168" s="19" t="s">
        <v>22</v>
      </c>
      <c r="K168" s="19" t="s">
        <v>23</v>
      </c>
      <c r="L168" s="19" t="s">
        <v>24</v>
      </c>
      <c r="M168" s="19" t="s">
        <v>25</v>
      </c>
      <c r="N168" s="19" t="s">
        <v>26</v>
      </c>
      <c r="O168" s="19" t="s">
        <v>27</v>
      </c>
      <c r="P168" s="19" t="s">
        <v>28</v>
      </c>
      <c r="Q168" s="19" t="s">
        <v>29</v>
      </c>
      <c r="R168" s="19" t="s">
        <v>30</v>
      </c>
      <c r="S168" s="19" t="s">
        <v>31</v>
      </c>
      <c r="T168" s="19" t="s">
        <v>32</v>
      </c>
      <c r="U168" s="19" t="s">
        <v>33</v>
      </c>
      <c r="V168" s="19" t="s">
        <v>34</v>
      </c>
      <c r="W168" s="19" t="s">
        <v>35</v>
      </c>
      <c r="X168" s="19" t="s">
        <v>36</v>
      </c>
      <c r="Y168" s="19" t="s">
        <v>37</v>
      </c>
      <c r="Z168" s="19" t="s">
        <v>38</v>
      </c>
      <c r="AA168" s="19" t="s">
        <v>39</v>
      </c>
      <c r="AB168" s="19" t="s">
        <v>40</v>
      </c>
      <c r="AC168" s="19" t="s">
        <v>41</v>
      </c>
      <c r="AD168" s="19" t="s">
        <v>42</v>
      </c>
      <c r="AE168" s="19" t="s">
        <v>43</v>
      </c>
      <c r="AF168" s="19" t="s">
        <v>44</v>
      </c>
      <c r="AG168" s="19" t="s">
        <v>45</v>
      </c>
      <c r="AH168" s="19" t="s">
        <v>46</v>
      </c>
      <c r="AI168" s="19"/>
      <c r="AJ168" s="19"/>
    </row>
    <row r="169" ht="30.0" customHeight="1">
      <c r="A169" s="50"/>
      <c r="B169" s="58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59"/>
      <c r="AI169" s="59"/>
      <c r="AJ169" s="59"/>
    </row>
    <row r="170" ht="30.0" customHeight="1">
      <c r="A170" s="50"/>
      <c r="B170" s="60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59"/>
      <c r="AI170" s="59"/>
      <c r="AJ170" s="59"/>
    </row>
    <row r="171" ht="30.0" customHeight="1">
      <c r="A171" s="50"/>
      <c r="B171" s="58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59"/>
      <c r="AI171" s="59"/>
      <c r="AJ171" s="59"/>
    </row>
    <row r="172" ht="30.0" customHeight="1">
      <c r="A172" s="50"/>
      <c r="B172" s="60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59"/>
      <c r="AI172" s="59"/>
      <c r="AJ172" s="59"/>
    </row>
    <row r="173" ht="30.0" customHeight="1">
      <c r="A173" s="50"/>
      <c r="B173" s="60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59"/>
      <c r="AI173" s="59"/>
      <c r="AJ173" s="59"/>
    </row>
    <row r="174" ht="30.0" customHeight="1">
      <c r="A174" s="50"/>
      <c r="B174" s="58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59"/>
      <c r="AI174" s="59"/>
      <c r="AJ174" s="59"/>
    </row>
    <row r="175" ht="30.0" customHeight="1">
      <c r="A175" s="50"/>
      <c r="B175" s="58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59"/>
      <c r="AI175" s="59"/>
      <c r="AJ175" s="59"/>
    </row>
    <row r="176" ht="30.0" customHeight="1">
      <c r="A176" s="50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59"/>
      <c r="AI176" s="59"/>
      <c r="AJ176" s="59"/>
    </row>
    <row r="177" ht="30.0" customHeight="1">
      <c r="A177" s="50"/>
      <c r="B177" s="62" t="str">
        <f>Octubre!MonthName&amp;" Total"</f>
        <v>Enero Total</v>
      </c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5"/>
      <c r="AI177" s="65"/>
      <c r="AJ177" s="65"/>
    </row>
    <row r="178" ht="30.0" customHeight="1">
      <c r="B178" s="123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124"/>
      <c r="AI178" s="124"/>
      <c r="AJ178" s="124"/>
    </row>
    <row r="179" ht="30.0" customHeight="1">
      <c r="A179" s="50"/>
      <c r="B179" s="30" t="s">
        <v>12</v>
      </c>
      <c r="C179" s="27" t="s">
        <v>179</v>
      </c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39">
        <v>2026.0</v>
      </c>
      <c r="AI179" s="15"/>
      <c r="AJ179" s="15"/>
    </row>
    <row r="180" ht="30.0" customHeight="1">
      <c r="A180" s="50"/>
      <c r="B180" s="56"/>
      <c r="C180" s="16" t="str">
        <f>TEXT(WEEKDAY(DATE(Octubre!CalendarioAño,1,1),1),"ddd")</f>
        <v>jue</v>
      </c>
      <c r="D180" s="16" t="str">
        <f>TEXT(WEEKDAY(DATE(Octubre!CalendarioAño,1,2),1),"ddd")</f>
        <v>vie</v>
      </c>
      <c r="E180" s="16" t="str">
        <f>TEXT(WEEKDAY(DATE(Octubre!CalendarioAño,1,3),1),"ddd")</f>
        <v>sáb</v>
      </c>
      <c r="F180" s="16" t="str">
        <f>TEXT(WEEKDAY(DATE(Octubre!CalendarioAño,1,4),1),"ddd")</f>
        <v>dom</v>
      </c>
      <c r="G180" s="16" t="str">
        <f>TEXT(WEEKDAY(DATE(Octubre!CalendarioAño,1,5),1),"ddd")</f>
        <v>lun</v>
      </c>
      <c r="H180" s="16" t="str">
        <f>TEXT(WEEKDAY(DATE(Octubre!CalendarioAño,1,6),1),"ddd")</f>
        <v>mar</v>
      </c>
      <c r="I180" s="16" t="str">
        <f>TEXT(WEEKDAY(DATE(Octubre!CalendarioAño,1,7),1),"ddd")</f>
        <v>mié</v>
      </c>
      <c r="J180" s="16" t="str">
        <f>TEXT(WEEKDAY(DATE(Octubre!CalendarioAño,1,8),1),"ddd")</f>
        <v>jue</v>
      </c>
      <c r="K180" s="16" t="str">
        <f>TEXT(WEEKDAY(DATE(Octubre!CalendarioAño,1,9),1),"ddd")</f>
        <v>vie</v>
      </c>
      <c r="L180" s="16" t="str">
        <f>TEXT(WEEKDAY(DATE(Octubre!CalendarioAño,1,10),1),"ddd")</f>
        <v>sáb</v>
      </c>
      <c r="M180" s="16" t="str">
        <f>TEXT(WEEKDAY(DATE(Octubre!CalendarioAño,1,11),1),"ddd")</f>
        <v>dom</v>
      </c>
      <c r="N180" s="16" t="str">
        <f>TEXT(WEEKDAY(DATE(Octubre!CalendarioAño,1,12),1),"ddd")</f>
        <v>lun</v>
      </c>
      <c r="O180" s="16" t="str">
        <f>TEXT(WEEKDAY(DATE(Octubre!CalendarioAño,1,13),1),"ddd")</f>
        <v>mar</v>
      </c>
      <c r="P180" s="16" t="str">
        <f>TEXT(WEEKDAY(DATE(Octubre!CalendarioAño,1,14),1),"ddd")</f>
        <v>mié</v>
      </c>
      <c r="Q180" s="16" t="str">
        <f>TEXT(WEEKDAY(DATE(Octubre!CalendarioAño,1,15),1),"ddd")</f>
        <v>jue</v>
      </c>
      <c r="R180" s="16" t="str">
        <f>TEXT(WEEKDAY(DATE(Octubre!CalendarioAño,1,16),1),"ddd")</f>
        <v>vie</v>
      </c>
      <c r="S180" s="16" t="str">
        <f>TEXT(WEEKDAY(DATE(Octubre!CalendarioAño,1,17),1),"ddd")</f>
        <v>sáb</v>
      </c>
      <c r="T180" s="16" t="str">
        <f>TEXT(WEEKDAY(DATE(Octubre!CalendarioAño,1,18),1),"ddd")</f>
        <v>dom</v>
      </c>
      <c r="U180" s="16" t="str">
        <f>TEXT(WEEKDAY(DATE(Octubre!CalendarioAño,1,19),1),"ddd")</f>
        <v>lun</v>
      </c>
      <c r="V180" s="16" t="str">
        <f>TEXT(WEEKDAY(DATE(Octubre!CalendarioAño,1,20),1),"ddd")</f>
        <v>mar</v>
      </c>
      <c r="W180" s="16" t="str">
        <f>TEXT(WEEKDAY(DATE(Octubre!CalendarioAño,1,21),1),"ddd")</f>
        <v>mié</v>
      </c>
      <c r="X180" s="16" t="str">
        <f>TEXT(WEEKDAY(DATE(Octubre!CalendarioAño,1,22),1),"ddd")</f>
        <v>jue</v>
      </c>
      <c r="Y180" s="16" t="str">
        <f>TEXT(WEEKDAY(DATE(Octubre!CalendarioAño,1,23),1),"ddd")</f>
        <v>vie</v>
      </c>
      <c r="Z180" s="16" t="str">
        <f>TEXT(WEEKDAY(DATE(Octubre!CalendarioAño,1,24),1),"ddd")</f>
        <v>sáb</v>
      </c>
      <c r="AA180" s="16" t="str">
        <f>TEXT(WEEKDAY(DATE(Octubre!CalendarioAño,1,25),1),"ddd")</f>
        <v>dom</v>
      </c>
      <c r="AB180" s="16" t="str">
        <f>TEXT(WEEKDAY(DATE(Octubre!CalendarioAño,1,26),1),"ddd")</f>
        <v>lun</v>
      </c>
      <c r="AC180" s="16" t="str">
        <f>TEXT(WEEKDAY(DATE(Octubre!CalendarioAño,1,27),1),"ddd")</f>
        <v>mar</v>
      </c>
      <c r="AD180" s="16" t="str">
        <f>TEXT(WEEKDAY(DATE(Octubre!CalendarioAño,1,28),1),"ddd")</f>
        <v>mié</v>
      </c>
      <c r="AE180" s="16" t="str">
        <f>TEXT(WEEKDAY(DATE(Octubre!CalendarioAño,1,29),1),"ddd")</f>
        <v>jue</v>
      </c>
      <c r="AF180" s="16" t="str">
        <f>TEXT(WEEKDAY(DATE(Octubre!CalendarioAño,1,30),1),"ddd")</f>
        <v>vie</v>
      </c>
      <c r="AG180" s="16" t="str">
        <f>TEXT(WEEKDAY(DATE(Octubre!CalendarioAño,1,31),1),"ddd")</f>
        <v>sáb</v>
      </c>
      <c r="AH180" s="57"/>
      <c r="AI180" s="119"/>
      <c r="AJ180" s="119"/>
    </row>
    <row r="181" ht="30.0" customHeight="1">
      <c r="A181" s="18"/>
      <c r="B181" s="31" t="s">
        <v>14</v>
      </c>
      <c r="C181" s="19" t="s">
        <v>15</v>
      </c>
      <c r="D181" s="19" t="s">
        <v>16</v>
      </c>
      <c r="E181" s="19" t="s">
        <v>17</v>
      </c>
      <c r="F181" s="19" t="s">
        <v>18</v>
      </c>
      <c r="G181" s="19" t="s">
        <v>19</v>
      </c>
      <c r="H181" s="19" t="s">
        <v>20</v>
      </c>
      <c r="I181" s="19" t="s">
        <v>21</v>
      </c>
      <c r="J181" s="19" t="s">
        <v>22</v>
      </c>
      <c r="K181" s="19" t="s">
        <v>23</v>
      </c>
      <c r="L181" s="19" t="s">
        <v>24</v>
      </c>
      <c r="M181" s="19" t="s">
        <v>25</v>
      </c>
      <c r="N181" s="19" t="s">
        <v>26</v>
      </c>
      <c r="O181" s="19" t="s">
        <v>27</v>
      </c>
      <c r="P181" s="19" t="s">
        <v>28</v>
      </c>
      <c r="Q181" s="19" t="s">
        <v>29</v>
      </c>
      <c r="R181" s="19" t="s">
        <v>30</v>
      </c>
      <c r="S181" s="19" t="s">
        <v>31</v>
      </c>
      <c r="T181" s="19" t="s">
        <v>32</v>
      </c>
      <c r="U181" s="19" t="s">
        <v>33</v>
      </c>
      <c r="V181" s="19" t="s">
        <v>34</v>
      </c>
      <c r="W181" s="19" t="s">
        <v>35</v>
      </c>
      <c r="X181" s="19" t="s">
        <v>36</v>
      </c>
      <c r="Y181" s="19" t="s">
        <v>37</v>
      </c>
      <c r="Z181" s="19" t="s">
        <v>38</v>
      </c>
      <c r="AA181" s="19" t="s">
        <v>39</v>
      </c>
      <c r="AB181" s="19" t="s">
        <v>40</v>
      </c>
      <c r="AC181" s="19" t="s">
        <v>41</v>
      </c>
      <c r="AD181" s="19" t="s">
        <v>42</v>
      </c>
      <c r="AE181" s="19" t="s">
        <v>43</v>
      </c>
      <c r="AF181" s="19" t="s">
        <v>44</v>
      </c>
      <c r="AG181" s="19" t="s">
        <v>45</v>
      </c>
      <c r="AH181" s="19" t="s">
        <v>46</v>
      </c>
      <c r="AI181" s="19"/>
      <c r="AJ181" s="19"/>
    </row>
    <row r="182" ht="30.0" customHeight="1">
      <c r="A182" s="50"/>
      <c r="B182" s="58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59"/>
      <c r="AI182" s="59"/>
      <c r="AJ182" s="59"/>
    </row>
    <row r="183" ht="30.0" customHeight="1">
      <c r="A183" s="50"/>
      <c r="B183" s="60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59"/>
      <c r="AI183" s="59"/>
      <c r="AJ183" s="59"/>
    </row>
    <row r="184" ht="30.0" customHeight="1">
      <c r="A184" s="50"/>
      <c r="B184" s="58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59"/>
      <c r="AI184" s="59"/>
      <c r="AJ184" s="59"/>
    </row>
    <row r="185" ht="30.0" customHeight="1">
      <c r="A185" s="50"/>
      <c r="B185" s="36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59"/>
      <c r="AI185" s="59"/>
      <c r="AJ185" s="59"/>
    </row>
    <row r="186" ht="30.0" customHeight="1">
      <c r="A186" s="50"/>
      <c r="B186" s="6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59"/>
      <c r="AI186" s="59"/>
      <c r="AJ186" s="59"/>
    </row>
    <row r="187" ht="30.0" customHeight="1">
      <c r="A187" s="50"/>
      <c r="B187" s="62"/>
      <c r="C187" s="63">
        <f>SUBTOTAL(103,Octubre!$C$7)</f>
        <v>0</v>
      </c>
      <c r="D187" s="63">
        <f>SUBTOTAL(103,Octubre!$D$7)</f>
        <v>0</v>
      </c>
      <c r="E187" s="63">
        <f>SUBTOTAL(103,Octubre!$E$7)</f>
        <v>0</v>
      </c>
      <c r="F187" s="63"/>
      <c r="G187" s="63"/>
      <c r="H187" s="63">
        <f>SUBTOTAL(103,Octubre!$H$7)</f>
        <v>0</v>
      </c>
      <c r="I187" s="63">
        <f>SUBTOTAL(103,Octubre!$I$7)</f>
        <v>0</v>
      </c>
      <c r="J187" s="63">
        <f>SUBTOTAL(103,Octubre!$J$7)</f>
        <v>0</v>
      </c>
      <c r="K187" s="63">
        <f>SUBTOTAL(103,Octubre!$K$7)</f>
        <v>0</v>
      </c>
      <c r="L187" s="63">
        <f>SUBTOTAL(103,Octubre!$L$7)</f>
        <v>0</v>
      </c>
      <c r="M187" s="63"/>
      <c r="N187" s="63">
        <f>SUBTOTAL(103,Octubre!$N$7)</f>
        <v>0</v>
      </c>
      <c r="O187" s="63">
        <f>SUBTOTAL(103,Octubre!$O$7)</f>
        <v>0</v>
      </c>
      <c r="P187" s="63">
        <f>SUBTOTAL(103,Octubre!$P$7)</f>
        <v>0</v>
      </c>
      <c r="Q187" s="63">
        <f>SUBTOTAL(103,Octubre!$Q$7)</f>
        <v>0</v>
      </c>
      <c r="R187" s="63">
        <f>SUBTOTAL(103,Octubre!$R$7)</f>
        <v>0</v>
      </c>
      <c r="S187" s="63">
        <f>SUBTOTAL(103,Octubre!$S$7)</f>
        <v>0</v>
      </c>
      <c r="T187" s="63">
        <f>SUBTOTAL(103,Octubre!$T$7)</f>
        <v>0</v>
      </c>
      <c r="U187" s="63">
        <f>SUBTOTAL(103,Octubre!$U$7)</f>
        <v>0</v>
      </c>
      <c r="V187" s="63"/>
      <c r="W187" s="63">
        <f>SUBTOTAL(103,Octubre!$W$7)</f>
        <v>0</v>
      </c>
      <c r="X187" s="63">
        <f>SUBTOTAL(103,Octubre!$X$7)</f>
        <v>0</v>
      </c>
      <c r="Y187" s="63">
        <f>SUBTOTAL(103,Octubre!$Y$7)</f>
        <v>0</v>
      </c>
      <c r="Z187" s="63">
        <f>SUBTOTAL(103,Octubre!$Z$7)</f>
        <v>0</v>
      </c>
      <c r="AA187" s="63">
        <f>SUBTOTAL(103,Octubre!$AA$7)</f>
        <v>0</v>
      </c>
      <c r="AB187" s="63">
        <f>SUBTOTAL(103,Octubre!$AB$7)</f>
        <v>0</v>
      </c>
      <c r="AC187" s="63">
        <f>SUBTOTAL(103,Octubre!$AC$7)</f>
        <v>0</v>
      </c>
      <c r="AD187" s="63">
        <f>SUBTOTAL(103,Octubre!$AD$7)</f>
        <v>0</v>
      </c>
      <c r="AE187" s="63">
        <f>SUBTOTAL(103,Octubre!$AE$7)</f>
        <v>0</v>
      </c>
      <c r="AF187" s="63">
        <f>SUBTOTAL(103,Octubre!$AF$7)</f>
        <v>0</v>
      </c>
      <c r="AG187" s="63">
        <f>SUBTOTAL(103,Octubre!$AG$7)</f>
        <v>0</v>
      </c>
      <c r="AH187" s="65"/>
      <c r="AI187" s="65"/>
      <c r="AJ187" s="65"/>
    </row>
    <row r="188" ht="30.0" customHeight="1">
      <c r="AH188" s="5"/>
      <c r="AI188" s="5"/>
      <c r="AJ188" s="5"/>
    </row>
    <row r="189" ht="30.0" customHeight="1">
      <c r="A189" s="50"/>
      <c r="B189" s="30" t="s">
        <v>12</v>
      </c>
      <c r="C189" s="27" t="s">
        <v>183</v>
      </c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39">
        <v>2026.0</v>
      </c>
      <c r="AI189" s="15"/>
      <c r="AJ189" s="15"/>
    </row>
    <row r="190" ht="30.0" customHeight="1">
      <c r="A190" s="50"/>
      <c r="B190" s="56"/>
      <c r="C190" s="16" t="str">
        <f>TEXT(WEEKDAY(DATE(Octubre!CalendarioAño,1,1),1),"ddd")</f>
        <v>jue</v>
      </c>
      <c r="D190" s="16" t="str">
        <f>TEXT(WEEKDAY(DATE(Octubre!CalendarioAño,1,2),1),"ddd")</f>
        <v>vie</v>
      </c>
      <c r="E190" s="16" t="str">
        <f>TEXT(WEEKDAY(DATE(Octubre!CalendarioAño,1,3),1),"ddd")</f>
        <v>sáb</v>
      </c>
      <c r="F190" s="16" t="str">
        <f>TEXT(WEEKDAY(DATE(Octubre!CalendarioAño,1,4),1),"ddd")</f>
        <v>dom</v>
      </c>
      <c r="G190" s="16" t="str">
        <f>TEXT(WEEKDAY(DATE(Octubre!CalendarioAño,1,5),1),"ddd")</f>
        <v>lun</v>
      </c>
      <c r="H190" s="16" t="str">
        <f>TEXT(WEEKDAY(DATE(Octubre!CalendarioAño,1,6),1),"ddd")</f>
        <v>mar</v>
      </c>
      <c r="I190" s="16" t="str">
        <f>TEXT(WEEKDAY(DATE(Octubre!CalendarioAño,1,7),1),"ddd")</f>
        <v>mié</v>
      </c>
      <c r="J190" s="16" t="str">
        <f>TEXT(WEEKDAY(DATE(Octubre!CalendarioAño,1,8),1),"ddd")</f>
        <v>jue</v>
      </c>
      <c r="K190" s="16" t="str">
        <f>TEXT(WEEKDAY(DATE(Octubre!CalendarioAño,1,9),1),"ddd")</f>
        <v>vie</v>
      </c>
      <c r="L190" s="16" t="str">
        <f>TEXT(WEEKDAY(DATE(Octubre!CalendarioAño,1,10),1),"ddd")</f>
        <v>sáb</v>
      </c>
      <c r="M190" s="16" t="str">
        <f>TEXT(WEEKDAY(DATE(Octubre!CalendarioAño,1,11),1),"ddd")</f>
        <v>dom</v>
      </c>
      <c r="N190" s="16" t="str">
        <f>TEXT(WEEKDAY(DATE(Octubre!CalendarioAño,1,12),1),"ddd")</f>
        <v>lun</v>
      </c>
      <c r="O190" s="16" t="str">
        <f>TEXT(WEEKDAY(DATE(Octubre!CalendarioAño,1,13),1),"ddd")</f>
        <v>mar</v>
      </c>
      <c r="P190" s="16" t="str">
        <f>TEXT(WEEKDAY(DATE(Octubre!CalendarioAño,1,14),1),"ddd")</f>
        <v>mié</v>
      </c>
      <c r="Q190" s="16" t="str">
        <f>TEXT(WEEKDAY(DATE(Octubre!CalendarioAño,1,15),1),"ddd")</f>
        <v>jue</v>
      </c>
      <c r="R190" s="16" t="str">
        <f>TEXT(WEEKDAY(DATE(Octubre!CalendarioAño,1,16),1),"ddd")</f>
        <v>vie</v>
      </c>
      <c r="S190" s="16" t="str">
        <f>TEXT(WEEKDAY(DATE(Octubre!CalendarioAño,1,17),1),"ddd")</f>
        <v>sáb</v>
      </c>
      <c r="T190" s="16" t="str">
        <f>TEXT(WEEKDAY(DATE(Octubre!CalendarioAño,1,18),1),"ddd")</f>
        <v>dom</v>
      </c>
      <c r="U190" s="16" t="str">
        <f>TEXT(WEEKDAY(DATE(Octubre!CalendarioAño,1,19),1),"ddd")</f>
        <v>lun</v>
      </c>
      <c r="V190" s="16" t="str">
        <f>TEXT(WEEKDAY(DATE(Octubre!CalendarioAño,1,20),1),"ddd")</f>
        <v>mar</v>
      </c>
      <c r="W190" s="16" t="str">
        <f>TEXT(WEEKDAY(DATE(Octubre!CalendarioAño,1,21),1),"ddd")</f>
        <v>mié</v>
      </c>
      <c r="X190" s="16" t="str">
        <f>TEXT(WEEKDAY(DATE(Octubre!CalendarioAño,1,22),1),"ddd")</f>
        <v>jue</v>
      </c>
      <c r="Y190" s="16" t="str">
        <f>TEXT(WEEKDAY(DATE(Octubre!CalendarioAño,1,23),1),"ddd")</f>
        <v>vie</v>
      </c>
      <c r="Z190" s="16" t="str">
        <f>TEXT(WEEKDAY(DATE(Octubre!CalendarioAño,1,24),1),"ddd")</f>
        <v>sáb</v>
      </c>
      <c r="AA190" s="16" t="str">
        <f>TEXT(WEEKDAY(DATE(Octubre!CalendarioAño,1,25),1),"ddd")</f>
        <v>dom</v>
      </c>
      <c r="AB190" s="16" t="str">
        <f>TEXT(WEEKDAY(DATE(Octubre!CalendarioAño,1,26),1),"ddd")</f>
        <v>lun</v>
      </c>
      <c r="AC190" s="16" t="str">
        <f>TEXT(WEEKDAY(DATE(Octubre!CalendarioAño,1,27),1),"ddd")</f>
        <v>mar</v>
      </c>
      <c r="AD190" s="16" t="str">
        <f>TEXT(WEEKDAY(DATE(Octubre!CalendarioAño,1,28),1),"ddd")</f>
        <v>mié</v>
      </c>
      <c r="AE190" s="16" t="str">
        <f>TEXT(WEEKDAY(DATE(Octubre!CalendarioAño,1,29),1),"ddd")</f>
        <v>jue</v>
      </c>
      <c r="AF190" s="16" t="str">
        <f>TEXT(WEEKDAY(DATE(Octubre!CalendarioAño,1,30),1),"ddd")</f>
        <v>vie</v>
      </c>
      <c r="AG190" s="16" t="str">
        <f>TEXT(WEEKDAY(DATE(Octubre!CalendarioAño,1,31),1),"ddd")</f>
        <v>sáb</v>
      </c>
      <c r="AH190" s="57"/>
      <c r="AI190" s="119"/>
      <c r="AJ190" s="119"/>
    </row>
    <row r="191" ht="30.0" customHeight="1">
      <c r="A191" s="18"/>
      <c r="B191" s="66" t="s">
        <v>14</v>
      </c>
      <c r="C191" s="19" t="s">
        <v>15</v>
      </c>
      <c r="D191" s="19" t="s">
        <v>16</v>
      </c>
      <c r="E191" s="19" t="s">
        <v>17</v>
      </c>
      <c r="F191" s="19" t="s">
        <v>18</v>
      </c>
      <c r="G191" s="19" t="s">
        <v>19</v>
      </c>
      <c r="H191" s="19" t="s">
        <v>20</v>
      </c>
      <c r="I191" s="19" t="s">
        <v>21</v>
      </c>
      <c r="J191" s="19" t="s">
        <v>22</v>
      </c>
      <c r="K191" s="19" t="s">
        <v>23</v>
      </c>
      <c r="L191" s="19" t="s">
        <v>24</v>
      </c>
      <c r="M191" s="19" t="s">
        <v>25</v>
      </c>
      <c r="N191" s="19" t="s">
        <v>26</v>
      </c>
      <c r="O191" s="19" t="s">
        <v>27</v>
      </c>
      <c r="P191" s="19" t="s">
        <v>28</v>
      </c>
      <c r="Q191" s="19" t="s">
        <v>29</v>
      </c>
      <c r="R191" s="19" t="s">
        <v>30</v>
      </c>
      <c r="S191" s="19" t="s">
        <v>31</v>
      </c>
      <c r="T191" s="19" t="s">
        <v>32</v>
      </c>
      <c r="U191" s="19" t="s">
        <v>33</v>
      </c>
      <c r="V191" s="19" t="s">
        <v>34</v>
      </c>
      <c r="W191" s="19" t="s">
        <v>35</v>
      </c>
      <c r="X191" s="19" t="s">
        <v>36</v>
      </c>
      <c r="Y191" s="19" t="s">
        <v>37</v>
      </c>
      <c r="Z191" s="19" t="s">
        <v>38</v>
      </c>
      <c r="AA191" s="19" t="s">
        <v>39</v>
      </c>
      <c r="AB191" s="19" t="s">
        <v>40</v>
      </c>
      <c r="AC191" s="19" t="s">
        <v>41</v>
      </c>
      <c r="AD191" s="19" t="s">
        <v>42</v>
      </c>
      <c r="AE191" s="19" t="s">
        <v>43</v>
      </c>
      <c r="AF191" s="19" t="s">
        <v>44</v>
      </c>
      <c r="AG191" s="19" t="s">
        <v>45</v>
      </c>
      <c r="AH191" s="19" t="s">
        <v>46</v>
      </c>
      <c r="AI191" s="19"/>
      <c r="AJ191" s="19"/>
    </row>
    <row r="192" ht="30.0" customHeight="1">
      <c r="A192" s="50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59"/>
      <c r="AI192" s="59"/>
      <c r="AJ192" s="59"/>
    </row>
    <row r="193" ht="30.0" customHeight="1">
      <c r="A193" s="50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7"/>
      <c r="AI193" s="67"/>
      <c r="AJ193" s="67"/>
    </row>
    <row r="194" ht="30.0" customHeight="1">
      <c r="A194" s="50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59"/>
      <c r="AI194" s="59"/>
      <c r="AJ194" s="59"/>
    </row>
    <row r="195" ht="30.0" customHeight="1">
      <c r="A195" s="50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7"/>
      <c r="AI195" s="67"/>
      <c r="AJ195" s="67"/>
    </row>
    <row r="196" ht="30.0" customHeight="1">
      <c r="A196" s="50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59"/>
      <c r="AI196" s="59"/>
      <c r="AJ196" s="59"/>
    </row>
    <row r="197" ht="30.0" customHeight="1">
      <c r="A197" s="50"/>
      <c r="B197" s="62" t="str">
        <f>Octubre!MonthName&amp;" Total"</f>
        <v>Enero Total</v>
      </c>
      <c r="C197" s="63">
        <f>SUBTOTAL(103,Octubre!$C$7)</f>
        <v>0</v>
      </c>
      <c r="D197" s="63">
        <f>SUBTOTAL(103,Octubre!$D$7)</f>
        <v>0</v>
      </c>
      <c r="E197" s="63">
        <f>SUBTOTAL(103,Octubre!$E$7)</f>
        <v>0</v>
      </c>
      <c r="F197" s="63"/>
      <c r="G197" s="63"/>
      <c r="H197" s="63">
        <f>SUBTOTAL(103,Octubre!$H$7)</f>
        <v>0</v>
      </c>
      <c r="I197" s="63">
        <f>SUBTOTAL(103,Octubre!$I$7)</f>
        <v>0</v>
      </c>
      <c r="J197" s="63">
        <f>SUBTOTAL(103,Octubre!$J$7)</f>
        <v>0</v>
      </c>
      <c r="K197" s="63">
        <f>SUBTOTAL(103,Octubre!$K$7)</f>
        <v>0</v>
      </c>
      <c r="L197" s="63">
        <f>SUBTOTAL(103,Octubre!$L$7)</f>
        <v>0</v>
      </c>
      <c r="M197" s="63"/>
      <c r="N197" s="63">
        <f>SUBTOTAL(103,Octubre!$N$7)</f>
        <v>0</v>
      </c>
      <c r="O197" s="63">
        <f>SUBTOTAL(103,Octubre!$O$7)</f>
        <v>0</v>
      </c>
      <c r="P197" s="63">
        <f>SUBTOTAL(103,Octubre!$P$7)</f>
        <v>0</v>
      </c>
      <c r="Q197" s="63">
        <f>SUBTOTAL(103,Octubre!$Q$7)</f>
        <v>0</v>
      </c>
      <c r="R197" s="63">
        <f>SUBTOTAL(103,Octubre!$R$7)</f>
        <v>0</v>
      </c>
      <c r="S197" s="63">
        <f>SUBTOTAL(103,Octubre!$S$7)</f>
        <v>0</v>
      </c>
      <c r="T197" s="63">
        <f>SUBTOTAL(103,Octubre!$T$7)</f>
        <v>0</v>
      </c>
      <c r="U197" s="63">
        <f>SUBTOTAL(103,Octubre!$U$7)</f>
        <v>0</v>
      </c>
      <c r="V197" s="63"/>
      <c r="W197" s="63">
        <f>SUBTOTAL(103,Octubre!$W$7)</f>
        <v>0</v>
      </c>
      <c r="X197" s="63">
        <f>SUBTOTAL(103,Octubre!$X$7)</f>
        <v>0</v>
      </c>
      <c r="Y197" s="63">
        <f>SUBTOTAL(103,Octubre!$Y$7)</f>
        <v>0</v>
      </c>
      <c r="Z197" s="63">
        <f>SUBTOTAL(103,Octubre!$Z$7)</f>
        <v>0</v>
      </c>
      <c r="AA197" s="63">
        <f>SUBTOTAL(103,Octubre!$AA$7)</f>
        <v>0</v>
      </c>
      <c r="AB197" s="63">
        <f>SUBTOTAL(103,Octubre!$AB$7)</f>
        <v>0</v>
      </c>
      <c r="AC197" s="63">
        <f>SUBTOTAL(103,Octubre!$AC$7)</f>
        <v>0</v>
      </c>
      <c r="AD197" s="63">
        <f>SUBTOTAL(103,Octubre!$AD$7)</f>
        <v>0</v>
      </c>
      <c r="AE197" s="63">
        <f>SUBTOTAL(103,Octubre!$AE$7)</f>
        <v>0</v>
      </c>
      <c r="AF197" s="63">
        <f>SUBTOTAL(103,Octubre!$AF$7)</f>
        <v>0</v>
      </c>
      <c r="AG197" s="63">
        <f>SUBTOTAL(103,Octubre!$AG$7)</f>
        <v>0</v>
      </c>
      <c r="AH197" s="65">
        <f>SUM(C197:AG197)</f>
        <v>0</v>
      </c>
      <c r="AI197" s="65"/>
      <c r="AJ197" s="65"/>
    </row>
    <row r="198" ht="30.0" customHeight="1">
      <c r="AH198" s="5"/>
      <c r="AI198" s="5"/>
      <c r="AJ198" s="5"/>
    </row>
    <row r="199" ht="30.0" customHeight="1">
      <c r="AH199" s="5"/>
      <c r="AI199" s="5"/>
      <c r="AJ199" s="5"/>
    </row>
    <row r="200" ht="30.0" customHeight="1">
      <c r="AH200" s="5"/>
      <c r="AI200" s="5"/>
      <c r="AJ200" s="5"/>
    </row>
    <row r="201" ht="30.0" customHeight="1">
      <c r="AH201" s="5"/>
      <c r="AI201" s="5"/>
      <c r="AJ201" s="5"/>
    </row>
    <row r="202" ht="30.0" customHeight="1">
      <c r="AH202" s="5"/>
      <c r="AI202" s="5"/>
      <c r="AJ202" s="5"/>
    </row>
    <row r="203" ht="30.0" customHeight="1">
      <c r="AH203" s="5"/>
      <c r="AI203" s="5"/>
      <c r="AJ203" s="5"/>
    </row>
    <row r="204" ht="30.0" customHeight="1">
      <c r="AH204" s="5"/>
      <c r="AI204" s="5"/>
      <c r="AJ204" s="5"/>
    </row>
    <row r="205" ht="30.0" customHeight="1">
      <c r="AH205" s="5"/>
      <c r="AI205" s="5"/>
      <c r="AJ205" s="5"/>
    </row>
    <row r="206" ht="30.0" customHeight="1">
      <c r="AH206" s="5"/>
      <c r="AI206" s="5"/>
      <c r="AJ206" s="5"/>
    </row>
    <row r="207" ht="30.0" customHeight="1">
      <c r="AH207" s="5"/>
      <c r="AI207" s="5"/>
      <c r="AJ207" s="5"/>
    </row>
    <row r="208" ht="30.0" customHeight="1">
      <c r="AH208" s="5"/>
      <c r="AI208" s="5"/>
      <c r="AJ208" s="5"/>
    </row>
    <row r="209" ht="30.0" customHeight="1">
      <c r="AH209" s="5"/>
      <c r="AI209" s="5"/>
      <c r="AJ209" s="5"/>
    </row>
    <row r="210" ht="30.0" customHeight="1">
      <c r="AH210" s="5"/>
      <c r="AI210" s="5"/>
      <c r="AJ210" s="5"/>
    </row>
    <row r="211" ht="30.0" customHeight="1">
      <c r="AH211" s="5"/>
      <c r="AI211" s="5"/>
      <c r="AJ211" s="5"/>
    </row>
    <row r="212" ht="30.0" customHeight="1">
      <c r="AH212" s="5"/>
      <c r="AI212" s="5"/>
      <c r="AJ212" s="5"/>
    </row>
    <row r="213" ht="30.0" customHeight="1">
      <c r="AH213" s="5"/>
      <c r="AI213" s="5"/>
      <c r="AJ213" s="5"/>
    </row>
    <row r="214" ht="30.0" customHeight="1">
      <c r="AH214" s="5"/>
      <c r="AI214" s="5"/>
      <c r="AJ214" s="5"/>
    </row>
    <row r="215" ht="30.0" customHeight="1">
      <c r="AH215" s="5"/>
      <c r="AI215" s="5"/>
      <c r="AJ215" s="5"/>
    </row>
    <row r="216" ht="30.0" customHeight="1">
      <c r="AH216" s="5"/>
      <c r="AI216" s="5"/>
      <c r="AJ216" s="5"/>
    </row>
    <row r="217" ht="30.0" customHeight="1">
      <c r="AH217" s="5"/>
      <c r="AI217" s="5"/>
      <c r="AJ217" s="5"/>
    </row>
    <row r="218" ht="30.0" customHeight="1">
      <c r="AH218" s="5"/>
      <c r="AI218" s="5"/>
      <c r="AJ218" s="5"/>
    </row>
    <row r="219" ht="30.0" customHeight="1">
      <c r="AH219" s="5"/>
      <c r="AI219" s="5"/>
      <c r="AJ219" s="5"/>
    </row>
    <row r="220" ht="30.0" customHeight="1">
      <c r="AH220" s="5"/>
      <c r="AI220" s="5"/>
      <c r="AJ220" s="5"/>
    </row>
    <row r="221" ht="30.0" customHeight="1">
      <c r="AH221" s="5"/>
      <c r="AI221" s="5"/>
      <c r="AJ221" s="5"/>
    </row>
    <row r="222" ht="30.0" customHeight="1">
      <c r="AH222" s="5"/>
      <c r="AI222" s="5"/>
      <c r="AJ222" s="5"/>
    </row>
    <row r="223" ht="30.0" customHeight="1">
      <c r="AH223" s="5"/>
      <c r="AI223" s="5"/>
      <c r="AJ223" s="5"/>
    </row>
    <row r="224" ht="30.0" customHeight="1">
      <c r="AH224" s="5"/>
      <c r="AI224" s="5"/>
      <c r="AJ224" s="5"/>
    </row>
    <row r="225" ht="30.0" customHeight="1">
      <c r="AH225" s="5"/>
      <c r="AI225" s="5"/>
      <c r="AJ225" s="5"/>
    </row>
    <row r="226" ht="30.0" customHeight="1">
      <c r="AH226" s="5"/>
      <c r="AI226" s="5"/>
      <c r="AJ226" s="5"/>
    </row>
    <row r="227" ht="30.0" customHeight="1">
      <c r="AH227" s="5"/>
      <c r="AI227" s="5"/>
      <c r="AJ227" s="5"/>
    </row>
    <row r="228" ht="30.0" customHeight="1">
      <c r="AH228" s="5"/>
      <c r="AI228" s="5"/>
      <c r="AJ228" s="5"/>
    </row>
    <row r="229" ht="30.0" customHeight="1">
      <c r="AH229" s="5"/>
      <c r="AI229" s="5"/>
      <c r="AJ229" s="5"/>
    </row>
    <row r="230" ht="30.0" customHeight="1">
      <c r="AH230" s="5"/>
      <c r="AI230" s="5"/>
      <c r="AJ230" s="5"/>
    </row>
    <row r="231" ht="30.0" customHeight="1">
      <c r="AH231" s="5"/>
      <c r="AI231" s="5"/>
      <c r="AJ231" s="5"/>
    </row>
    <row r="232" ht="30.0" customHeight="1">
      <c r="AH232" s="5"/>
      <c r="AI232" s="5"/>
      <c r="AJ232" s="5"/>
    </row>
    <row r="233" ht="30.0" customHeight="1">
      <c r="AH233" s="5"/>
      <c r="AI233" s="5"/>
      <c r="AJ233" s="5"/>
    </row>
    <row r="234" ht="30.0" customHeight="1">
      <c r="AH234" s="5"/>
      <c r="AI234" s="5"/>
      <c r="AJ234" s="5"/>
    </row>
    <row r="235" ht="30.0" customHeight="1">
      <c r="AH235" s="5"/>
      <c r="AI235" s="5"/>
      <c r="AJ235" s="5"/>
    </row>
    <row r="236" ht="30.0" customHeight="1">
      <c r="AH236" s="5"/>
      <c r="AI236" s="5"/>
      <c r="AJ236" s="5"/>
    </row>
    <row r="237" ht="30.0" customHeight="1">
      <c r="AH237" s="5"/>
      <c r="AI237" s="5"/>
      <c r="AJ237" s="5"/>
    </row>
    <row r="238" ht="30.0" customHeight="1">
      <c r="AH238" s="5"/>
      <c r="AI238" s="5"/>
      <c r="AJ238" s="5"/>
    </row>
    <row r="239" ht="30.0" customHeight="1">
      <c r="AH239" s="5"/>
      <c r="AI239" s="5"/>
      <c r="AJ239" s="5"/>
    </row>
    <row r="240" ht="30.0" customHeight="1">
      <c r="AH240" s="5"/>
      <c r="AI240" s="5"/>
      <c r="AJ240" s="5"/>
    </row>
    <row r="241" ht="30.0" customHeight="1">
      <c r="AH241" s="5"/>
      <c r="AI241" s="5"/>
      <c r="AJ241" s="5"/>
    </row>
    <row r="242" ht="30.0" customHeight="1">
      <c r="AH242" s="5"/>
      <c r="AI242" s="5"/>
      <c r="AJ242" s="5"/>
    </row>
    <row r="243" ht="30.0" customHeight="1">
      <c r="AH243" s="5"/>
      <c r="AI243" s="5"/>
      <c r="AJ243" s="5"/>
    </row>
    <row r="244" ht="30.0" customHeight="1">
      <c r="AH244" s="5"/>
      <c r="AI244" s="5"/>
      <c r="AJ244" s="5"/>
    </row>
    <row r="245" ht="30.0" customHeight="1">
      <c r="AH245" s="5"/>
      <c r="AI245" s="5"/>
      <c r="AJ245" s="5"/>
    </row>
    <row r="246" ht="30.0" customHeight="1">
      <c r="AH246" s="5"/>
      <c r="AI246" s="5"/>
      <c r="AJ246" s="5"/>
    </row>
    <row r="247" ht="30.0" customHeight="1">
      <c r="AH247" s="5"/>
      <c r="AI247" s="5"/>
      <c r="AJ247" s="5"/>
    </row>
    <row r="248" ht="30.0" customHeight="1">
      <c r="AH248" s="5"/>
      <c r="AI248" s="5"/>
      <c r="AJ248" s="5"/>
    </row>
    <row r="249" ht="30.0" customHeight="1">
      <c r="AH249" s="5"/>
      <c r="AI249" s="5"/>
      <c r="AJ249" s="5"/>
    </row>
    <row r="250" ht="30.0" customHeight="1">
      <c r="AH250" s="5"/>
      <c r="AI250" s="5"/>
      <c r="AJ250" s="5"/>
    </row>
    <row r="251" ht="30.0" customHeight="1">
      <c r="AH251" s="5"/>
      <c r="AI251" s="5"/>
      <c r="AJ251" s="5"/>
    </row>
    <row r="252" ht="30.0" customHeight="1">
      <c r="AH252" s="5"/>
      <c r="AI252" s="5"/>
      <c r="AJ252" s="5"/>
    </row>
    <row r="253" ht="30.0" customHeight="1">
      <c r="AH253" s="5"/>
      <c r="AI253" s="5"/>
      <c r="AJ253" s="5"/>
    </row>
    <row r="254" ht="30.0" customHeight="1">
      <c r="AH254" s="5"/>
      <c r="AI254" s="5"/>
      <c r="AJ254" s="5"/>
    </row>
    <row r="255" ht="30.0" customHeight="1">
      <c r="AH255" s="5"/>
      <c r="AI255" s="5"/>
      <c r="AJ255" s="5"/>
    </row>
    <row r="256" ht="30.0" customHeight="1">
      <c r="AH256" s="5"/>
      <c r="AI256" s="5"/>
      <c r="AJ256" s="5"/>
    </row>
    <row r="257" ht="30.0" customHeight="1">
      <c r="AH257" s="5"/>
      <c r="AI257" s="5"/>
      <c r="AJ257" s="5"/>
    </row>
    <row r="258" ht="30.0" customHeight="1">
      <c r="AH258" s="5"/>
      <c r="AI258" s="5"/>
      <c r="AJ258" s="5"/>
    </row>
    <row r="259" ht="30.0" customHeight="1">
      <c r="AH259" s="5"/>
      <c r="AI259" s="5"/>
      <c r="AJ259" s="5"/>
    </row>
    <row r="260" ht="30.0" customHeight="1">
      <c r="AH260" s="5"/>
      <c r="AI260" s="5"/>
      <c r="AJ260" s="5"/>
    </row>
    <row r="261" ht="30.0" customHeight="1">
      <c r="AH261" s="5"/>
      <c r="AI261" s="5"/>
      <c r="AJ261" s="5"/>
    </row>
    <row r="262" ht="30.0" customHeight="1">
      <c r="AH262" s="5"/>
      <c r="AI262" s="5"/>
      <c r="AJ262" s="5"/>
    </row>
    <row r="263" ht="30.0" customHeight="1">
      <c r="AH263" s="5"/>
      <c r="AI263" s="5"/>
      <c r="AJ263" s="5"/>
    </row>
    <row r="264" ht="30.0" customHeight="1">
      <c r="AH264" s="5"/>
      <c r="AI264" s="5"/>
      <c r="AJ264" s="5"/>
    </row>
    <row r="265" ht="30.0" customHeight="1">
      <c r="AH265" s="5"/>
      <c r="AI265" s="5"/>
      <c r="AJ265" s="5"/>
    </row>
    <row r="266" ht="30.0" customHeight="1">
      <c r="AH266" s="5"/>
      <c r="AI266" s="5"/>
      <c r="AJ266" s="5"/>
    </row>
    <row r="267" ht="30.0" customHeight="1">
      <c r="AH267" s="5"/>
      <c r="AI267" s="5"/>
      <c r="AJ267" s="5"/>
    </row>
    <row r="268" ht="30.0" customHeight="1">
      <c r="AH268" s="5"/>
      <c r="AI268" s="5"/>
      <c r="AJ268" s="5"/>
    </row>
    <row r="269" ht="30.0" customHeight="1">
      <c r="AH269" s="5"/>
      <c r="AI269" s="5"/>
      <c r="AJ269" s="5"/>
    </row>
    <row r="270" ht="30.0" customHeight="1">
      <c r="AH270" s="5"/>
      <c r="AI270" s="5"/>
      <c r="AJ270" s="5"/>
    </row>
    <row r="271" ht="30.0" customHeight="1">
      <c r="AH271" s="5"/>
      <c r="AI271" s="5"/>
      <c r="AJ271" s="5"/>
    </row>
    <row r="272" ht="30.0" customHeight="1">
      <c r="AH272" s="5"/>
      <c r="AI272" s="5"/>
      <c r="AJ272" s="5"/>
    </row>
    <row r="273" ht="30.0" customHeight="1">
      <c r="AH273" s="5"/>
      <c r="AI273" s="5"/>
      <c r="AJ273" s="5"/>
    </row>
    <row r="274" ht="30.0" customHeight="1">
      <c r="AH274" s="5"/>
      <c r="AI274" s="5"/>
      <c r="AJ274" s="5"/>
    </row>
    <row r="275" ht="30.0" customHeight="1">
      <c r="AH275" s="5"/>
      <c r="AI275" s="5"/>
      <c r="AJ275" s="5"/>
    </row>
    <row r="276" ht="30.0" customHeight="1">
      <c r="AH276" s="5"/>
      <c r="AI276" s="5"/>
      <c r="AJ276" s="5"/>
    </row>
    <row r="277" ht="30.0" customHeight="1">
      <c r="AH277" s="5"/>
      <c r="AI277" s="5"/>
      <c r="AJ277" s="5"/>
    </row>
    <row r="278" ht="30.0" customHeight="1">
      <c r="AH278" s="5"/>
      <c r="AI278" s="5"/>
      <c r="AJ278" s="5"/>
    </row>
    <row r="279" ht="30.0" customHeight="1">
      <c r="AH279" s="5"/>
      <c r="AI279" s="5"/>
      <c r="AJ279" s="5"/>
    </row>
    <row r="280" ht="30.0" customHeight="1">
      <c r="AH280" s="5"/>
      <c r="AI280" s="5"/>
      <c r="AJ280" s="5"/>
    </row>
    <row r="281" ht="30.0" customHeight="1">
      <c r="AH281" s="5"/>
      <c r="AI281" s="5"/>
      <c r="AJ281" s="5"/>
    </row>
    <row r="282" ht="30.0" customHeight="1">
      <c r="AH282" s="5"/>
      <c r="AI282" s="5"/>
      <c r="AJ282" s="5"/>
    </row>
    <row r="283" ht="30.0" customHeight="1">
      <c r="AH283" s="5"/>
      <c r="AI283" s="5"/>
      <c r="AJ283" s="5"/>
    </row>
    <row r="284" ht="30.0" customHeight="1">
      <c r="AH284" s="5"/>
      <c r="AI284" s="5"/>
      <c r="AJ284" s="5"/>
    </row>
    <row r="285" ht="30.0" customHeight="1">
      <c r="AH285" s="5"/>
      <c r="AI285" s="5"/>
      <c r="AJ285" s="5"/>
    </row>
    <row r="286" ht="30.0" customHeight="1">
      <c r="AH286" s="5"/>
      <c r="AI286" s="5"/>
      <c r="AJ286" s="5"/>
    </row>
    <row r="287" ht="30.0" customHeight="1">
      <c r="AH287" s="5"/>
      <c r="AI287" s="5"/>
      <c r="AJ287" s="5"/>
    </row>
    <row r="288" ht="30.0" customHeight="1">
      <c r="AH288" s="5"/>
      <c r="AI288" s="5"/>
      <c r="AJ288" s="5"/>
    </row>
    <row r="289" ht="30.0" customHeight="1">
      <c r="AH289" s="5"/>
      <c r="AI289" s="5"/>
      <c r="AJ289" s="5"/>
    </row>
    <row r="290" ht="30.0" customHeight="1">
      <c r="AH290" s="5"/>
      <c r="AI290" s="5"/>
      <c r="AJ290" s="5"/>
    </row>
    <row r="291" ht="30.0" customHeight="1">
      <c r="AH291" s="5"/>
      <c r="AI291" s="5"/>
      <c r="AJ291" s="5"/>
    </row>
    <row r="292" ht="30.0" customHeight="1">
      <c r="AH292" s="5"/>
      <c r="AI292" s="5"/>
      <c r="AJ292" s="5"/>
    </row>
    <row r="293" ht="30.0" customHeight="1">
      <c r="AH293" s="5"/>
      <c r="AI293" s="5"/>
      <c r="AJ293" s="5"/>
    </row>
    <row r="294" ht="30.0" customHeight="1">
      <c r="AH294" s="5"/>
      <c r="AI294" s="5"/>
      <c r="AJ294" s="5"/>
    </row>
    <row r="295" ht="30.0" customHeight="1">
      <c r="AH295" s="5"/>
      <c r="AI295" s="5"/>
      <c r="AJ295" s="5"/>
    </row>
    <row r="296" ht="30.0" customHeight="1">
      <c r="AH296" s="5"/>
      <c r="AI296" s="5"/>
      <c r="AJ296" s="5"/>
    </row>
    <row r="297" ht="30.0" customHeight="1">
      <c r="AH297" s="5"/>
      <c r="AI297" s="5"/>
      <c r="AJ297" s="5"/>
    </row>
    <row r="298" ht="30.0" customHeight="1">
      <c r="AH298" s="5"/>
      <c r="AI298" s="5"/>
      <c r="AJ298" s="5"/>
    </row>
    <row r="299" ht="30.0" customHeight="1">
      <c r="AH299" s="5"/>
      <c r="AI299" s="5"/>
      <c r="AJ299" s="5"/>
    </row>
    <row r="300" ht="30.0" customHeight="1">
      <c r="AH300" s="5"/>
      <c r="AI300" s="5"/>
      <c r="AJ300" s="5"/>
    </row>
    <row r="301" ht="30.0" customHeight="1">
      <c r="AH301" s="5"/>
      <c r="AI301" s="5"/>
      <c r="AJ301" s="5"/>
    </row>
    <row r="302" ht="30.0" customHeight="1">
      <c r="AH302" s="5"/>
      <c r="AI302" s="5"/>
      <c r="AJ302" s="5"/>
    </row>
    <row r="303" ht="30.0" customHeight="1">
      <c r="AH303" s="5"/>
      <c r="AI303" s="5"/>
      <c r="AJ303" s="5"/>
    </row>
    <row r="304" ht="30.0" customHeight="1">
      <c r="AH304" s="5"/>
      <c r="AI304" s="5"/>
      <c r="AJ304" s="5"/>
    </row>
    <row r="305" ht="30.0" customHeight="1">
      <c r="AH305" s="5"/>
      <c r="AI305" s="5"/>
      <c r="AJ305" s="5"/>
    </row>
    <row r="306" ht="30.0" customHeight="1">
      <c r="AH306" s="5"/>
      <c r="AI306" s="5"/>
      <c r="AJ306" s="5"/>
    </row>
    <row r="307" ht="30.0" customHeight="1">
      <c r="AH307" s="5"/>
      <c r="AI307" s="5"/>
      <c r="AJ307" s="5"/>
    </row>
    <row r="308" ht="30.0" customHeight="1">
      <c r="AH308" s="5"/>
      <c r="AI308" s="5"/>
      <c r="AJ308" s="5"/>
    </row>
    <row r="309" ht="30.0" customHeight="1">
      <c r="AH309" s="5"/>
      <c r="AI309" s="5"/>
      <c r="AJ309" s="5"/>
    </row>
    <row r="310" ht="30.0" customHeight="1">
      <c r="AH310" s="5"/>
      <c r="AI310" s="5"/>
      <c r="AJ310" s="5"/>
    </row>
    <row r="311" ht="30.0" customHeight="1">
      <c r="AH311" s="5"/>
      <c r="AI311" s="5"/>
      <c r="AJ311" s="5"/>
    </row>
    <row r="312" ht="30.0" customHeight="1">
      <c r="AH312" s="5"/>
      <c r="AI312" s="5"/>
      <c r="AJ312" s="5"/>
    </row>
    <row r="313" ht="30.0" customHeight="1">
      <c r="AH313" s="5"/>
      <c r="AI313" s="5"/>
      <c r="AJ313" s="5"/>
    </row>
    <row r="314" ht="30.0" customHeight="1">
      <c r="AH314" s="5"/>
      <c r="AI314" s="5"/>
      <c r="AJ314" s="5"/>
    </row>
    <row r="315" ht="30.0" customHeight="1">
      <c r="AH315" s="5"/>
      <c r="AI315" s="5"/>
      <c r="AJ315" s="5"/>
    </row>
    <row r="316" ht="30.0" customHeight="1">
      <c r="AH316" s="5"/>
      <c r="AI316" s="5"/>
      <c r="AJ316" s="5"/>
    </row>
    <row r="317" ht="30.0" customHeight="1">
      <c r="AH317" s="5"/>
      <c r="AI317" s="5"/>
      <c r="AJ317" s="5"/>
    </row>
    <row r="318" ht="30.0" customHeight="1">
      <c r="AH318" s="5"/>
      <c r="AI318" s="5"/>
      <c r="AJ318" s="5"/>
    </row>
    <row r="319" ht="30.0" customHeight="1">
      <c r="AH319" s="5"/>
      <c r="AI319" s="5"/>
      <c r="AJ319" s="5"/>
    </row>
    <row r="320" ht="30.0" customHeight="1">
      <c r="AH320" s="5"/>
      <c r="AI320" s="5"/>
      <c r="AJ320" s="5"/>
    </row>
    <row r="321" ht="30.0" customHeight="1">
      <c r="AH321" s="5"/>
      <c r="AI321" s="5"/>
      <c r="AJ321" s="5"/>
    </row>
    <row r="322" ht="30.0" customHeight="1">
      <c r="AH322" s="5"/>
      <c r="AI322" s="5"/>
      <c r="AJ322" s="5"/>
    </row>
    <row r="323" ht="30.0" customHeight="1">
      <c r="AH323" s="5"/>
      <c r="AI323" s="5"/>
      <c r="AJ323" s="5"/>
    </row>
    <row r="324" ht="30.0" customHeight="1">
      <c r="AH324" s="5"/>
      <c r="AI324" s="5"/>
      <c r="AJ324" s="5"/>
    </row>
    <row r="325" ht="30.0" customHeight="1">
      <c r="AH325" s="5"/>
      <c r="AI325" s="5"/>
      <c r="AJ325" s="5"/>
    </row>
    <row r="326" ht="30.0" customHeight="1">
      <c r="AH326" s="5"/>
      <c r="AI326" s="5"/>
      <c r="AJ326" s="5"/>
    </row>
    <row r="327" ht="30.0" customHeight="1">
      <c r="AH327" s="5"/>
      <c r="AI327" s="5"/>
      <c r="AJ327" s="5"/>
    </row>
    <row r="328" ht="30.0" customHeight="1">
      <c r="AH328" s="5"/>
      <c r="AI328" s="5"/>
      <c r="AJ328" s="5"/>
    </row>
    <row r="329" ht="30.0" customHeight="1">
      <c r="AH329" s="5"/>
      <c r="AI329" s="5"/>
      <c r="AJ329" s="5"/>
    </row>
    <row r="330" ht="30.0" customHeight="1">
      <c r="AH330" s="5"/>
      <c r="AI330" s="5"/>
      <c r="AJ330" s="5"/>
    </row>
    <row r="331" ht="30.0" customHeight="1">
      <c r="AH331" s="5"/>
      <c r="AI331" s="5"/>
      <c r="AJ331" s="5"/>
    </row>
    <row r="332" ht="30.0" customHeight="1">
      <c r="AH332" s="5"/>
      <c r="AI332" s="5"/>
      <c r="AJ332" s="5"/>
    </row>
    <row r="333" ht="30.0" customHeight="1">
      <c r="AH333" s="5"/>
      <c r="AI333" s="5"/>
      <c r="AJ333" s="5"/>
    </row>
    <row r="334" ht="30.0" customHeight="1">
      <c r="AH334" s="5"/>
      <c r="AI334" s="5"/>
      <c r="AJ334" s="5"/>
    </row>
    <row r="335" ht="30.0" customHeight="1">
      <c r="AH335" s="5"/>
      <c r="AI335" s="5"/>
      <c r="AJ335" s="5"/>
    </row>
    <row r="336" ht="30.0" customHeight="1">
      <c r="AH336" s="5"/>
      <c r="AI336" s="5"/>
      <c r="AJ336" s="5"/>
    </row>
    <row r="337" ht="30.0" customHeight="1">
      <c r="AH337" s="5"/>
      <c r="AI337" s="5"/>
      <c r="AJ337" s="5"/>
    </row>
    <row r="338" ht="30.0" customHeight="1">
      <c r="AH338" s="5"/>
      <c r="AI338" s="5"/>
      <c r="AJ338" s="5"/>
    </row>
    <row r="339" ht="30.0" customHeight="1">
      <c r="AH339" s="5"/>
      <c r="AI339" s="5"/>
      <c r="AJ339" s="5"/>
    </row>
    <row r="340" ht="30.0" customHeight="1">
      <c r="AH340" s="5"/>
      <c r="AI340" s="5"/>
      <c r="AJ340" s="5"/>
    </row>
    <row r="341" ht="30.0" customHeight="1">
      <c r="AH341" s="5"/>
      <c r="AI341" s="5"/>
      <c r="AJ341" s="5"/>
    </row>
    <row r="342" ht="30.0" customHeight="1">
      <c r="AH342" s="5"/>
      <c r="AI342" s="5"/>
      <c r="AJ342" s="5"/>
    </row>
    <row r="343" ht="30.0" customHeight="1">
      <c r="AH343" s="5"/>
      <c r="AI343" s="5"/>
      <c r="AJ343" s="5"/>
    </row>
    <row r="344" ht="30.0" customHeight="1">
      <c r="AH344" s="5"/>
      <c r="AI344" s="5"/>
      <c r="AJ344" s="5"/>
    </row>
    <row r="345" ht="30.0" customHeight="1">
      <c r="AH345" s="5"/>
      <c r="AI345" s="5"/>
      <c r="AJ345" s="5"/>
    </row>
    <row r="346" ht="30.0" customHeight="1">
      <c r="AH346" s="5"/>
      <c r="AI346" s="5"/>
      <c r="AJ346" s="5"/>
    </row>
    <row r="347" ht="30.0" customHeight="1">
      <c r="AH347" s="5"/>
      <c r="AI347" s="5"/>
      <c r="AJ347" s="5"/>
    </row>
    <row r="348" ht="30.0" customHeight="1">
      <c r="AH348" s="5"/>
      <c r="AI348" s="5"/>
      <c r="AJ348" s="5"/>
    </row>
    <row r="349" ht="30.0" customHeight="1">
      <c r="AH349" s="5"/>
      <c r="AI349" s="5"/>
      <c r="AJ349" s="5"/>
    </row>
    <row r="350" ht="30.0" customHeight="1">
      <c r="AH350" s="5"/>
      <c r="AI350" s="5"/>
      <c r="AJ350" s="5"/>
    </row>
    <row r="351" ht="30.0" customHeight="1">
      <c r="AH351" s="5"/>
      <c r="AI351" s="5"/>
      <c r="AJ351" s="5"/>
    </row>
    <row r="352" ht="30.0" customHeight="1">
      <c r="AH352" s="5"/>
      <c r="AI352" s="5"/>
      <c r="AJ352" s="5"/>
    </row>
    <row r="353" ht="30.0" customHeight="1">
      <c r="AH353" s="5"/>
      <c r="AI353" s="5"/>
      <c r="AJ353" s="5"/>
    </row>
    <row r="354" ht="30.0" customHeight="1">
      <c r="AH354" s="5"/>
      <c r="AI354" s="5"/>
      <c r="AJ354" s="5"/>
    </row>
    <row r="355" ht="30.0" customHeight="1">
      <c r="AH355" s="5"/>
      <c r="AI355" s="5"/>
      <c r="AJ355" s="5"/>
    </row>
    <row r="356" ht="30.0" customHeight="1">
      <c r="AH356" s="5"/>
      <c r="AI356" s="5"/>
      <c r="AJ356" s="5"/>
    </row>
    <row r="357" ht="30.0" customHeight="1">
      <c r="AH357" s="5"/>
      <c r="AI357" s="5"/>
      <c r="AJ357" s="5"/>
    </row>
    <row r="358" ht="30.0" customHeight="1">
      <c r="AH358" s="5"/>
      <c r="AI358" s="5"/>
      <c r="AJ358" s="5"/>
    </row>
    <row r="359" ht="30.0" customHeight="1">
      <c r="AH359" s="5"/>
      <c r="AI359" s="5"/>
      <c r="AJ359" s="5"/>
    </row>
    <row r="360" ht="30.0" customHeight="1">
      <c r="AH360" s="5"/>
      <c r="AI360" s="5"/>
      <c r="AJ360" s="5"/>
    </row>
    <row r="361" ht="30.0" customHeight="1">
      <c r="AH361" s="5"/>
      <c r="AI361" s="5"/>
      <c r="AJ361" s="5"/>
    </row>
    <row r="362" ht="30.0" customHeight="1">
      <c r="AH362" s="5"/>
      <c r="AI362" s="5"/>
      <c r="AJ362" s="5"/>
    </row>
    <row r="363" ht="30.0" customHeight="1">
      <c r="AH363" s="5"/>
      <c r="AI363" s="5"/>
      <c r="AJ363" s="5"/>
    </row>
    <row r="364" ht="30.0" customHeight="1">
      <c r="AH364" s="5"/>
      <c r="AI364" s="5"/>
      <c r="AJ364" s="5"/>
    </row>
    <row r="365" ht="30.0" customHeight="1">
      <c r="AH365" s="5"/>
      <c r="AI365" s="5"/>
      <c r="AJ365" s="5"/>
    </row>
    <row r="366" ht="30.0" customHeight="1">
      <c r="AH366" s="5"/>
      <c r="AI366" s="5"/>
      <c r="AJ366" s="5"/>
    </row>
    <row r="367" ht="30.0" customHeight="1">
      <c r="AH367" s="5"/>
      <c r="AI367" s="5"/>
      <c r="AJ367" s="5"/>
    </row>
    <row r="368" ht="30.0" customHeight="1">
      <c r="AH368" s="5"/>
      <c r="AI368" s="5"/>
      <c r="AJ368" s="5"/>
    </row>
    <row r="369" ht="30.0" customHeight="1">
      <c r="AH369" s="5"/>
      <c r="AI369" s="5"/>
      <c r="AJ369" s="5"/>
    </row>
    <row r="370" ht="30.0" customHeight="1">
      <c r="AH370" s="5"/>
      <c r="AI370" s="5"/>
      <c r="AJ370" s="5"/>
    </row>
    <row r="371" ht="30.0" customHeight="1">
      <c r="AH371" s="5"/>
      <c r="AI371" s="5"/>
      <c r="AJ371" s="5"/>
    </row>
    <row r="372" ht="30.0" customHeight="1">
      <c r="AH372" s="5"/>
      <c r="AI372" s="5"/>
      <c r="AJ372" s="5"/>
    </row>
    <row r="373" ht="30.0" customHeight="1">
      <c r="AH373" s="5"/>
      <c r="AI373" s="5"/>
      <c r="AJ373" s="5"/>
    </row>
    <row r="374" ht="30.0" customHeight="1">
      <c r="AH374" s="5"/>
      <c r="AI374" s="5"/>
      <c r="AJ374" s="5"/>
    </row>
    <row r="375" ht="30.0" customHeight="1">
      <c r="AH375" s="5"/>
      <c r="AI375" s="5"/>
      <c r="AJ375" s="5"/>
    </row>
    <row r="376" ht="30.0" customHeight="1">
      <c r="AH376" s="5"/>
      <c r="AI376" s="5"/>
      <c r="AJ376" s="5"/>
    </row>
    <row r="377" ht="30.0" customHeight="1">
      <c r="AH377" s="5"/>
      <c r="AI377" s="5"/>
      <c r="AJ377" s="5"/>
    </row>
    <row r="378" ht="30.0" customHeight="1">
      <c r="AH378" s="5"/>
      <c r="AI378" s="5"/>
      <c r="AJ378" s="5"/>
    </row>
    <row r="379" ht="30.0" customHeight="1">
      <c r="AH379" s="5"/>
      <c r="AI379" s="5"/>
      <c r="AJ379" s="5"/>
    </row>
    <row r="380" ht="30.0" customHeight="1">
      <c r="AH380" s="5"/>
      <c r="AI380" s="5"/>
      <c r="AJ380" s="5"/>
    </row>
    <row r="381" ht="30.0" customHeight="1">
      <c r="AH381" s="5"/>
      <c r="AI381" s="5"/>
      <c r="AJ381" s="5"/>
    </row>
    <row r="382" ht="30.0" customHeight="1">
      <c r="AH382" s="5"/>
      <c r="AI382" s="5"/>
      <c r="AJ382" s="5"/>
    </row>
    <row r="383" ht="30.0" customHeight="1">
      <c r="AH383" s="5"/>
      <c r="AI383" s="5"/>
      <c r="AJ383" s="5"/>
    </row>
    <row r="384" ht="30.0" customHeight="1">
      <c r="AH384" s="5"/>
      <c r="AI384" s="5"/>
      <c r="AJ384" s="5"/>
    </row>
    <row r="385" ht="30.0" customHeight="1">
      <c r="AH385" s="5"/>
      <c r="AI385" s="5"/>
      <c r="AJ385" s="5"/>
    </row>
    <row r="386" ht="30.0" customHeight="1">
      <c r="AH386" s="5"/>
      <c r="AI386" s="5"/>
      <c r="AJ386" s="5"/>
    </row>
    <row r="387" ht="30.0" customHeight="1">
      <c r="AH387" s="5"/>
      <c r="AI387" s="5"/>
      <c r="AJ387" s="5"/>
    </row>
    <row r="388" ht="30.0" customHeight="1">
      <c r="AH388" s="5"/>
      <c r="AI388" s="5"/>
      <c r="AJ388" s="5"/>
    </row>
    <row r="389" ht="30.0" customHeight="1">
      <c r="AH389" s="5"/>
      <c r="AI389" s="5"/>
      <c r="AJ389" s="5"/>
    </row>
    <row r="390" ht="30.0" customHeight="1">
      <c r="AH390" s="5"/>
      <c r="AI390" s="5"/>
      <c r="AJ390" s="5"/>
    </row>
    <row r="391" ht="30.0" customHeight="1">
      <c r="AH391" s="5"/>
      <c r="AI391" s="5"/>
      <c r="AJ391" s="5"/>
    </row>
    <row r="392" ht="30.0" customHeight="1">
      <c r="AH392" s="5"/>
      <c r="AI392" s="5"/>
      <c r="AJ392" s="5"/>
    </row>
    <row r="393" ht="30.0" customHeight="1">
      <c r="AH393" s="5"/>
      <c r="AI393" s="5"/>
      <c r="AJ393" s="5"/>
    </row>
    <row r="394" ht="30.0" customHeight="1">
      <c r="AH394" s="5"/>
      <c r="AI394" s="5"/>
      <c r="AJ394" s="5"/>
    </row>
    <row r="395" ht="30.0" customHeight="1">
      <c r="AH395" s="5"/>
      <c r="AI395" s="5"/>
      <c r="AJ395" s="5"/>
    </row>
    <row r="396" ht="30.0" customHeight="1">
      <c r="AH396" s="5"/>
      <c r="AI396" s="5"/>
      <c r="AJ396" s="5"/>
    </row>
    <row r="397" ht="30.0" customHeight="1">
      <c r="AH397" s="5"/>
      <c r="AI397" s="5"/>
      <c r="AJ397" s="5"/>
    </row>
    <row r="398" ht="30.0" customHeight="1">
      <c r="AH398" s="5"/>
      <c r="AI398" s="5"/>
      <c r="AJ398" s="5"/>
    </row>
    <row r="399" ht="30.0" customHeight="1">
      <c r="AH399" s="5"/>
      <c r="AI399" s="5"/>
      <c r="AJ399" s="5"/>
    </row>
    <row r="400" ht="30.0" customHeight="1">
      <c r="AH400" s="5"/>
      <c r="AI400" s="5"/>
      <c r="AJ400" s="5"/>
    </row>
    <row r="401" ht="30.0" customHeight="1">
      <c r="AH401" s="5"/>
      <c r="AI401" s="5"/>
      <c r="AJ401" s="5"/>
    </row>
    <row r="402" ht="30.0" customHeight="1">
      <c r="AH402" s="5"/>
      <c r="AI402" s="5"/>
      <c r="AJ402" s="5"/>
    </row>
    <row r="403" ht="30.0" customHeight="1">
      <c r="AH403" s="5"/>
      <c r="AI403" s="5"/>
      <c r="AJ403" s="5"/>
    </row>
    <row r="404" ht="30.0" customHeight="1">
      <c r="AH404" s="5"/>
      <c r="AI404" s="5"/>
      <c r="AJ404" s="5"/>
    </row>
    <row r="405" ht="30.0" customHeight="1">
      <c r="AH405" s="5"/>
      <c r="AI405" s="5"/>
      <c r="AJ405" s="5"/>
    </row>
    <row r="406" ht="30.0" customHeight="1">
      <c r="AH406" s="5"/>
      <c r="AI406" s="5"/>
      <c r="AJ406" s="5"/>
    </row>
    <row r="407" ht="30.0" customHeight="1">
      <c r="AH407" s="5"/>
      <c r="AI407" s="5"/>
      <c r="AJ407" s="5"/>
    </row>
    <row r="408" ht="30.0" customHeight="1">
      <c r="AH408" s="5"/>
      <c r="AI408" s="5"/>
      <c r="AJ408" s="5"/>
    </row>
    <row r="409" ht="30.0" customHeight="1">
      <c r="AH409" s="5"/>
      <c r="AI409" s="5"/>
      <c r="AJ409" s="5"/>
    </row>
    <row r="410" ht="30.0" customHeight="1">
      <c r="AH410" s="5"/>
      <c r="AI410" s="5"/>
      <c r="AJ410" s="5"/>
    </row>
    <row r="411" ht="30.0" customHeight="1">
      <c r="AH411" s="5"/>
      <c r="AI411" s="5"/>
      <c r="AJ411" s="5"/>
    </row>
    <row r="412" ht="30.0" customHeight="1">
      <c r="AH412" s="5"/>
      <c r="AI412" s="5"/>
      <c r="AJ412" s="5"/>
    </row>
    <row r="413" ht="30.0" customHeight="1">
      <c r="AH413" s="5"/>
      <c r="AI413" s="5"/>
      <c r="AJ413" s="5"/>
    </row>
    <row r="414" ht="30.0" customHeight="1">
      <c r="AH414" s="5"/>
      <c r="AI414" s="5"/>
      <c r="AJ414" s="5"/>
    </row>
    <row r="415" ht="30.0" customHeight="1">
      <c r="AH415" s="5"/>
      <c r="AI415" s="5"/>
      <c r="AJ415" s="5"/>
    </row>
    <row r="416" ht="30.0" customHeight="1">
      <c r="AH416" s="5"/>
      <c r="AI416" s="5"/>
      <c r="AJ416" s="5"/>
    </row>
    <row r="417" ht="30.0" customHeight="1">
      <c r="AH417" s="5"/>
      <c r="AI417" s="5"/>
      <c r="AJ417" s="5"/>
    </row>
    <row r="418" ht="30.0" customHeight="1">
      <c r="AH418" s="5"/>
      <c r="AI418" s="5"/>
      <c r="AJ418" s="5"/>
    </row>
    <row r="419" ht="30.0" customHeight="1">
      <c r="AH419" s="5"/>
      <c r="AI419" s="5"/>
      <c r="AJ419" s="5"/>
    </row>
    <row r="420" ht="30.0" customHeight="1">
      <c r="AH420" s="5"/>
      <c r="AI420" s="5"/>
      <c r="AJ420" s="5"/>
    </row>
    <row r="421" ht="30.0" customHeight="1">
      <c r="AH421" s="5"/>
      <c r="AI421" s="5"/>
      <c r="AJ421" s="5"/>
    </row>
    <row r="422" ht="30.0" customHeight="1">
      <c r="AH422" s="5"/>
      <c r="AI422" s="5"/>
      <c r="AJ422" s="5"/>
    </row>
    <row r="423" ht="30.0" customHeight="1">
      <c r="AH423" s="5"/>
      <c r="AI423" s="5"/>
      <c r="AJ423" s="5"/>
    </row>
    <row r="424" ht="30.0" customHeight="1">
      <c r="AH424" s="5"/>
      <c r="AI424" s="5"/>
      <c r="AJ424" s="5"/>
    </row>
    <row r="425" ht="30.0" customHeight="1">
      <c r="AH425" s="5"/>
      <c r="AI425" s="5"/>
      <c r="AJ425" s="5"/>
    </row>
    <row r="426" ht="30.0" customHeight="1">
      <c r="AH426" s="5"/>
      <c r="AI426" s="5"/>
      <c r="AJ426" s="5"/>
    </row>
    <row r="427" ht="30.0" customHeight="1">
      <c r="AH427" s="5"/>
      <c r="AI427" s="5"/>
      <c r="AJ427" s="5"/>
    </row>
    <row r="428" ht="30.0" customHeight="1">
      <c r="AH428" s="5"/>
      <c r="AI428" s="5"/>
      <c r="AJ428" s="5"/>
    </row>
    <row r="429" ht="30.0" customHeight="1">
      <c r="AH429" s="5"/>
      <c r="AI429" s="5"/>
      <c r="AJ429" s="5"/>
    </row>
    <row r="430" ht="30.0" customHeight="1">
      <c r="AH430" s="5"/>
      <c r="AI430" s="5"/>
      <c r="AJ430" s="5"/>
    </row>
    <row r="431" ht="30.0" customHeight="1">
      <c r="AH431" s="5"/>
      <c r="AI431" s="5"/>
      <c r="AJ431" s="5"/>
    </row>
    <row r="432" ht="30.0" customHeight="1">
      <c r="AH432" s="5"/>
      <c r="AI432" s="5"/>
      <c r="AJ432" s="5"/>
    </row>
    <row r="433" ht="30.0" customHeight="1">
      <c r="AH433" s="5"/>
      <c r="AI433" s="5"/>
      <c r="AJ433" s="5"/>
    </row>
    <row r="434" ht="30.0" customHeight="1">
      <c r="AH434" s="5"/>
      <c r="AI434" s="5"/>
      <c r="AJ434" s="5"/>
    </row>
    <row r="435" ht="30.0" customHeight="1">
      <c r="AH435" s="5"/>
      <c r="AI435" s="5"/>
      <c r="AJ435" s="5"/>
    </row>
    <row r="436" ht="30.0" customHeight="1">
      <c r="AH436" s="5"/>
      <c r="AI436" s="5"/>
      <c r="AJ436" s="5"/>
    </row>
    <row r="437" ht="30.0" customHeight="1">
      <c r="AH437" s="5"/>
      <c r="AI437" s="5"/>
      <c r="AJ437" s="5"/>
    </row>
    <row r="438" ht="30.0" customHeight="1">
      <c r="AH438" s="5"/>
      <c r="AI438" s="5"/>
      <c r="AJ438" s="5"/>
    </row>
    <row r="439" ht="30.0" customHeight="1">
      <c r="AH439" s="5"/>
      <c r="AI439" s="5"/>
      <c r="AJ439" s="5"/>
    </row>
    <row r="440" ht="30.0" customHeight="1">
      <c r="AH440" s="5"/>
      <c r="AI440" s="5"/>
      <c r="AJ440" s="5"/>
    </row>
    <row r="441" ht="30.0" customHeight="1">
      <c r="AH441" s="5"/>
      <c r="AI441" s="5"/>
      <c r="AJ441" s="5"/>
    </row>
    <row r="442" ht="30.0" customHeight="1">
      <c r="AH442" s="5"/>
      <c r="AI442" s="5"/>
      <c r="AJ442" s="5"/>
    </row>
    <row r="443" ht="30.0" customHeight="1">
      <c r="AH443" s="5"/>
      <c r="AI443" s="5"/>
      <c r="AJ443" s="5"/>
    </row>
    <row r="444" ht="30.0" customHeight="1">
      <c r="AH444" s="5"/>
      <c r="AI444" s="5"/>
      <c r="AJ444" s="5"/>
    </row>
    <row r="445" ht="30.0" customHeight="1">
      <c r="AH445" s="5"/>
      <c r="AI445" s="5"/>
      <c r="AJ445" s="5"/>
    </row>
    <row r="446" ht="30.0" customHeight="1">
      <c r="AH446" s="5"/>
      <c r="AI446" s="5"/>
      <c r="AJ446" s="5"/>
    </row>
    <row r="447" ht="30.0" customHeight="1">
      <c r="AH447" s="5"/>
      <c r="AI447" s="5"/>
      <c r="AJ447" s="5"/>
    </row>
    <row r="448" ht="30.0" customHeight="1">
      <c r="AH448" s="5"/>
      <c r="AI448" s="5"/>
      <c r="AJ448" s="5"/>
    </row>
    <row r="449" ht="30.0" customHeight="1">
      <c r="AH449" s="5"/>
      <c r="AI449" s="5"/>
      <c r="AJ449" s="5"/>
    </row>
    <row r="450" ht="30.0" customHeight="1">
      <c r="AH450" s="5"/>
      <c r="AI450" s="5"/>
      <c r="AJ450" s="5"/>
    </row>
    <row r="451" ht="30.0" customHeight="1">
      <c r="AH451" s="5"/>
      <c r="AI451" s="5"/>
      <c r="AJ451" s="5"/>
    </row>
    <row r="452" ht="30.0" customHeight="1">
      <c r="AH452" s="5"/>
      <c r="AI452" s="5"/>
      <c r="AJ452" s="5"/>
    </row>
    <row r="453" ht="30.0" customHeight="1">
      <c r="AH453" s="5"/>
      <c r="AI453" s="5"/>
      <c r="AJ453" s="5"/>
    </row>
    <row r="454" ht="30.0" customHeight="1">
      <c r="AH454" s="5"/>
      <c r="AI454" s="5"/>
      <c r="AJ454" s="5"/>
    </row>
    <row r="455" ht="30.0" customHeight="1">
      <c r="AH455" s="5"/>
      <c r="AI455" s="5"/>
      <c r="AJ455" s="5"/>
    </row>
    <row r="456" ht="30.0" customHeight="1">
      <c r="AH456" s="5"/>
      <c r="AI456" s="5"/>
      <c r="AJ456" s="5"/>
    </row>
    <row r="457" ht="30.0" customHeight="1">
      <c r="AH457" s="5"/>
      <c r="AI457" s="5"/>
      <c r="AJ457" s="5"/>
    </row>
    <row r="458" ht="30.0" customHeight="1">
      <c r="AH458" s="5"/>
      <c r="AI458" s="5"/>
      <c r="AJ458" s="5"/>
    </row>
    <row r="459" ht="30.0" customHeight="1">
      <c r="AH459" s="5"/>
      <c r="AI459" s="5"/>
      <c r="AJ459" s="5"/>
    </row>
    <row r="460" ht="30.0" customHeight="1">
      <c r="AH460" s="5"/>
      <c r="AI460" s="5"/>
      <c r="AJ460" s="5"/>
    </row>
    <row r="461" ht="30.0" customHeight="1">
      <c r="AH461" s="5"/>
      <c r="AI461" s="5"/>
      <c r="AJ461" s="5"/>
    </row>
    <row r="462" ht="30.0" customHeight="1">
      <c r="AH462" s="5"/>
      <c r="AI462" s="5"/>
      <c r="AJ462" s="5"/>
    </row>
    <row r="463" ht="30.0" customHeight="1">
      <c r="AH463" s="5"/>
      <c r="AI463" s="5"/>
      <c r="AJ463" s="5"/>
    </row>
    <row r="464" ht="30.0" customHeight="1">
      <c r="AH464" s="5"/>
      <c r="AI464" s="5"/>
      <c r="AJ464" s="5"/>
    </row>
    <row r="465" ht="30.0" customHeight="1">
      <c r="AH465" s="5"/>
      <c r="AI465" s="5"/>
      <c r="AJ465" s="5"/>
    </row>
    <row r="466" ht="30.0" customHeight="1">
      <c r="AH466" s="5"/>
      <c r="AI466" s="5"/>
      <c r="AJ466" s="5"/>
    </row>
    <row r="467" ht="30.0" customHeight="1">
      <c r="AH467" s="5"/>
      <c r="AI467" s="5"/>
      <c r="AJ467" s="5"/>
    </row>
    <row r="468" ht="30.0" customHeight="1">
      <c r="AH468" s="5"/>
      <c r="AI468" s="5"/>
      <c r="AJ468" s="5"/>
    </row>
    <row r="469" ht="30.0" customHeight="1">
      <c r="AH469" s="5"/>
      <c r="AI469" s="5"/>
      <c r="AJ469" s="5"/>
    </row>
    <row r="470" ht="30.0" customHeight="1">
      <c r="AH470" s="5"/>
      <c r="AI470" s="5"/>
      <c r="AJ470" s="5"/>
    </row>
    <row r="471" ht="30.0" customHeight="1">
      <c r="AH471" s="5"/>
      <c r="AI471" s="5"/>
      <c r="AJ471" s="5"/>
    </row>
    <row r="472" ht="30.0" customHeight="1">
      <c r="AH472" s="5"/>
      <c r="AI472" s="5"/>
      <c r="AJ472" s="5"/>
    </row>
    <row r="473" ht="30.0" customHeight="1">
      <c r="AH473" s="5"/>
      <c r="AI473" s="5"/>
      <c r="AJ473" s="5"/>
    </row>
    <row r="474" ht="30.0" customHeight="1">
      <c r="AH474" s="5"/>
      <c r="AI474" s="5"/>
      <c r="AJ474" s="5"/>
    </row>
    <row r="475" ht="30.0" customHeight="1">
      <c r="AH475" s="5"/>
      <c r="AI475" s="5"/>
      <c r="AJ475" s="5"/>
    </row>
    <row r="476" ht="30.0" customHeight="1">
      <c r="AH476" s="5"/>
      <c r="AI476" s="5"/>
      <c r="AJ476" s="5"/>
    </row>
    <row r="477" ht="30.0" customHeight="1">
      <c r="AH477" s="5"/>
      <c r="AI477" s="5"/>
      <c r="AJ477" s="5"/>
    </row>
    <row r="478" ht="30.0" customHeight="1">
      <c r="AH478" s="5"/>
      <c r="AI478" s="5"/>
      <c r="AJ478" s="5"/>
    </row>
    <row r="479" ht="30.0" customHeight="1">
      <c r="AH479" s="5"/>
      <c r="AI479" s="5"/>
      <c r="AJ479" s="5"/>
    </row>
    <row r="480" ht="30.0" customHeight="1">
      <c r="AH480" s="5"/>
      <c r="AI480" s="5"/>
      <c r="AJ480" s="5"/>
    </row>
    <row r="481" ht="30.0" customHeight="1">
      <c r="AH481" s="5"/>
      <c r="AI481" s="5"/>
      <c r="AJ481" s="5"/>
    </row>
    <row r="482" ht="30.0" customHeight="1">
      <c r="AH482" s="5"/>
      <c r="AI482" s="5"/>
      <c r="AJ482" s="5"/>
    </row>
    <row r="483" ht="30.0" customHeight="1">
      <c r="AH483" s="5"/>
      <c r="AI483" s="5"/>
      <c r="AJ483" s="5"/>
    </row>
    <row r="484" ht="30.0" customHeight="1">
      <c r="AH484" s="5"/>
      <c r="AI484" s="5"/>
      <c r="AJ484" s="5"/>
    </row>
    <row r="485" ht="30.0" customHeight="1">
      <c r="AH485" s="5"/>
      <c r="AI485" s="5"/>
      <c r="AJ485" s="5"/>
    </row>
    <row r="486" ht="30.0" customHeight="1">
      <c r="AH486" s="5"/>
      <c r="AI486" s="5"/>
      <c r="AJ486" s="5"/>
    </row>
    <row r="487" ht="30.0" customHeight="1">
      <c r="AH487" s="5"/>
      <c r="AI487" s="5"/>
      <c r="AJ487" s="5"/>
    </row>
    <row r="488" ht="30.0" customHeight="1">
      <c r="AH488" s="5"/>
      <c r="AI488" s="5"/>
      <c r="AJ488" s="5"/>
    </row>
    <row r="489" ht="30.0" customHeight="1">
      <c r="AH489" s="5"/>
      <c r="AI489" s="5"/>
      <c r="AJ489" s="5"/>
    </row>
    <row r="490" ht="30.0" customHeight="1">
      <c r="AH490" s="5"/>
      <c r="AI490" s="5"/>
      <c r="AJ490" s="5"/>
    </row>
    <row r="491" ht="30.0" customHeight="1">
      <c r="AH491" s="5"/>
      <c r="AI491" s="5"/>
      <c r="AJ491" s="5"/>
    </row>
    <row r="492" ht="30.0" customHeight="1">
      <c r="AH492" s="5"/>
      <c r="AI492" s="5"/>
      <c r="AJ492" s="5"/>
    </row>
    <row r="493" ht="30.0" customHeight="1">
      <c r="AH493" s="5"/>
      <c r="AI493" s="5"/>
      <c r="AJ493" s="5"/>
    </row>
    <row r="494" ht="30.0" customHeight="1">
      <c r="AH494" s="5"/>
      <c r="AI494" s="5"/>
      <c r="AJ494" s="5"/>
    </row>
    <row r="495" ht="30.0" customHeight="1">
      <c r="AH495" s="5"/>
      <c r="AI495" s="5"/>
      <c r="AJ495" s="5"/>
    </row>
    <row r="496" ht="30.0" customHeight="1">
      <c r="AH496" s="5"/>
      <c r="AI496" s="5"/>
      <c r="AJ496" s="5"/>
    </row>
    <row r="497" ht="30.0" customHeight="1">
      <c r="AH497" s="5"/>
      <c r="AI497" s="5"/>
      <c r="AJ497" s="5"/>
    </row>
    <row r="498" ht="30.0" customHeight="1">
      <c r="AH498" s="5"/>
      <c r="AI498" s="5"/>
      <c r="AJ498" s="5"/>
    </row>
    <row r="499" ht="30.0" customHeight="1">
      <c r="AH499" s="5"/>
      <c r="AI499" s="5"/>
      <c r="AJ499" s="5"/>
    </row>
    <row r="500" ht="30.0" customHeight="1">
      <c r="AH500" s="5"/>
      <c r="AI500" s="5"/>
      <c r="AJ500" s="5"/>
    </row>
    <row r="501" ht="30.0" customHeight="1">
      <c r="AH501" s="5"/>
      <c r="AI501" s="5"/>
      <c r="AJ501" s="5"/>
    </row>
    <row r="502" ht="30.0" customHeight="1">
      <c r="AH502" s="5"/>
      <c r="AI502" s="5"/>
      <c r="AJ502" s="5"/>
    </row>
    <row r="503" ht="30.0" customHeight="1">
      <c r="AH503" s="5"/>
      <c r="AI503" s="5"/>
      <c r="AJ503" s="5"/>
    </row>
    <row r="504" ht="30.0" customHeight="1">
      <c r="AH504" s="5"/>
      <c r="AI504" s="5"/>
      <c r="AJ504" s="5"/>
    </row>
    <row r="505" ht="30.0" customHeight="1">
      <c r="AH505" s="5"/>
      <c r="AI505" s="5"/>
      <c r="AJ505" s="5"/>
    </row>
    <row r="506" ht="30.0" customHeight="1">
      <c r="AH506" s="5"/>
      <c r="AI506" s="5"/>
      <c r="AJ506" s="5"/>
    </row>
    <row r="507" ht="30.0" customHeight="1">
      <c r="AH507" s="5"/>
      <c r="AI507" s="5"/>
      <c r="AJ507" s="5"/>
    </row>
    <row r="508" ht="30.0" customHeight="1">
      <c r="AH508" s="5"/>
      <c r="AI508" s="5"/>
      <c r="AJ508" s="5"/>
    </row>
    <row r="509" ht="30.0" customHeight="1">
      <c r="AH509" s="5"/>
      <c r="AI509" s="5"/>
      <c r="AJ509" s="5"/>
    </row>
    <row r="510" ht="30.0" customHeight="1">
      <c r="AH510" s="5"/>
      <c r="AI510" s="5"/>
      <c r="AJ510" s="5"/>
    </row>
    <row r="511" ht="30.0" customHeight="1">
      <c r="AH511" s="5"/>
      <c r="AI511" s="5"/>
      <c r="AJ511" s="5"/>
    </row>
    <row r="512" ht="30.0" customHeight="1">
      <c r="AH512" s="5"/>
      <c r="AI512" s="5"/>
      <c r="AJ512" s="5"/>
    </row>
    <row r="513" ht="30.0" customHeight="1">
      <c r="AH513" s="5"/>
      <c r="AI513" s="5"/>
      <c r="AJ513" s="5"/>
    </row>
    <row r="514" ht="30.0" customHeight="1">
      <c r="AH514" s="5"/>
      <c r="AI514" s="5"/>
      <c r="AJ514" s="5"/>
    </row>
    <row r="515" ht="30.0" customHeight="1">
      <c r="AH515" s="5"/>
      <c r="AI515" s="5"/>
      <c r="AJ515" s="5"/>
    </row>
    <row r="516" ht="30.0" customHeight="1">
      <c r="AH516" s="5"/>
      <c r="AI516" s="5"/>
      <c r="AJ516" s="5"/>
    </row>
    <row r="517" ht="30.0" customHeight="1">
      <c r="AH517" s="5"/>
      <c r="AI517" s="5"/>
      <c r="AJ517" s="5"/>
    </row>
    <row r="518" ht="30.0" customHeight="1">
      <c r="AH518" s="5"/>
      <c r="AI518" s="5"/>
      <c r="AJ518" s="5"/>
    </row>
    <row r="519" ht="30.0" customHeight="1">
      <c r="AH519" s="5"/>
      <c r="AI519" s="5"/>
      <c r="AJ519" s="5"/>
    </row>
    <row r="520" ht="30.0" customHeight="1">
      <c r="AH520" s="5"/>
      <c r="AI520" s="5"/>
      <c r="AJ520" s="5"/>
    </row>
    <row r="521" ht="30.0" customHeight="1">
      <c r="AH521" s="5"/>
      <c r="AI521" s="5"/>
      <c r="AJ521" s="5"/>
    </row>
    <row r="522" ht="30.0" customHeight="1">
      <c r="AH522" s="5"/>
      <c r="AI522" s="5"/>
      <c r="AJ522" s="5"/>
    </row>
    <row r="523" ht="30.0" customHeight="1">
      <c r="AH523" s="5"/>
      <c r="AI523" s="5"/>
      <c r="AJ523" s="5"/>
    </row>
    <row r="524" ht="30.0" customHeight="1">
      <c r="AH524" s="5"/>
      <c r="AI524" s="5"/>
      <c r="AJ524" s="5"/>
    </row>
    <row r="525" ht="30.0" customHeight="1">
      <c r="AH525" s="5"/>
      <c r="AI525" s="5"/>
      <c r="AJ525" s="5"/>
    </row>
    <row r="526" ht="30.0" customHeight="1">
      <c r="AH526" s="5"/>
      <c r="AI526" s="5"/>
      <c r="AJ526" s="5"/>
    </row>
    <row r="527" ht="30.0" customHeight="1">
      <c r="AH527" s="5"/>
      <c r="AI527" s="5"/>
      <c r="AJ527" s="5"/>
    </row>
    <row r="528" ht="30.0" customHeight="1">
      <c r="AH528" s="5"/>
      <c r="AI528" s="5"/>
      <c r="AJ528" s="5"/>
    </row>
    <row r="529" ht="30.0" customHeight="1">
      <c r="AH529" s="5"/>
      <c r="AI529" s="5"/>
      <c r="AJ529" s="5"/>
    </row>
    <row r="530" ht="30.0" customHeight="1">
      <c r="AH530" s="5"/>
      <c r="AI530" s="5"/>
      <c r="AJ530" s="5"/>
    </row>
    <row r="531" ht="30.0" customHeight="1">
      <c r="AH531" s="5"/>
      <c r="AI531" s="5"/>
      <c r="AJ531" s="5"/>
    </row>
    <row r="532" ht="30.0" customHeight="1">
      <c r="AH532" s="5"/>
      <c r="AI532" s="5"/>
      <c r="AJ532" s="5"/>
    </row>
    <row r="533" ht="30.0" customHeight="1">
      <c r="AH533" s="5"/>
      <c r="AI533" s="5"/>
      <c r="AJ533" s="5"/>
    </row>
    <row r="534" ht="30.0" customHeight="1">
      <c r="AH534" s="5"/>
      <c r="AI534" s="5"/>
      <c r="AJ534" s="5"/>
    </row>
    <row r="535" ht="30.0" customHeight="1">
      <c r="AH535" s="5"/>
      <c r="AI535" s="5"/>
      <c r="AJ535" s="5"/>
    </row>
    <row r="536" ht="30.0" customHeight="1">
      <c r="AH536" s="5"/>
      <c r="AI536" s="5"/>
      <c r="AJ536" s="5"/>
    </row>
    <row r="537" ht="30.0" customHeight="1">
      <c r="AH537" s="5"/>
      <c r="AI537" s="5"/>
      <c r="AJ537" s="5"/>
    </row>
    <row r="538" ht="30.0" customHeight="1">
      <c r="AH538" s="5"/>
      <c r="AI538" s="5"/>
      <c r="AJ538" s="5"/>
    </row>
    <row r="539" ht="30.0" customHeight="1">
      <c r="AH539" s="5"/>
      <c r="AI539" s="5"/>
      <c r="AJ539" s="5"/>
    </row>
    <row r="540" ht="30.0" customHeight="1">
      <c r="AH540" s="5"/>
      <c r="AI540" s="5"/>
      <c r="AJ540" s="5"/>
    </row>
    <row r="541" ht="30.0" customHeight="1">
      <c r="AH541" s="5"/>
      <c r="AI541" s="5"/>
      <c r="AJ541" s="5"/>
    </row>
    <row r="542" ht="30.0" customHeight="1">
      <c r="AH542" s="5"/>
      <c r="AI542" s="5"/>
      <c r="AJ542" s="5"/>
    </row>
    <row r="543" ht="30.0" customHeight="1">
      <c r="AH543" s="5"/>
      <c r="AI543" s="5"/>
      <c r="AJ543" s="5"/>
    </row>
    <row r="544" ht="30.0" customHeight="1">
      <c r="AH544" s="5"/>
      <c r="AI544" s="5"/>
      <c r="AJ544" s="5"/>
    </row>
    <row r="545" ht="30.0" customHeight="1">
      <c r="AH545" s="5"/>
      <c r="AI545" s="5"/>
      <c r="AJ545" s="5"/>
    </row>
    <row r="546" ht="30.0" customHeight="1">
      <c r="AH546" s="5"/>
      <c r="AI546" s="5"/>
      <c r="AJ546" s="5"/>
    </row>
    <row r="547" ht="30.0" customHeight="1">
      <c r="AH547" s="5"/>
      <c r="AI547" s="5"/>
      <c r="AJ547" s="5"/>
    </row>
    <row r="548" ht="30.0" customHeight="1">
      <c r="AH548" s="5"/>
      <c r="AI548" s="5"/>
      <c r="AJ548" s="5"/>
    </row>
    <row r="549" ht="30.0" customHeight="1">
      <c r="AH549" s="5"/>
      <c r="AI549" s="5"/>
      <c r="AJ549" s="5"/>
    </row>
    <row r="550" ht="30.0" customHeight="1">
      <c r="AH550" s="5"/>
      <c r="AI550" s="5"/>
      <c r="AJ550" s="5"/>
    </row>
    <row r="551" ht="30.0" customHeight="1">
      <c r="AH551" s="5"/>
      <c r="AI551" s="5"/>
      <c r="AJ551" s="5"/>
    </row>
    <row r="552" ht="30.0" customHeight="1">
      <c r="AH552" s="5"/>
      <c r="AI552" s="5"/>
      <c r="AJ552" s="5"/>
    </row>
    <row r="553" ht="30.0" customHeight="1">
      <c r="AH553" s="5"/>
      <c r="AI553" s="5"/>
      <c r="AJ553" s="5"/>
    </row>
    <row r="554" ht="30.0" customHeight="1">
      <c r="AH554" s="5"/>
      <c r="AI554" s="5"/>
      <c r="AJ554" s="5"/>
    </row>
    <row r="555" ht="30.0" customHeight="1">
      <c r="AH555" s="5"/>
      <c r="AI555" s="5"/>
      <c r="AJ555" s="5"/>
    </row>
    <row r="556" ht="30.0" customHeight="1">
      <c r="AH556" s="5"/>
      <c r="AI556" s="5"/>
      <c r="AJ556" s="5"/>
    </row>
    <row r="557" ht="30.0" customHeight="1">
      <c r="AH557" s="5"/>
      <c r="AI557" s="5"/>
      <c r="AJ557" s="5"/>
    </row>
    <row r="558" ht="30.0" customHeight="1">
      <c r="AH558" s="5"/>
      <c r="AI558" s="5"/>
      <c r="AJ558" s="5"/>
    </row>
    <row r="559" ht="30.0" customHeight="1">
      <c r="AH559" s="5"/>
      <c r="AI559" s="5"/>
      <c r="AJ559" s="5"/>
    </row>
    <row r="560" ht="30.0" customHeight="1">
      <c r="AH560" s="5"/>
      <c r="AI560" s="5"/>
      <c r="AJ560" s="5"/>
    </row>
    <row r="561" ht="30.0" customHeight="1">
      <c r="AH561" s="5"/>
      <c r="AI561" s="5"/>
      <c r="AJ561" s="5"/>
    </row>
    <row r="562" ht="30.0" customHeight="1">
      <c r="AH562" s="5"/>
      <c r="AI562" s="5"/>
      <c r="AJ562" s="5"/>
    </row>
    <row r="563" ht="30.0" customHeight="1">
      <c r="AH563" s="5"/>
      <c r="AI563" s="5"/>
      <c r="AJ563" s="5"/>
    </row>
    <row r="564" ht="30.0" customHeight="1">
      <c r="AH564" s="5"/>
      <c r="AI564" s="5"/>
      <c r="AJ564" s="5"/>
    </row>
    <row r="565" ht="30.0" customHeight="1">
      <c r="AH565" s="5"/>
      <c r="AI565" s="5"/>
      <c r="AJ565" s="5"/>
    </row>
    <row r="566" ht="30.0" customHeight="1">
      <c r="AH566" s="5"/>
      <c r="AI566" s="5"/>
      <c r="AJ566" s="5"/>
    </row>
    <row r="567" ht="30.0" customHeight="1">
      <c r="AH567" s="5"/>
      <c r="AI567" s="5"/>
      <c r="AJ567" s="5"/>
    </row>
    <row r="568" ht="30.0" customHeight="1">
      <c r="AH568" s="5"/>
      <c r="AI568" s="5"/>
      <c r="AJ568" s="5"/>
    </row>
    <row r="569" ht="30.0" customHeight="1">
      <c r="AH569" s="5"/>
      <c r="AI569" s="5"/>
      <c r="AJ569" s="5"/>
    </row>
    <row r="570" ht="30.0" customHeight="1">
      <c r="AH570" s="5"/>
      <c r="AI570" s="5"/>
      <c r="AJ570" s="5"/>
    </row>
    <row r="571" ht="30.0" customHeight="1">
      <c r="AH571" s="5"/>
      <c r="AI571" s="5"/>
      <c r="AJ571" s="5"/>
    </row>
    <row r="572" ht="30.0" customHeight="1">
      <c r="AH572" s="5"/>
      <c r="AI572" s="5"/>
      <c r="AJ572" s="5"/>
    </row>
    <row r="573" ht="30.0" customHeight="1">
      <c r="AH573" s="5"/>
      <c r="AI573" s="5"/>
      <c r="AJ573" s="5"/>
    </row>
    <row r="574" ht="30.0" customHeight="1">
      <c r="AH574" s="5"/>
      <c r="AI574" s="5"/>
      <c r="AJ574" s="5"/>
    </row>
    <row r="575" ht="30.0" customHeight="1">
      <c r="AH575" s="5"/>
      <c r="AI575" s="5"/>
      <c r="AJ575" s="5"/>
    </row>
    <row r="576" ht="30.0" customHeight="1">
      <c r="AH576" s="5"/>
      <c r="AI576" s="5"/>
      <c r="AJ576" s="5"/>
    </row>
    <row r="577" ht="30.0" customHeight="1">
      <c r="AH577" s="5"/>
      <c r="AI577" s="5"/>
      <c r="AJ577" s="5"/>
    </row>
    <row r="578" ht="30.0" customHeight="1">
      <c r="AH578" s="5"/>
      <c r="AI578" s="5"/>
      <c r="AJ578" s="5"/>
    </row>
    <row r="579" ht="30.0" customHeight="1">
      <c r="AH579" s="5"/>
      <c r="AI579" s="5"/>
      <c r="AJ579" s="5"/>
    </row>
    <row r="580" ht="30.0" customHeight="1">
      <c r="AH580" s="5"/>
      <c r="AI580" s="5"/>
      <c r="AJ580" s="5"/>
    </row>
    <row r="581" ht="30.0" customHeight="1">
      <c r="AH581" s="5"/>
      <c r="AI581" s="5"/>
      <c r="AJ581" s="5"/>
    </row>
    <row r="582" ht="30.0" customHeight="1">
      <c r="AH582" s="5"/>
      <c r="AI582" s="5"/>
      <c r="AJ582" s="5"/>
    </row>
    <row r="583" ht="30.0" customHeight="1">
      <c r="AH583" s="5"/>
      <c r="AI583" s="5"/>
      <c r="AJ583" s="5"/>
    </row>
    <row r="584" ht="30.0" customHeight="1">
      <c r="AH584" s="5"/>
      <c r="AI584" s="5"/>
      <c r="AJ584" s="5"/>
    </row>
    <row r="585" ht="30.0" customHeight="1">
      <c r="AH585" s="5"/>
      <c r="AI585" s="5"/>
      <c r="AJ585" s="5"/>
    </row>
    <row r="586" ht="30.0" customHeight="1">
      <c r="AH586" s="5"/>
      <c r="AI586" s="5"/>
      <c r="AJ586" s="5"/>
    </row>
    <row r="587" ht="30.0" customHeight="1">
      <c r="AH587" s="5"/>
      <c r="AI587" s="5"/>
      <c r="AJ587" s="5"/>
    </row>
    <row r="588" ht="30.0" customHeight="1">
      <c r="AH588" s="5"/>
      <c r="AI588" s="5"/>
      <c r="AJ588" s="5"/>
    </row>
    <row r="589" ht="30.0" customHeight="1">
      <c r="AH589" s="5"/>
      <c r="AI589" s="5"/>
      <c r="AJ589" s="5"/>
    </row>
    <row r="590" ht="30.0" customHeight="1">
      <c r="AH590" s="5"/>
      <c r="AI590" s="5"/>
      <c r="AJ590" s="5"/>
    </row>
    <row r="591" ht="30.0" customHeight="1">
      <c r="AH591" s="5"/>
      <c r="AI591" s="5"/>
      <c r="AJ591" s="5"/>
    </row>
    <row r="592" ht="30.0" customHeight="1">
      <c r="AH592" s="5"/>
      <c r="AI592" s="5"/>
      <c r="AJ592" s="5"/>
    </row>
    <row r="593" ht="30.0" customHeight="1">
      <c r="AH593" s="5"/>
      <c r="AI593" s="5"/>
      <c r="AJ593" s="5"/>
    </row>
    <row r="594" ht="30.0" customHeight="1">
      <c r="AH594" s="5"/>
      <c r="AI594" s="5"/>
      <c r="AJ594" s="5"/>
    </row>
    <row r="595" ht="30.0" customHeight="1">
      <c r="AH595" s="5"/>
      <c r="AI595" s="5"/>
      <c r="AJ595" s="5"/>
    </row>
    <row r="596" ht="30.0" customHeight="1">
      <c r="AH596" s="5"/>
      <c r="AI596" s="5"/>
      <c r="AJ596" s="5"/>
    </row>
    <row r="597" ht="30.0" customHeight="1">
      <c r="AH597" s="5"/>
      <c r="AI597" s="5"/>
      <c r="AJ597" s="5"/>
    </row>
    <row r="598" ht="30.0" customHeight="1">
      <c r="AH598" s="5"/>
      <c r="AI598" s="5"/>
      <c r="AJ598" s="5"/>
    </row>
    <row r="599" ht="30.0" customHeight="1">
      <c r="AH599" s="5"/>
      <c r="AI599" s="5"/>
      <c r="AJ599" s="5"/>
    </row>
    <row r="600" ht="30.0" customHeight="1">
      <c r="AH600" s="5"/>
      <c r="AI600" s="5"/>
      <c r="AJ600" s="5"/>
    </row>
    <row r="601" ht="30.0" customHeight="1">
      <c r="AH601" s="5"/>
      <c r="AI601" s="5"/>
      <c r="AJ601" s="5"/>
    </row>
    <row r="602" ht="30.0" customHeight="1">
      <c r="AH602" s="5"/>
      <c r="AI602" s="5"/>
      <c r="AJ602" s="5"/>
    </row>
    <row r="603" ht="30.0" customHeight="1">
      <c r="AH603" s="5"/>
      <c r="AI603" s="5"/>
      <c r="AJ603" s="5"/>
    </row>
    <row r="604" ht="30.0" customHeight="1">
      <c r="AH604" s="5"/>
      <c r="AI604" s="5"/>
      <c r="AJ604" s="5"/>
    </row>
    <row r="605" ht="30.0" customHeight="1">
      <c r="AH605" s="5"/>
      <c r="AI605" s="5"/>
      <c r="AJ605" s="5"/>
    </row>
    <row r="606" ht="30.0" customHeight="1">
      <c r="AH606" s="5"/>
      <c r="AI606" s="5"/>
      <c r="AJ606" s="5"/>
    </row>
    <row r="607" ht="30.0" customHeight="1">
      <c r="AH607" s="5"/>
      <c r="AI607" s="5"/>
      <c r="AJ607" s="5"/>
    </row>
    <row r="608" ht="30.0" customHeight="1">
      <c r="AH608" s="5"/>
      <c r="AI608" s="5"/>
      <c r="AJ608" s="5"/>
    </row>
    <row r="609" ht="30.0" customHeight="1">
      <c r="AH609" s="5"/>
      <c r="AI609" s="5"/>
      <c r="AJ609" s="5"/>
    </row>
    <row r="610" ht="30.0" customHeight="1">
      <c r="AH610" s="5"/>
      <c r="AI610" s="5"/>
      <c r="AJ610" s="5"/>
    </row>
    <row r="611" ht="30.0" customHeight="1">
      <c r="AH611" s="5"/>
      <c r="AI611" s="5"/>
      <c r="AJ611" s="5"/>
    </row>
    <row r="612" ht="30.0" customHeight="1">
      <c r="AH612" s="5"/>
      <c r="AI612" s="5"/>
      <c r="AJ612" s="5"/>
    </row>
    <row r="613" ht="30.0" customHeight="1">
      <c r="AH613" s="5"/>
      <c r="AI613" s="5"/>
      <c r="AJ613" s="5"/>
    </row>
    <row r="614" ht="30.0" customHeight="1">
      <c r="AH614" s="5"/>
      <c r="AI614" s="5"/>
      <c r="AJ614" s="5"/>
    </row>
    <row r="615" ht="30.0" customHeight="1">
      <c r="AH615" s="5"/>
      <c r="AI615" s="5"/>
      <c r="AJ615" s="5"/>
    </row>
    <row r="616" ht="30.0" customHeight="1">
      <c r="AH616" s="5"/>
      <c r="AI616" s="5"/>
      <c r="AJ616" s="5"/>
    </row>
    <row r="617" ht="30.0" customHeight="1">
      <c r="AH617" s="5"/>
      <c r="AI617" s="5"/>
      <c r="AJ617" s="5"/>
    </row>
    <row r="618" ht="30.0" customHeight="1">
      <c r="AH618" s="5"/>
      <c r="AI618" s="5"/>
      <c r="AJ618" s="5"/>
    </row>
    <row r="619" ht="30.0" customHeight="1">
      <c r="AH619" s="5"/>
      <c r="AI619" s="5"/>
      <c r="AJ619" s="5"/>
    </row>
    <row r="620" ht="30.0" customHeight="1">
      <c r="AH620" s="5"/>
      <c r="AI620" s="5"/>
      <c r="AJ620" s="5"/>
    </row>
    <row r="621" ht="30.0" customHeight="1">
      <c r="AH621" s="5"/>
      <c r="AI621" s="5"/>
      <c r="AJ621" s="5"/>
    </row>
    <row r="622" ht="30.0" customHeight="1">
      <c r="AH622" s="5"/>
      <c r="AI622" s="5"/>
      <c r="AJ622" s="5"/>
    </row>
    <row r="623" ht="30.0" customHeight="1">
      <c r="AH623" s="5"/>
      <c r="AI623" s="5"/>
      <c r="AJ623" s="5"/>
    </row>
    <row r="624" ht="30.0" customHeight="1">
      <c r="AH624" s="5"/>
      <c r="AI624" s="5"/>
      <c r="AJ624" s="5"/>
    </row>
    <row r="625" ht="30.0" customHeight="1">
      <c r="AH625" s="5"/>
      <c r="AI625" s="5"/>
      <c r="AJ625" s="5"/>
    </row>
    <row r="626" ht="30.0" customHeight="1">
      <c r="AH626" s="5"/>
      <c r="AI626" s="5"/>
      <c r="AJ626" s="5"/>
    </row>
    <row r="627" ht="30.0" customHeight="1">
      <c r="AH627" s="5"/>
      <c r="AI627" s="5"/>
      <c r="AJ627" s="5"/>
    </row>
    <row r="628" ht="30.0" customHeight="1">
      <c r="AH628" s="5"/>
      <c r="AI628" s="5"/>
      <c r="AJ628" s="5"/>
    </row>
    <row r="629" ht="30.0" customHeight="1">
      <c r="AH629" s="5"/>
      <c r="AI629" s="5"/>
      <c r="AJ629" s="5"/>
    </row>
    <row r="630" ht="30.0" customHeight="1">
      <c r="AH630" s="5"/>
      <c r="AI630" s="5"/>
      <c r="AJ630" s="5"/>
    </row>
    <row r="631" ht="30.0" customHeight="1">
      <c r="AH631" s="5"/>
      <c r="AI631" s="5"/>
      <c r="AJ631" s="5"/>
    </row>
    <row r="632" ht="30.0" customHeight="1">
      <c r="AH632" s="5"/>
      <c r="AI632" s="5"/>
      <c r="AJ632" s="5"/>
    </row>
    <row r="633" ht="30.0" customHeight="1">
      <c r="AH633" s="5"/>
      <c r="AI633" s="5"/>
      <c r="AJ633" s="5"/>
    </row>
    <row r="634" ht="30.0" customHeight="1">
      <c r="AH634" s="5"/>
      <c r="AI634" s="5"/>
      <c r="AJ634" s="5"/>
    </row>
    <row r="635" ht="30.0" customHeight="1">
      <c r="AH635" s="5"/>
      <c r="AI635" s="5"/>
      <c r="AJ635" s="5"/>
    </row>
    <row r="636" ht="30.0" customHeight="1">
      <c r="AH636" s="5"/>
      <c r="AI636" s="5"/>
      <c r="AJ636" s="5"/>
    </row>
    <row r="637" ht="30.0" customHeight="1">
      <c r="AH637" s="5"/>
      <c r="AI637" s="5"/>
      <c r="AJ637" s="5"/>
    </row>
    <row r="638" ht="30.0" customHeight="1">
      <c r="AH638" s="5"/>
      <c r="AI638" s="5"/>
      <c r="AJ638" s="5"/>
    </row>
    <row r="639" ht="30.0" customHeight="1">
      <c r="AH639" s="5"/>
      <c r="AI639" s="5"/>
      <c r="AJ639" s="5"/>
    </row>
    <row r="640" ht="30.0" customHeight="1">
      <c r="AH640" s="5"/>
      <c r="AI640" s="5"/>
      <c r="AJ640" s="5"/>
    </row>
    <row r="641" ht="30.0" customHeight="1">
      <c r="AH641" s="5"/>
      <c r="AI641" s="5"/>
      <c r="AJ641" s="5"/>
    </row>
    <row r="642" ht="30.0" customHeight="1">
      <c r="AH642" s="5"/>
      <c r="AI642" s="5"/>
      <c r="AJ642" s="5"/>
    </row>
    <row r="643" ht="30.0" customHeight="1">
      <c r="AH643" s="5"/>
      <c r="AI643" s="5"/>
      <c r="AJ643" s="5"/>
    </row>
    <row r="644" ht="30.0" customHeight="1">
      <c r="AH644" s="5"/>
      <c r="AI644" s="5"/>
      <c r="AJ644" s="5"/>
    </row>
    <row r="645" ht="30.0" customHeight="1">
      <c r="AH645" s="5"/>
      <c r="AI645" s="5"/>
      <c r="AJ645" s="5"/>
    </row>
    <row r="646" ht="30.0" customHeight="1">
      <c r="AH646" s="5"/>
      <c r="AI646" s="5"/>
      <c r="AJ646" s="5"/>
    </row>
    <row r="647" ht="30.0" customHeight="1">
      <c r="AH647" s="5"/>
      <c r="AI647" s="5"/>
      <c r="AJ647" s="5"/>
    </row>
    <row r="648" ht="30.0" customHeight="1">
      <c r="AH648" s="5"/>
      <c r="AI648" s="5"/>
      <c r="AJ648" s="5"/>
    </row>
    <row r="649" ht="30.0" customHeight="1">
      <c r="AH649" s="5"/>
      <c r="AI649" s="5"/>
      <c r="AJ649" s="5"/>
    </row>
    <row r="650" ht="30.0" customHeight="1">
      <c r="AH650" s="5"/>
      <c r="AI650" s="5"/>
      <c r="AJ650" s="5"/>
    </row>
    <row r="651" ht="30.0" customHeight="1">
      <c r="AH651" s="5"/>
      <c r="AI651" s="5"/>
      <c r="AJ651" s="5"/>
    </row>
    <row r="652" ht="30.0" customHeight="1">
      <c r="AH652" s="5"/>
      <c r="AI652" s="5"/>
      <c r="AJ652" s="5"/>
    </row>
    <row r="653" ht="30.0" customHeight="1">
      <c r="AH653" s="5"/>
      <c r="AI653" s="5"/>
      <c r="AJ653" s="5"/>
    </row>
    <row r="654" ht="30.0" customHeight="1">
      <c r="AH654" s="5"/>
      <c r="AI654" s="5"/>
      <c r="AJ654" s="5"/>
    </row>
    <row r="655" ht="30.0" customHeight="1">
      <c r="AH655" s="5"/>
      <c r="AI655" s="5"/>
      <c r="AJ655" s="5"/>
    </row>
    <row r="656" ht="30.0" customHeight="1">
      <c r="AH656" s="5"/>
      <c r="AI656" s="5"/>
      <c r="AJ656" s="5"/>
    </row>
    <row r="657" ht="30.0" customHeight="1">
      <c r="AH657" s="5"/>
      <c r="AI657" s="5"/>
      <c r="AJ657" s="5"/>
    </row>
    <row r="658" ht="30.0" customHeight="1">
      <c r="AH658" s="5"/>
      <c r="AI658" s="5"/>
      <c r="AJ658" s="5"/>
    </row>
    <row r="659" ht="30.0" customHeight="1">
      <c r="AH659" s="5"/>
      <c r="AI659" s="5"/>
      <c r="AJ659" s="5"/>
    </row>
    <row r="660" ht="30.0" customHeight="1">
      <c r="AH660" s="5"/>
      <c r="AI660" s="5"/>
      <c r="AJ660" s="5"/>
    </row>
    <row r="661" ht="30.0" customHeight="1">
      <c r="AH661" s="5"/>
      <c r="AI661" s="5"/>
      <c r="AJ661" s="5"/>
    </row>
    <row r="662" ht="30.0" customHeight="1">
      <c r="AH662" s="5"/>
      <c r="AI662" s="5"/>
      <c r="AJ662" s="5"/>
    </row>
    <row r="663" ht="30.0" customHeight="1">
      <c r="AH663" s="5"/>
      <c r="AI663" s="5"/>
      <c r="AJ663" s="5"/>
    </row>
    <row r="664" ht="30.0" customHeight="1">
      <c r="AH664" s="5"/>
      <c r="AI664" s="5"/>
      <c r="AJ664" s="5"/>
    </row>
    <row r="665" ht="30.0" customHeight="1">
      <c r="AH665" s="5"/>
      <c r="AI665" s="5"/>
      <c r="AJ665" s="5"/>
    </row>
    <row r="666" ht="30.0" customHeight="1">
      <c r="AH666" s="5"/>
      <c r="AI666" s="5"/>
      <c r="AJ666" s="5"/>
    </row>
    <row r="667" ht="30.0" customHeight="1">
      <c r="AH667" s="5"/>
      <c r="AI667" s="5"/>
      <c r="AJ667" s="5"/>
    </row>
    <row r="668" ht="30.0" customHeight="1">
      <c r="AH668" s="5"/>
      <c r="AI668" s="5"/>
      <c r="AJ668" s="5"/>
    </row>
    <row r="669" ht="30.0" customHeight="1">
      <c r="AH669" s="5"/>
      <c r="AI669" s="5"/>
      <c r="AJ669" s="5"/>
    </row>
    <row r="670" ht="30.0" customHeight="1">
      <c r="AH670" s="5"/>
      <c r="AI670" s="5"/>
      <c r="AJ670" s="5"/>
    </row>
    <row r="671" ht="30.0" customHeight="1">
      <c r="AH671" s="5"/>
      <c r="AI671" s="5"/>
      <c r="AJ671" s="5"/>
    </row>
    <row r="672" ht="30.0" customHeight="1">
      <c r="AH672" s="5"/>
      <c r="AI672" s="5"/>
      <c r="AJ672" s="5"/>
    </row>
    <row r="673" ht="30.0" customHeight="1">
      <c r="AH673" s="5"/>
      <c r="AI673" s="5"/>
      <c r="AJ673" s="5"/>
    </row>
    <row r="674" ht="30.0" customHeight="1">
      <c r="AH674" s="5"/>
      <c r="AI674" s="5"/>
      <c r="AJ674" s="5"/>
    </row>
    <row r="675" ht="30.0" customHeight="1">
      <c r="AH675" s="5"/>
      <c r="AI675" s="5"/>
      <c r="AJ675" s="5"/>
    </row>
    <row r="676" ht="30.0" customHeight="1">
      <c r="AH676" s="5"/>
      <c r="AI676" s="5"/>
      <c r="AJ676" s="5"/>
    </row>
    <row r="677" ht="30.0" customHeight="1">
      <c r="AH677" s="5"/>
      <c r="AI677" s="5"/>
      <c r="AJ677" s="5"/>
    </row>
    <row r="678" ht="30.0" customHeight="1">
      <c r="AH678" s="5"/>
      <c r="AI678" s="5"/>
      <c r="AJ678" s="5"/>
    </row>
    <row r="679" ht="30.0" customHeight="1">
      <c r="AH679" s="5"/>
      <c r="AI679" s="5"/>
      <c r="AJ679" s="5"/>
    </row>
    <row r="680" ht="30.0" customHeight="1">
      <c r="AH680" s="5"/>
      <c r="AI680" s="5"/>
      <c r="AJ680" s="5"/>
    </row>
    <row r="681" ht="30.0" customHeight="1">
      <c r="AH681" s="5"/>
      <c r="AI681" s="5"/>
      <c r="AJ681" s="5"/>
    </row>
    <row r="682" ht="30.0" customHeight="1">
      <c r="AH682" s="5"/>
      <c r="AI682" s="5"/>
      <c r="AJ682" s="5"/>
    </row>
    <row r="683" ht="30.0" customHeight="1">
      <c r="AH683" s="5"/>
      <c r="AI683" s="5"/>
      <c r="AJ683" s="5"/>
    </row>
    <row r="684" ht="30.0" customHeight="1">
      <c r="AH684" s="5"/>
      <c r="AI684" s="5"/>
      <c r="AJ684" s="5"/>
    </row>
    <row r="685" ht="30.0" customHeight="1">
      <c r="AH685" s="5"/>
      <c r="AI685" s="5"/>
      <c r="AJ685" s="5"/>
    </row>
    <row r="686" ht="30.0" customHeight="1">
      <c r="AH686" s="5"/>
      <c r="AI686" s="5"/>
      <c r="AJ686" s="5"/>
    </row>
    <row r="687" ht="30.0" customHeight="1">
      <c r="AH687" s="5"/>
      <c r="AI687" s="5"/>
      <c r="AJ687" s="5"/>
    </row>
    <row r="688" ht="30.0" customHeight="1">
      <c r="AH688" s="5"/>
      <c r="AI688" s="5"/>
      <c r="AJ688" s="5"/>
    </row>
    <row r="689" ht="30.0" customHeight="1">
      <c r="AH689" s="5"/>
      <c r="AI689" s="5"/>
      <c r="AJ689" s="5"/>
    </row>
    <row r="690" ht="30.0" customHeight="1">
      <c r="AH690" s="5"/>
      <c r="AI690" s="5"/>
      <c r="AJ690" s="5"/>
    </row>
    <row r="691" ht="30.0" customHeight="1">
      <c r="AH691" s="5"/>
      <c r="AI691" s="5"/>
      <c r="AJ691" s="5"/>
    </row>
    <row r="692" ht="30.0" customHeight="1">
      <c r="AH692" s="5"/>
      <c r="AI692" s="5"/>
      <c r="AJ692" s="5"/>
    </row>
    <row r="693" ht="30.0" customHeight="1">
      <c r="AH693" s="5"/>
      <c r="AI693" s="5"/>
      <c r="AJ693" s="5"/>
    </row>
    <row r="694" ht="30.0" customHeight="1">
      <c r="AH694" s="5"/>
      <c r="AI694" s="5"/>
      <c r="AJ694" s="5"/>
    </row>
    <row r="695" ht="30.0" customHeight="1">
      <c r="AH695" s="5"/>
      <c r="AI695" s="5"/>
      <c r="AJ695" s="5"/>
    </row>
    <row r="696" ht="30.0" customHeight="1">
      <c r="AH696" s="5"/>
      <c r="AI696" s="5"/>
      <c r="AJ696" s="5"/>
    </row>
    <row r="697" ht="30.0" customHeight="1">
      <c r="AH697" s="5"/>
      <c r="AI697" s="5"/>
      <c r="AJ697" s="5"/>
    </row>
    <row r="698" ht="30.0" customHeight="1">
      <c r="AH698" s="5"/>
      <c r="AI698" s="5"/>
      <c r="AJ698" s="5"/>
    </row>
    <row r="699" ht="30.0" customHeight="1">
      <c r="AH699" s="5"/>
      <c r="AI699" s="5"/>
      <c r="AJ699" s="5"/>
    </row>
    <row r="700" ht="30.0" customHeight="1">
      <c r="AH700" s="5"/>
      <c r="AI700" s="5"/>
      <c r="AJ700" s="5"/>
    </row>
    <row r="701" ht="30.0" customHeight="1">
      <c r="AH701" s="5"/>
      <c r="AI701" s="5"/>
      <c r="AJ701" s="5"/>
    </row>
    <row r="702" ht="30.0" customHeight="1">
      <c r="AH702" s="5"/>
      <c r="AI702" s="5"/>
      <c r="AJ702" s="5"/>
    </row>
    <row r="703" ht="30.0" customHeight="1">
      <c r="AH703" s="5"/>
      <c r="AI703" s="5"/>
      <c r="AJ703" s="5"/>
    </row>
    <row r="704" ht="30.0" customHeight="1">
      <c r="AH704" s="5"/>
      <c r="AI704" s="5"/>
      <c r="AJ704" s="5"/>
    </row>
    <row r="705" ht="30.0" customHeight="1">
      <c r="AH705" s="5"/>
      <c r="AI705" s="5"/>
      <c r="AJ705" s="5"/>
    </row>
    <row r="706" ht="30.0" customHeight="1">
      <c r="AH706" s="5"/>
      <c r="AI706" s="5"/>
      <c r="AJ706" s="5"/>
    </row>
    <row r="707" ht="30.0" customHeight="1">
      <c r="AH707" s="5"/>
      <c r="AI707" s="5"/>
      <c r="AJ707" s="5"/>
    </row>
    <row r="708" ht="30.0" customHeight="1">
      <c r="AH708" s="5"/>
      <c r="AI708" s="5"/>
      <c r="AJ708" s="5"/>
    </row>
    <row r="709" ht="30.0" customHeight="1">
      <c r="AH709" s="5"/>
      <c r="AI709" s="5"/>
      <c r="AJ709" s="5"/>
    </row>
    <row r="710" ht="30.0" customHeight="1">
      <c r="AH710" s="5"/>
      <c r="AI710" s="5"/>
      <c r="AJ710" s="5"/>
    </row>
    <row r="711" ht="30.0" customHeight="1">
      <c r="AH711" s="5"/>
      <c r="AI711" s="5"/>
      <c r="AJ711" s="5"/>
    </row>
    <row r="712" ht="30.0" customHeight="1">
      <c r="AH712" s="5"/>
      <c r="AI712" s="5"/>
      <c r="AJ712" s="5"/>
    </row>
    <row r="713" ht="30.0" customHeight="1">
      <c r="AH713" s="5"/>
      <c r="AI713" s="5"/>
      <c r="AJ713" s="5"/>
    </row>
    <row r="714" ht="30.0" customHeight="1">
      <c r="AH714" s="5"/>
      <c r="AI714" s="5"/>
      <c r="AJ714" s="5"/>
    </row>
    <row r="715" ht="30.0" customHeight="1">
      <c r="AH715" s="5"/>
      <c r="AI715" s="5"/>
      <c r="AJ715" s="5"/>
    </row>
    <row r="716" ht="30.0" customHeight="1">
      <c r="AH716" s="5"/>
      <c r="AI716" s="5"/>
      <c r="AJ716" s="5"/>
    </row>
    <row r="717" ht="30.0" customHeight="1">
      <c r="AH717" s="5"/>
      <c r="AI717" s="5"/>
      <c r="AJ717" s="5"/>
    </row>
    <row r="718" ht="30.0" customHeight="1">
      <c r="AH718" s="5"/>
      <c r="AI718" s="5"/>
      <c r="AJ718" s="5"/>
    </row>
    <row r="719" ht="30.0" customHeight="1">
      <c r="AH719" s="5"/>
      <c r="AI719" s="5"/>
      <c r="AJ719" s="5"/>
    </row>
    <row r="720" ht="30.0" customHeight="1">
      <c r="AH720" s="5"/>
      <c r="AI720" s="5"/>
      <c r="AJ720" s="5"/>
    </row>
    <row r="721" ht="30.0" customHeight="1">
      <c r="AH721" s="5"/>
      <c r="AI721" s="5"/>
      <c r="AJ721" s="5"/>
    </row>
    <row r="722" ht="30.0" customHeight="1">
      <c r="AH722" s="5"/>
      <c r="AI722" s="5"/>
      <c r="AJ722" s="5"/>
    </row>
    <row r="723" ht="30.0" customHeight="1">
      <c r="AH723" s="5"/>
      <c r="AI723" s="5"/>
      <c r="AJ723" s="5"/>
    </row>
    <row r="724" ht="30.0" customHeight="1">
      <c r="AH724" s="5"/>
      <c r="AI724" s="5"/>
      <c r="AJ724" s="5"/>
    </row>
    <row r="725" ht="30.0" customHeight="1">
      <c r="AH725" s="5"/>
      <c r="AI725" s="5"/>
      <c r="AJ725" s="5"/>
    </row>
    <row r="726" ht="30.0" customHeight="1">
      <c r="AH726" s="5"/>
      <c r="AI726" s="5"/>
      <c r="AJ726" s="5"/>
    </row>
    <row r="727" ht="30.0" customHeight="1">
      <c r="AH727" s="5"/>
      <c r="AI727" s="5"/>
      <c r="AJ727" s="5"/>
    </row>
    <row r="728" ht="30.0" customHeight="1">
      <c r="AH728" s="5"/>
      <c r="AI728" s="5"/>
      <c r="AJ728" s="5"/>
    </row>
    <row r="729" ht="30.0" customHeight="1">
      <c r="AH729" s="5"/>
      <c r="AI729" s="5"/>
      <c r="AJ729" s="5"/>
    </row>
    <row r="730" ht="30.0" customHeight="1">
      <c r="AH730" s="5"/>
      <c r="AI730" s="5"/>
      <c r="AJ730" s="5"/>
    </row>
    <row r="731" ht="30.0" customHeight="1">
      <c r="AH731" s="5"/>
      <c r="AI731" s="5"/>
      <c r="AJ731" s="5"/>
    </row>
    <row r="732" ht="30.0" customHeight="1">
      <c r="AH732" s="5"/>
      <c r="AI732" s="5"/>
      <c r="AJ732" s="5"/>
    </row>
    <row r="733" ht="30.0" customHeight="1">
      <c r="AH733" s="5"/>
      <c r="AI733" s="5"/>
      <c r="AJ733" s="5"/>
    </row>
    <row r="734" ht="30.0" customHeight="1">
      <c r="AH734" s="5"/>
      <c r="AI734" s="5"/>
      <c r="AJ734" s="5"/>
    </row>
    <row r="735" ht="30.0" customHeight="1">
      <c r="AH735" s="5"/>
      <c r="AI735" s="5"/>
      <c r="AJ735" s="5"/>
    </row>
    <row r="736" ht="30.0" customHeight="1">
      <c r="AH736" s="5"/>
      <c r="AI736" s="5"/>
      <c r="AJ736" s="5"/>
    </row>
    <row r="737" ht="30.0" customHeight="1">
      <c r="AH737" s="5"/>
      <c r="AI737" s="5"/>
      <c r="AJ737" s="5"/>
    </row>
    <row r="738" ht="30.0" customHeight="1">
      <c r="AH738" s="5"/>
      <c r="AI738" s="5"/>
      <c r="AJ738" s="5"/>
    </row>
    <row r="739" ht="30.0" customHeight="1">
      <c r="AH739" s="5"/>
      <c r="AI739" s="5"/>
      <c r="AJ739" s="5"/>
    </row>
    <row r="740" ht="30.0" customHeight="1">
      <c r="AH740" s="5"/>
      <c r="AI740" s="5"/>
      <c r="AJ740" s="5"/>
    </row>
    <row r="741" ht="30.0" customHeight="1">
      <c r="AH741" s="5"/>
      <c r="AI741" s="5"/>
      <c r="AJ741" s="5"/>
    </row>
    <row r="742" ht="30.0" customHeight="1">
      <c r="AH742" s="5"/>
      <c r="AI742" s="5"/>
      <c r="AJ742" s="5"/>
    </row>
    <row r="743" ht="30.0" customHeight="1">
      <c r="AH743" s="5"/>
      <c r="AI743" s="5"/>
      <c r="AJ743" s="5"/>
    </row>
    <row r="744" ht="30.0" customHeight="1">
      <c r="AH744" s="5"/>
      <c r="AI744" s="5"/>
      <c r="AJ744" s="5"/>
    </row>
    <row r="745" ht="30.0" customHeight="1">
      <c r="AH745" s="5"/>
      <c r="AI745" s="5"/>
      <c r="AJ745" s="5"/>
    </row>
    <row r="746" ht="30.0" customHeight="1">
      <c r="AH746" s="5"/>
      <c r="AI746" s="5"/>
      <c r="AJ746" s="5"/>
    </row>
    <row r="747" ht="30.0" customHeight="1">
      <c r="AH747" s="5"/>
      <c r="AI747" s="5"/>
      <c r="AJ747" s="5"/>
    </row>
    <row r="748" ht="30.0" customHeight="1">
      <c r="AH748" s="5"/>
      <c r="AI748" s="5"/>
      <c r="AJ748" s="5"/>
    </row>
    <row r="749" ht="30.0" customHeight="1">
      <c r="AH749" s="5"/>
      <c r="AI749" s="5"/>
      <c r="AJ749" s="5"/>
    </row>
    <row r="750" ht="30.0" customHeight="1">
      <c r="AH750" s="5"/>
      <c r="AI750" s="5"/>
      <c r="AJ750" s="5"/>
    </row>
    <row r="751" ht="30.0" customHeight="1">
      <c r="AH751" s="5"/>
      <c r="AI751" s="5"/>
      <c r="AJ751" s="5"/>
    </row>
    <row r="752" ht="30.0" customHeight="1">
      <c r="AH752" s="5"/>
      <c r="AI752" s="5"/>
      <c r="AJ752" s="5"/>
    </row>
    <row r="753" ht="30.0" customHeight="1">
      <c r="AH753" s="5"/>
      <c r="AI753" s="5"/>
      <c r="AJ753" s="5"/>
    </row>
    <row r="754" ht="30.0" customHeight="1">
      <c r="AH754" s="5"/>
      <c r="AI754" s="5"/>
      <c r="AJ754" s="5"/>
    </row>
    <row r="755" ht="30.0" customHeight="1">
      <c r="AH755" s="5"/>
      <c r="AI755" s="5"/>
      <c r="AJ755" s="5"/>
    </row>
    <row r="756" ht="30.0" customHeight="1">
      <c r="AH756" s="5"/>
      <c r="AI756" s="5"/>
      <c r="AJ756" s="5"/>
    </row>
    <row r="757" ht="30.0" customHeight="1">
      <c r="AH757" s="5"/>
      <c r="AI757" s="5"/>
      <c r="AJ757" s="5"/>
    </row>
    <row r="758" ht="30.0" customHeight="1">
      <c r="AH758" s="5"/>
      <c r="AI758" s="5"/>
      <c r="AJ758" s="5"/>
    </row>
    <row r="759" ht="30.0" customHeight="1">
      <c r="AH759" s="5"/>
      <c r="AI759" s="5"/>
      <c r="AJ759" s="5"/>
    </row>
    <row r="760" ht="30.0" customHeight="1">
      <c r="AH760" s="5"/>
      <c r="AI760" s="5"/>
      <c r="AJ760" s="5"/>
    </row>
    <row r="761" ht="30.0" customHeight="1">
      <c r="AH761" s="5"/>
      <c r="AI761" s="5"/>
      <c r="AJ761" s="5"/>
    </row>
    <row r="762" ht="30.0" customHeight="1">
      <c r="AH762" s="5"/>
      <c r="AI762" s="5"/>
      <c r="AJ762" s="5"/>
    </row>
    <row r="763" ht="30.0" customHeight="1">
      <c r="AH763" s="5"/>
      <c r="AI763" s="5"/>
      <c r="AJ763" s="5"/>
    </row>
    <row r="764" ht="30.0" customHeight="1">
      <c r="AH764" s="5"/>
      <c r="AI764" s="5"/>
      <c r="AJ764" s="5"/>
    </row>
    <row r="765" ht="30.0" customHeight="1">
      <c r="AH765" s="5"/>
      <c r="AI765" s="5"/>
      <c r="AJ765" s="5"/>
    </row>
    <row r="766" ht="30.0" customHeight="1">
      <c r="AH766" s="5"/>
      <c r="AI766" s="5"/>
      <c r="AJ766" s="5"/>
    </row>
    <row r="767" ht="30.0" customHeight="1">
      <c r="AH767" s="5"/>
      <c r="AI767" s="5"/>
      <c r="AJ767" s="5"/>
    </row>
    <row r="768" ht="30.0" customHeight="1">
      <c r="AH768" s="5"/>
      <c r="AI768" s="5"/>
      <c r="AJ768" s="5"/>
    </row>
    <row r="769" ht="30.0" customHeight="1">
      <c r="AH769" s="5"/>
      <c r="AI769" s="5"/>
      <c r="AJ769" s="5"/>
    </row>
    <row r="770" ht="30.0" customHeight="1">
      <c r="AH770" s="5"/>
      <c r="AI770" s="5"/>
      <c r="AJ770" s="5"/>
    </row>
    <row r="771" ht="30.0" customHeight="1">
      <c r="AH771" s="5"/>
      <c r="AI771" s="5"/>
      <c r="AJ771" s="5"/>
    </row>
    <row r="772" ht="30.0" customHeight="1">
      <c r="AH772" s="5"/>
      <c r="AI772" s="5"/>
      <c r="AJ772" s="5"/>
    </row>
    <row r="773" ht="30.0" customHeight="1">
      <c r="AH773" s="5"/>
      <c r="AI773" s="5"/>
      <c r="AJ773" s="5"/>
    </row>
    <row r="774" ht="30.0" customHeight="1">
      <c r="AH774" s="5"/>
      <c r="AI774" s="5"/>
      <c r="AJ774" s="5"/>
    </row>
    <row r="775" ht="30.0" customHeight="1">
      <c r="AH775" s="5"/>
      <c r="AI775" s="5"/>
      <c r="AJ775" s="5"/>
    </row>
    <row r="776" ht="30.0" customHeight="1">
      <c r="AH776" s="5"/>
      <c r="AI776" s="5"/>
      <c r="AJ776" s="5"/>
    </row>
    <row r="777" ht="30.0" customHeight="1">
      <c r="AH777" s="5"/>
      <c r="AI777" s="5"/>
      <c r="AJ777" s="5"/>
    </row>
    <row r="778" ht="30.0" customHeight="1">
      <c r="AH778" s="5"/>
      <c r="AI778" s="5"/>
      <c r="AJ778" s="5"/>
    </row>
    <row r="779" ht="30.0" customHeight="1">
      <c r="AH779" s="5"/>
      <c r="AI779" s="5"/>
      <c r="AJ779" s="5"/>
    </row>
    <row r="780" ht="30.0" customHeight="1">
      <c r="AH780" s="5"/>
      <c r="AI780" s="5"/>
      <c r="AJ780" s="5"/>
    </row>
    <row r="781" ht="30.0" customHeight="1">
      <c r="AH781" s="5"/>
      <c r="AI781" s="5"/>
      <c r="AJ781" s="5"/>
    </row>
    <row r="782" ht="30.0" customHeight="1">
      <c r="AH782" s="5"/>
      <c r="AI782" s="5"/>
      <c r="AJ782" s="5"/>
    </row>
    <row r="783" ht="30.0" customHeight="1">
      <c r="AH783" s="5"/>
      <c r="AI783" s="5"/>
      <c r="AJ783" s="5"/>
    </row>
    <row r="784" ht="30.0" customHeight="1">
      <c r="AH784" s="5"/>
      <c r="AI784" s="5"/>
      <c r="AJ784" s="5"/>
    </row>
    <row r="785" ht="30.0" customHeight="1">
      <c r="AH785" s="5"/>
      <c r="AI785" s="5"/>
      <c r="AJ785" s="5"/>
    </row>
    <row r="786" ht="30.0" customHeight="1">
      <c r="AH786" s="5"/>
      <c r="AI786" s="5"/>
      <c r="AJ786" s="5"/>
    </row>
    <row r="787" ht="30.0" customHeight="1">
      <c r="AH787" s="5"/>
      <c r="AI787" s="5"/>
      <c r="AJ787" s="5"/>
    </row>
    <row r="788" ht="30.0" customHeight="1">
      <c r="AH788" s="5"/>
      <c r="AI788" s="5"/>
      <c r="AJ788" s="5"/>
    </row>
    <row r="789" ht="30.0" customHeight="1">
      <c r="AH789" s="5"/>
      <c r="AI789" s="5"/>
      <c r="AJ789" s="5"/>
    </row>
    <row r="790" ht="30.0" customHeight="1">
      <c r="AH790" s="5"/>
      <c r="AI790" s="5"/>
      <c r="AJ790" s="5"/>
    </row>
    <row r="791" ht="30.0" customHeight="1">
      <c r="AH791" s="5"/>
      <c r="AI791" s="5"/>
      <c r="AJ791" s="5"/>
    </row>
    <row r="792" ht="30.0" customHeight="1">
      <c r="AH792" s="5"/>
      <c r="AI792" s="5"/>
      <c r="AJ792" s="5"/>
    </row>
    <row r="793" ht="30.0" customHeight="1">
      <c r="AH793" s="5"/>
      <c r="AI793" s="5"/>
      <c r="AJ793" s="5"/>
    </row>
    <row r="794" ht="30.0" customHeight="1">
      <c r="AH794" s="5"/>
      <c r="AI794" s="5"/>
      <c r="AJ794" s="5"/>
    </row>
    <row r="795" ht="30.0" customHeight="1">
      <c r="AH795" s="5"/>
      <c r="AI795" s="5"/>
      <c r="AJ795" s="5"/>
    </row>
    <row r="796" ht="30.0" customHeight="1">
      <c r="AH796" s="5"/>
      <c r="AI796" s="5"/>
      <c r="AJ796" s="5"/>
    </row>
    <row r="797" ht="30.0" customHeight="1">
      <c r="AH797" s="5"/>
      <c r="AI797" s="5"/>
      <c r="AJ797" s="5"/>
    </row>
    <row r="798" ht="30.0" customHeight="1">
      <c r="AH798" s="5"/>
      <c r="AI798" s="5"/>
      <c r="AJ798" s="5"/>
    </row>
    <row r="799" ht="30.0" customHeight="1">
      <c r="AH799" s="5"/>
      <c r="AI799" s="5"/>
      <c r="AJ799" s="5"/>
    </row>
    <row r="800" ht="30.0" customHeight="1">
      <c r="AH800" s="5"/>
      <c r="AI800" s="5"/>
      <c r="AJ800" s="5"/>
    </row>
    <row r="801" ht="30.0" customHeight="1">
      <c r="AH801" s="5"/>
      <c r="AI801" s="5"/>
      <c r="AJ801" s="5"/>
    </row>
    <row r="802" ht="30.0" customHeight="1">
      <c r="AH802" s="5"/>
      <c r="AI802" s="5"/>
      <c r="AJ802" s="5"/>
    </row>
    <row r="803" ht="30.0" customHeight="1">
      <c r="AH803" s="5"/>
      <c r="AI803" s="5"/>
      <c r="AJ803" s="5"/>
    </row>
    <row r="804" ht="30.0" customHeight="1">
      <c r="AH804" s="5"/>
      <c r="AI804" s="5"/>
      <c r="AJ804" s="5"/>
    </row>
    <row r="805" ht="30.0" customHeight="1">
      <c r="AH805" s="5"/>
      <c r="AI805" s="5"/>
      <c r="AJ805" s="5"/>
    </row>
    <row r="806" ht="30.0" customHeight="1">
      <c r="AH806" s="5"/>
      <c r="AI806" s="5"/>
      <c r="AJ806" s="5"/>
    </row>
    <row r="807" ht="30.0" customHeight="1">
      <c r="AH807" s="5"/>
      <c r="AI807" s="5"/>
      <c r="AJ807" s="5"/>
    </row>
    <row r="808" ht="30.0" customHeight="1">
      <c r="AH808" s="5"/>
      <c r="AI808" s="5"/>
      <c r="AJ808" s="5"/>
    </row>
    <row r="809" ht="30.0" customHeight="1">
      <c r="AH809" s="5"/>
      <c r="AI809" s="5"/>
      <c r="AJ809" s="5"/>
    </row>
    <row r="810" ht="30.0" customHeight="1">
      <c r="AH810" s="5"/>
      <c r="AI810" s="5"/>
      <c r="AJ810" s="5"/>
    </row>
    <row r="811" ht="30.0" customHeight="1">
      <c r="AH811" s="5"/>
      <c r="AI811" s="5"/>
      <c r="AJ811" s="5"/>
    </row>
    <row r="812" ht="30.0" customHeight="1">
      <c r="AH812" s="5"/>
      <c r="AI812" s="5"/>
      <c r="AJ812" s="5"/>
    </row>
    <row r="813" ht="30.0" customHeight="1">
      <c r="AH813" s="5"/>
      <c r="AI813" s="5"/>
      <c r="AJ813" s="5"/>
    </row>
    <row r="814" ht="30.0" customHeight="1">
      <c r="AH814" s="5"/>
      <c r="AI814" s="5"/>
      <c r="AJ814" s="5"/>
    </row>
    <row r="815" ht="30.0" customHeight="1">
      <c r="AH815" s="5"/>
      <c r="AI815" s="5"/>
      <c r="AJ815" s="5"/>
    </row>
    <row r="816" ht="30.0" customHeight="1">
      <c r="AH816" s="5"/>
      <c r="AI816" s="5"/>
      <c r="AJ816" s="5"/>
    </row>
    <row r="817" ht="30.0" customHeight="1">
      <c r="AH817" s="5"/>
      <c r="AI817" s="5"/>
      <c r="AJ817" s="5"/>
    </row>
    <row r="818" ht="30.0" customHeight="1">
      <c r="AH818" s="5"/>
      <c r="AI818" s="5"/>
      <c r="AJ818" s="5"/>
    </row>
    <row r="819" ht="30.0" customHeight="1">
      <c r="AH819" s="5"/>
      <c r="AI819" s="5"/>
      <c r="AJ819" s="5"/>
    </row>
    <row r="820" ht="30.0" customHeight="1">
      <c r="AH820" s="5"/>
      <c r="AI820" s="5"/>
      <c r="AJ820" s="5"/>
    </row>
    <row r="821" ht="30.0" customHeight="1">
      <c r="AH821" s="5"/>
      <c r="AI821" s="5"/>
      <c r="AJ821" s="5"/>
    </row>
    <row r="822" ht="30.0" customHeight="1">
      <c r="AH822" s="5"/>
      <c r="AI822" s="5"/>
      <c r="AJ822" s="5"/>
    </row>
    <row r="823" ht="30.0" customHeight="1">
      <c r="AH823" s="5"/>
      <c r="AI823" s="5"/>
      <c r="AJ823" s="5"/>
    </row>
    <row r="824" ht="30.0" customHeight="1">
      <c r="AH824" s="5"/>
      <c r="AI824" s="5"/>
      <c r="AJ824" s="5"/>
    </row>
    <row r="825" ht="30.0" customHeight="1">
      <c r="AH825" s="5"/>
      <c r="AI825" s="5"/>
      <c r="AJ825" s="5"/>
    </row>
    <row r="826" ht="30.0" customHeight="1">
      <c r="AH826" s="5"/>
      <c r="AI826" s="5"/>
      <c r="AJ826" s="5"/>
    </row>
    <row r="827" ht="30.0" customHeight="1">
      <c r="AH827" s="5"/>
      <c r="AI827" s="5"/>
      <c r="AJ827" s="5"/>
    </row>
    <row r="828" ht="30.0" customHeight="1">
      <c r="AH828" s="5"/>
      <c r="AI828" s="5"/>
      <c r="AJ828" s="5"/>
    </row>
    <row r="829" ht="30.0" customHeight="1">
      <c r="AH829" s="5"/>
      <c r="AI829" s="5"/>
      <c r="AJ829" s="5"/>
    </row>
    <row r="830" ht="30.0" customHeight="1">
      <c r="AH830" s="5"/>
      <c r="AI830" s="5"/>
      <c r="AJ830" s="5"/>
    </row>
    <row r="831" ht="30.0" customHeight="1">
      <c r="AH831" s="5"/>
      <c r="AI831" s="5"/>
      <c r="AJ831" s="5"/>
    </row>
    <row r="832" ht="30.0" customHeight="1">
      <c r="AH832" s="5"/>
      <c r="AI832" s="5"/>
      <c r="AJ832" s="5"/>
    </row>
    <row r="833" ht="30.0" customHeight="1">
      <c r="AH833" s="5"/>
      <c r="AI833" s="5"/>
      <c r="AJ833" s="5"/>
    </row>
    <row r="834" ht="30.0" customHeight="1">
      <c r="AH834" s="5"/>
      <c r="AI834" s="5"/>
      <c r="AJ834" s="5"/>
    </row>
    <row r="835" ht="30.0" customHeight="1">
      <c r="AH835" s="5"/>
      <c r="AI835" s="5"/>
      <c r="AJ835" s="5"/>
    </row>
    <row r="836" ht="30.0" customHeight="1">
      <c r="AH836" s="5"/>
      <c r="AI836" s="5"/>
      <c r="AJ836" s="5"/>
    </row>
    <row r="837" ht="30.0" customHeight="1">
      <c r="AH837" s="5"/>
      <c r="AI837" s="5"/>
      <c r="AJ837" s="5"/>
    </row>
    <row r="838" ht="30.0" customHeight="1">
      <c r="AH838" s="5"/>
      <c r="AI838" s="5"/>
      <c r="AJ838" s="5"/>
    </row>
    <row r="839" ht="30.0" customHeight="1">
      <c r="AH839" s="5"/>
      <c r="AI839" s="5"/>
      <c r="AJ839" s="5"/>
    </row>
    <row r="840" ht="30.0" customHeight="1">
      <c r="AH840" s="5"/>
      <c r="AI840" s="5"/>
      <c r="AJ840" s="5"/>
    </row>
    <row r="841" ht="30.0" customHeight="1">
      <c r="AH841" s="5"/>
      <c r="AI841" s="5"/>
      <c r="AJ841" s="5"/>
    </row>
    <row r="842" ht="30.0" customHeight="1">
      <c r="AH842" s="5"/>
      <c r="AI842" s="5"/>
      <c r="AJ842" s="5"/>
    </row>
    <row r="843" ht="30.0" customHeight="1">
      <c r="AH843" s="5"/>
      <c r="AI843" s="5"/>
      <c r="AJ843" s="5"/>
    </row>
    <row r="844" ht="30.0" customHeight="1">
      <c r="AH844" s="5"/>
      <c r="AI844" s="5"/>
      <c r="AJ844" s="5"/>
    </row>
    <row r="845" ht="30.0" customHeight="1">
      <c r="AH845" s="5"/>
      <c r="AI845" s="5"/>
      <c r="AJ845" s="5"/>
    </row>
    <row r="846" ht="30.0" customHeight="1">
      <c r="AH846" s="5"/>
      <c r="AI846" s="5"/>
      <c r="AJ846" s="5"/>
    </row>
    <row r="847" ht="30.0" customHeight="1">
      <c r="AH847" s="5"/>
      <c r="AI847" s="5"/>
      <c r="AJ847" s="5"/>
    </row>
    <row r="848" ht="30.0" customHeight="1">
      <c r="AH848" s="5"/>
      <c r="AI848" s="5"/>
      <c r="AJ848" s="5"/>
    </row>
    <row r="849" ht="30.0" customHeight="1">
      <c r="AH849" s="5"/>
      <c r="AI849" s="5"/>
      <c r="AJ849" s="5"/>
    </row>
    <row r="850" ht="30.0" customHeight="1">
      <c r="AH850" s="5"/>
      <c r="AI850" s="5"/>
      <c r="AJ850" s="5"/>
    </row>
    <row r="851" ht="30.0" customHeight="1">
      <c r="AH851" s="5"/>
      <c r="AI851" s="5"/>
      <c r="AJ851" s="5"/>
    </row>
    <row r="852" ht="30.0" customHeight="1">
      <c r="AH852" s="5"/>
      <c r="AI852" s="5"/>
      <c r="AJ852" s="5"/>
    </row>
    <row r="853" ht="30.0" customHeight="1">
      <c r="AH853" s="5"/>
      <c r="AI853" s="5"/>
      <c r="AJ853" s="5"/>
    </row>
    <row r="854" ht="30.0" customHeight="1">
      <c r="AH854" s="5"/>
      <c r="AI854" s="5"/>
      <c r="AJ854" s="5"/>
    </row>
    <row r="855" ht="30.0" customHeight="1">
      <c r="AH855" s="5"/>
      <c r="AI855" s="5"/>
      <c r="AJ855" s="5"/>
    </row>
    <row r="856" ht="30.0" customHeight="1">
      <c r="AH856" s="5"/>
      <c r="AI856" s="5"/>
      <c r="AJ856" s="5"/>
    </row>
    <row r="857" ht="30.0" customHeight="1">
      <c r="AH857" s="5"/>
      <c r="AI857" s="5"/>
      <c r="AJ857" s="5"/>
    </row>
    <row r="858" ht="30.0" customHeight="1">
      <c r="AH858" s="5"/>
      <c r="AI858" s="5"/>
      <c r="AJ858" s="5"/>
    </row>
    <row r="859" ht="30.0" customHeight="1">
      <c r="AH859" s="5"/>
      <c r="AI859" s="5"/>
      <c r="AJ859" s="5"/>
    </row>
    <row r="860" ht="30.0" customHeight="1">
      <c r="AH860" s="5"/>
      <c r="AI860" s="5"/>
      <c r="AJ860" s="5"/>
    </row>
    <row r="861" ht="30.0" customHeight="1">
      <c r="AH861" s="5"/>
      <c r="AI861" s="5"/>
      <c r="AJ861" s="5"/>
    </row>
    <row r="862" ht="30.0" customHeight="1">
      <c r="AH862" s="5"/>
      <c r="AI862" s="5"/>
      <c r="AJ862" s="5"/>
    </row>
    <row r="863" ht="30.0" customHeight="1">
      <c r="AH863" s="5"/>
      <c r="AI863" s="5"/>
      <c r="AJ863" s="5"/>
    </row>
    <row r="864" ht="30.0" customHeight="1">
      <c r="AH864" s="5"/>
      <c r="AI864" s="5"/>
      <c r="AJ864" s="5"/>
    </row>
    <row r="865" ht="30.0" customHeight="1">
      <c r="AH865" s="5"/>
      <c r="AI865" s="5"/>
      <c r="AJ865" s="5"/>
    </row>
    <row r="866" ht="30.0" customHeight="1">
      <c r="AH866" s="5"/>
      <c r="AI866" s="5"/>
      <c r="AJ866" s="5"/>
    </row>
    <row r="867" ht="30.0" customHeight="1">
      <c r="AH867" s="5"/>
      <c r="AI867" s="5"/>
      <c r="AJ867" s="5"/>
    </row>
    <row r="868" ht="30.0" customHeight="1">
      <c r="AH868" s="5"/>
      <c r="AI868" s="5"/>
      <c r="AJ868" s="5"/>
    </row>
    <row r="869" ht="30.0" customHeight="1">
      <c r="AH869" s="5"/>
      <c r="AI869" s="5"/>
      <c r="AJ869" s="5"/>
    </row>
    <row r="870" ht="30.0" customHeight="1">
      <c r="AH870" s="5"/>
      <c r="AI870" s="5"/>
      <c r="AJ870" s="5"/>
    </row>
    <row r="871" ht="30.0" customHeight="1">
      <c r="AH871" s="5"/>
      <c r="AI871" s="5"/>
      <c r="AJ871" s="5"/>
    </row>
    <row r="872" ht="30.0" customHeight="1">
      <c r="AH872" s="5"/>
      <c r="AI872" s="5"/>
      <c r="AJ872" s="5"/>
    </row>
    <row r="873" ht="30.0" customHeight="1">
      <c r="AH873" s="5"/>
      <c r="AI873" s="5"/>
      <c r="AJ873" s="5"/>
    </row>
    <row r="874" ht="30.0" customHeight="1">
      <c r="AH874" s="5"/>
      <c r="AI874" s="5"/>
      <c r="AJ874" s="5"/>
    </row>
    <row r="875" ht="30.0" customHeight="1">
      <c r="AH875" s="5"/>
      <c r="AI875" s="5"/>
      <c r="AJ875" s="5"/>
    </row>
    <row r="876" ht="30.0" customHeight="1">
      <c r="AH876" s="5"/>
      <c r="AI876" s="5"/>
      <c r="AJ876" s="5"/>
    </row>
    <row r="877" ht="30.0" customHeight="1">
      <c r="AH877" s="5"/>
      <c r="AI877" s="5"/>
      <c r="AJ877" s="5"/>
    </row>
    <row r="878" ht="30.0" customHeight="1">
      <c r="AH878" s="5"/>
      <c r="AI878" s="5"/>
      <c r="AJ878" s="5"/>
    </row>
    <row r="879" ht="30.0" customHeight="1">
      <c r="AH879" s="5"/>
      <c r="AI879" s="5"/>
      <c r="AJ879" s="5"/>
    </row>
    <row r="880" ht="30.0" customHeight="1">
      <c r="AH880" s="5"/>
      <c r="AI880" s="5"/>
      <c r="AJ880" s="5"/>
    </row>
    <row r="881" ht="30.0" customHeight="1">
      <c r="AH881" s="5"/>
      <c r="AI881" s="5"/>
      <c r="AJ881" s="5"/>
    </row>
    <row r="882" ht="30.0" customHeight="1">
      <c r="AH882" s="5"/>
      <c r="AI882" s="5"/>
      <c r="AJ882" s="5"/>
    </row>
    <row r="883" ht="30.0" customHeight="1">
      <c r="AH883" s="5"/>
      <c r="AI883" s="5"/>
      <c r="AJ883" s="5"/>
    </row>
    <row r="884" ht="30.0" customHeight="1">
      <c r="AH884" s="5"/>
      <c r="AI884" s="5"/>
      <c r="AJ884" s="5"/>
    </row>
    <row r="885" ht="30.0" customHeight="1">
      <c r="AH885" s="5"/>
      <c r="AI885" s="5"/>
      <c r="AJ885" s="5"/>
    </row>
    <row r="886" ht="30.0" customHeight="1">
      <c r="AH886" s="5"/>
      <c r="AI886" s="5"/>
      <c r="AJ886" s="5"/>
    </row>
    <row r="887" ht="30.0" customHeight="1">
      <c r="AH887" s="5"/>
      <c r="AI887" s="5"/>
      <c r="AJ887" s="5"/>
    </row>
    <row r="888" ht="30.0" customHeight="1">
      <c r="AH888" s="5"/>
      <c r="AI888" s="5"/>
      <c r="AJ888" s="5"/>
    </row>
    <row r="889" ht="30.0" customHeight="1">
      <c r="AH889" s="5"/>
      <c r="AI889" s="5"/>
      <c r="AJ889" s="5"/>
    </row>
    <row r="890" ht="30.0" customHeight="1">
      <c r="AH890" s="5"/>
      <c r="AI890" s="5"/>
      <c r="AJ890" s="5"/>
    </row>
    <row r="891" ht="30.0" customHeight="1">
      <c r="AH891" s="5"/>
      <c r="AI891" s="5"/>
      <c r="AJ891" s="5"/>
    </row>
    <row r="892" ht="30.0" customHeight="1">
      <c r="AH892" s="5"/>
      <c r="AI892" s="5"/>
      <c r="AJ892" s="5"/>
    </row>
    <row r="893" ht="30.0" customHeight="1">
      <c r="AH893" s="5"/>
      <c r="AI893" s="5"/>
      <c r="AJ893" s="5"/>
    </row>
    <row r="894" ht="30.0" customHeight="1">
      <c r="AH894" s="5"/>
      <c r="AI894" s="5"/>
      <c r="AJ894" s="5"/>
    </row>
    <row r="895" ht="30.0" customHeight="1">
      <c r="AH895" s="5"/>
      <c r="AI895" s="5"/>
      <c r="AJ895" s="5"/>
    </row>
    <row r="896" ht="30.0" customHeight="1">
      <c r="AH896" s="5"/>
      <c r="AI896" s="5"/>
      <c r="AJ896" s="5"/>
    </row>
    <row r="897" ht="30.0" customHeight="1">
      <c r="AH897" s="5"/>
      <c r="AI897" s="5"/>
      <c r="AJ897" s="5"/>
    </row>
    <row r="898" ht="30.0" customHeight="1">
      <c r="AH898" s="5"/>
      <c r="AI898" s="5"/>
      <c r="AJ898" s="5"/>
    </row>
    <row r="899" ht="30.0" customHeight="1">
      <c r="AH899" s="5"/>
      <c r="AI899" s="5"/>
      <c r="AJ899" s="5"/>
    </row>
    <row r="900" ht="30.0" customHeight="1">
      <c r="AH900" s="5"/>
      <c r="AI900" s="5"/>
      <c r="AJ900" s="5"/>
    </row>
    <row r="901" ht="30.0" customHeight="1">
      <c r="AH901" s="5"/>
      <c r="AI901" s="5"/>
      <c r="AJ901" s="5"/>
    </row>
    <row r="902" ht="30.0" customHeight="1">
      <c r="AH902" s="5"/>
      <c r="AI902" s="5"/>
      <c r="AJ902" s="5"/>
    </row>
    <row r="903" ht="30.0" customHeight="1">
      <c r="AH903" s="5"/>
      <c r="AI903" s="5"/>
      <c r="AJ903" s="5"/>
    </row>
    <row r="904" ht="30.0" customHeight="1">
      <c r="AH904" s="5"/>
      <c r="AI904" s="5"/>
      <c r="AJ904" s="5"/>
    </row>
    <row r="905" ht="30.0" customHeight="1">
      <c r="AH905" s="5"/>
      <c r="AI905" s="5"/>
      <c r="AJ905" s="5"/>
    </row>
    <row r="906" ht="30.0" customHeight="1">
      <c r="AH906" s="5"/>
      <c r="AI906" s="5"/>
      <c r="AJ906" s="5"/>
    </row>
    <row r="907" ht="30.0" customHeight="1">
      <c r="AH907" s="5"/>
      <c r="AI907" s="5"/>
      <c r="AJ907" s="5"/>
    </row>
    <row r="908" ht="30.0" customHeight="1">
      <c r="AH908" s="5"/>
      <c r="AI908" s="5"/>
      <c r="AJ908" s="5"/>
    </row>
    <row r="909" ht="30.0" customHeight="1">
      <c r="AH909" s="5"/>
      <c r="AI909" s="5"/>
      <c r="AJ909" s="5"/>
    </row>
    <row r="910" ht="30.0" customHeight="1">
      <c r="AH910" s="5"/>
      <c r="AI910" s="5"/>
      <c r="AJ910" s="5"/>
    </row>
    <row r="911" ht="30.0" customHeight="1">
      <c r="AH911" s="5"/>
      <c r="AI911" s="5"/>
      <c r="AJ911" s="5"/>
    </row>
    <row r="912" ht="30.0" customHeight="1">
      <c r="AH912" s="5"/>
      <c r="AI912" s="5"/>
      <c r="AJ912" s="5"/>
    </row>
    <row r="913" ht="30.0" customHeight="1">
      <c r="AH913" s="5"/>
      <c r="AI913" s="5"/>
      <c r="AJ913" s="5"/>
    </row>
    <row r="914" ht="30.0" customHeight="1">
      <c r="AH914" s="5"/>
      <c r="AI914" s="5"/>
      <c r="AJ914" s="5"/>
    </row>
    <row r="915" ht="30.0" customHeight="1">
      <c r="AH915" s="5"/>
      <c r="AI915" s="5"/>
      <c r="AJ915" s="5"/>
    </row>
    <row r="916" ht="30.0" customHeight="1">
      <c r="AH916" s="5"/>
      <c r="AI916" s="5"/>
      <c r="AJ916" s="5"/>
    </row>
    <row r="917" ht="30.0" customHeight="1">
      <c r="AH917" s="5"/>
      <c r="AI917" s="5"/>
      <c r="AJ917" s="5"/>
    </row>
    <row r="918" ht="30.0" customHeight="1">
      <c r="AH918" s="5"/>
      <c r="AI918" s="5"/>
      <c r="AJ918" s="5"/>
    </row>
    <row r="919" ht="30.0" customHeight="1">
      <c r="AH919" s="5"/>
      <c r="AI919" s="5"/>
      <c r="AJ919" s="5"/>
    </row>
    <row r="920" ht="30.0" customHeight="1">
      <c r="AH920" s="5"/>
      <c r="AI920" s="5"/>
      <c r="AJ920" s="5"/>
    </row>
    <row r="921" ht="30.0" customHeight="1">
      <c r="AH921" s="5"/>
      <c r="AI921" s="5"/>
      <c r="AJ921" s="5"/>
    </row>
    <row r="922" ht="30.0" customHeight="1">
      <c r="AH922" s="5"/>
      <c r="AI922" s="5"/>
      <c r="AJ922" s="5"/>
    </row>
    <row r="923" ht="30.0" customHeight="1">
      <c r="AH923" s="5"/>
      <c r="AI923" s="5"/>
      <c r="AJ923" s="5"/>
    </row>
    <row r="924" ht="30.0" customHeight="1">
      <c r="AH924" s="5"/>
      <c r="AI924" s="5"/>
      <c r="AJ924" s="5"/>
    </row>
    <row r="925" ht="30.0" customHeight="1">
      <c r="AH925" s="5"/>
      <c r="AI925" s="5"/>
      <c r="AJ925" s="5"/>
    </row>
    <row r="926" ht="30.0" customHeight="1">
      <c r="AH926" s="5"/>
      <c r="AI926" s="5"/>
      <c r="AJ926" s="5"/>
    </row>
    <row r="927" ht="30.0" customHeight="1">
      <c r="AH927" s="5"/>
      <c r="AI927" s="5"/>
      <c r="AJ927" s="5"/>
    </row>
    <row r="928" ht="30.0" customHeight="1">
      <c r="AH928" s="5"/>
      <c r="AI928" s="5"/>
      <c r="AJ928" s="5"/>
    </row>
    <row r="929" ht="30.0" customHeight="1">
      <c r="AH929" s="5"/>
      <c r="AI929" s="5"/>
      <c r="AJ929" s="5"/>
    </row>
    <row r="930" ht="30.0" customHeight="1">
      <c r="AH930" s="5"/>
      <c r="AI930" s="5"/>
      <c r="AJ930" s="5"/>
    </row>
    <row r="931" ht="30.0" customHeight="1">
      <c r="AH931" s="5"/>
      <c r="AI931" s="5"/>
      <c r="AJ931" s="5"/>
    </row>
    <row r="932" ht="30.0" customHeight="1">
      <c r="AH932" s="5"/>
      <c r="AI932" s="5"/>
      <c r="AJ932" s="5"/>
    </row>
    <row r="933" ht="30.0" customHeight="1">
      <c r="AH933" s="5"/>
      <c r="AI933" s="5"/>
      <c r="AJ933" s="5"/>
    </row>
    <row r="934" ht="30.0" customHeight="1">
      <c r="AH934" s="5"/>
      <c r="AI934" s="5"/>
      <c r="AJ934" s="5"/>
    </row>
    <row r="935" ht="30.0" customHeight="1">
      <c r="AH935" s="5"/>
      <c r="AI935" s="5"/>
      <c r="AJ935" s="5"/>
    </row>
    <row r="936" ht="30.0" customHeight="1">
      <c r="AH936" s="5"/>
      <c r="AI936" s="5"/>
      <c r="AJ936" s="5"/>
    </row>
    <row r="937" ht="30.0" customHeight="1">
      <c r="AH937" s="5"/>
      <c r="AI937" s="5"/>
      <c r="AJ937" s="5"/>
    </row>
    <row r="938" ht="30.0" customHeight="1">
      <c r="AH938" s="5"/>
      <c r="AI938" s="5"/>
      <c r="AJ938" s="5"/>
    </row>
    <row r="939" ht="30.0" customHeight="1">
      <c r="AH939" s="5"/>
      <c r="AI939" s="5"/>
      <c r="AJ939" s="5"/>
    </row>
    <row r="940" ht="30.0" customHeight="1">
      <c r="AH940" s="5"/>
      <c r="AI940" s="5"/>
      <c r="AJ940" s="5"/>
    </row>
    <row r="941" ht="30.0" customHeight="1">
      <c r="AH941" s="5"/>
      <c r="AI941" s="5"/>
      <c r="AJ941" s="5"/>
    </row>
    <row r="942" ht="30.0" customHeight="1">
      <c r="AH942" s="5"/>
      <c r="AI942" s="5"/>
      <c r="AJ942" s="5"/>
    </row>
    <row r="943" ht="30.0" customHeight="1">
      <c r="AH943" s="5"/>
      <c r="AI943" s="5"/>
      <c r="AJ943" s="5"/>
    </row>
    <row r="944" ht="30.0" customHeight="1">
      <c r="AH944" s="5"/>
      <c r="AI944" s="5"/>
      <c r="AJ944" s="5"/>
    </row>
    <row r="945" ht="30.0" customHeight="1">
      <c r="AH945" s="5"/>
      <c r="AI945" s="5"/>
      <c r="AJ945" s="5"/>
    </row>
    <row r="946" ht="30.0" customHeight="1">
      <c r="AH946" s="5"/>
      <c r="AI946" s="5"/>
      <c r="AJ946" s="5"/>
    </row>
    <row r="947" ht="30.0" customHeight="1">
      <c r="AH947" s="5"/>
      <c r="AI947" s="5"/>
      <c r="AJ947" s="5"/>
    </row>
    <row r="948" ht="30.0" customHeight="1">
      <c r="AH948" s="5"/>
      <c r="AI948" s="5"/>
      <c r="AJ948" s="5"/>
    </row>
    <row r="949" ht="30.0" customHeight="1">
      <c r="AH949" s="5"/>
      <c r="AI949" s="5"/>
      <c r="AJ949" s="5"/>
    </row>
    <row r="950" ht="30.0" customHeight="1">
      <c r="AH950" s="5"/>
      <c r="AI950" s="5"/>
      <c r="AJ950" s="5"/>
    </row>
    <row r="951" ht="30.0" customHeight="1">
      <c r="AH951" s="5"/>
      <c r="AI951" s="5"/>
      <c r="AJ951" s="5"/>
    </row>
    <row r="952" ht="30.0" customHeight="1">
      <c r="AH952" s="5"/>
      <c r="AI952" s="5"/>
      <c r="AJ952" s="5"/>
    </row>
    <row r="953" ht="30.0" customHeight="1">
      <c r="AH953" s="5"/>
      <c r="AI953" s="5"/>
      <c r="AJ953" s="5"/>
    </row>
    <row r="954" ht="30.0" customHeight="1">
      <c r="AH954" s="5"/>
      <c r="AI954" s="5"/>
      <c r="AJ954" s="5"/>
    </row>
    <row r="955" ht="30.0" customHeight="1">
      <c r="AH955" s="5"/>
      <c r="AI955" s="5"/>
      <c r="AJ955" s="5"/>
    </row>
    <row r="956" ht="30.0" customHeight="1">
      <c r="AH956" s="5"/>
      <c r="AI956" s="5"/>
      <c r="AJ956" s="5"/>
    </row>
    <row r="957" ht="30.0" customHeight="1">
      <c r="AH957" s="5"/>
      <c r="AI957" s="5"/>
      <c r="AJ957" s="5"/>
    </row>
    <row r="958" ht="30.0" customHeight="1">
      <c r="AH958" s="5"/>
      <c r="AI958" s="5"/>
      <c r="AJ958" s="5"/>
    </row>
    <row r="959" ht="30.0" customHeight="1">
      <c r="AH959" s="5"/>
      <c r="AI959" s="5"/>
      <c r="AJ959" s="5"/>
    </row>
    <row r="960" ht="30.0" customHeight="1">
      <c r="AH960" s="5"/>
      <c r="AI960" s="5"/>
      <c r="AJ960" s="5"/>
    </row>
    <row r="961" ht="30.0" customHeight="1">
      <c r="AH961" s="5"/>
      <c r="AI961" s="5"/>
      <c r="AJ961" s="5"/>
    </row>
    <row r="962" ht="30.0" customHeight="1">
      <c r="AH962" s="5"/>
      <c r="AI962" s="5"/>
      <c r="AJ962" s="5"/>
    </row>
    <row r="963" ht="30.0" customHeight="1">
      <c r="AH963" s="5"/>
      <c r="AI963" s="5"/>
      <c r="AJ963" s="5"/>
    </row>
    <row r="964" ht="30.0" customHeight="1">
      <c r="AH964" s="5"/>
      <c r="AI964" s="5"/>
      <c r="AJ964" s="5"/>
    </row>
    <row r="965" ht="30.0" customHeight="1">
      <c r="AH965" s="5"/>
      <c r="AI965" s="5"/>
      <c r="AJ965" s="5"/>
    </row>
    <row r="966" ht="30.0" customHeight="1">
      <c r="AH966" s="5"/>
      <c r="AI966" s="5"/>
      <c r="AJ966" s="5"/>
    </row>
    <row r="967" ht="30.0" customHeight="1">
      <c r="AH967" s="5"/>
      <c r="AI967" s="5"/>
      <c r="AJ967" s="5"/>
    </row>
    <row r="968" ht="30.0" customHeight="1">
      <c r="AH968" s="5"/>
      <c r="AI968" s="5"/>
      <c r="AJ968" s="5"/>
    </row>
    <row r="969" ht="30.0" customHeight="1">
      <c r="AH969" s="5"/>
      <c r="AI969" s="5"/>
      <c r="AJ969" s="5"/>
    </row>
    <row r="970" ht="30.0" customHeight="1">
      <c r="AH970" s="5"/>
      <c r="AI970" s="5"/>
      <c r="AJ970" s="5"/>
    </row>
    <row r="971" ht="30.0" customHeight="1">
      <c r="AH971" s="5"/>
      <c r="AI971" s="5"/>
      <c r="AJ971" s="5"/>
    </row>
    <row r="972" ht="30.0" customHeight="1">
      <c r="AH972" s="5"/>
      <c r="AI972" s="5"/>
      <c r="AJ972" s="5"/>
    </row>
    <row r="973" ht="30.0" customHeight="1">
      <c r="AH973" s="5"/>
      <c r="AI973" s="5"/>
      <c r="AJ973" s="5"/>
    </row>
    <row r="974" ht="30.0" customHeight="1">
      <c r="AH974" s="5"/>
      <c r="AI974" s="5"/>
      <c r="AJ974" s="5"/>
    </row>
    <row r="975" ht="30.0" customHeight="1">
      <c r="AH975" s="5"/>
      <c r="AI975" s="5"/>
      <c r="AJ975" s="5"/>
    </row>
    <row r="976" ht="30.0" customHeight="1">
      <c r="AH976" s="5"/>
      <c r="AI976" s="5"/>
      <c r="AJ976" s="5"/>
    </row>
    <row r="977" ht="30.0" customHeight="1">
      <c r="AH977" s="5"/>
      <c r="AI977" s="5"/>
      <c r="AJ977" s="5"/>
    </row>
    <row r="978" ht="30.0" customHeight="1">
      <c r="AH978" s="5"/>
      <c r="AI978" s="5"/>
      <c r="AJ978" s="5"/>
    </row>
    <row r="979" ht="30.0" customHeight="1">
      <c r="AH979" s="5"/>
      <c r="AI979" s="5"/>
      <c r="AJ979" s="5"/>
    </row>
    <row r="980" ht="30.0" customHeight="1">
      <c r="AH980" s="5"/>
      <c r="AI980" s="5"/>
      <c r="AJ980" s="5"/>
    </row>
    <row r="981" ht="30.0" customHeight="1">
      <c r="AH981" s="5"/>
      <c r="AI981" s="5"/>
      <c r="AJ981" s="5"/>
    </row>
    <row r="982" ht="30.0" customHeight="1">
      <c r="AH982" s="5"/>
      <c r="AI982" s="5"/>
      <c r="AJ982" s="5"/>
    </row>
    <row r="983" ht="30.0" customHeight="1">
      <c r="AH983" s="5"/>
      <c r="AI983" s="5"/>
      <c r="AJ983" s="5"/>
    </row>
    <row r="984" ht="30.0" customHeight="1">
      <c r="AH984" s="5"/>
      <c r="AI984" s="5"/>
      <c r="AJ984" s="5"/>
    </row>
    <row r="985" ht="30.0" customHeight="1">
      <c r="AH985" s="5"/>
      <c r="AI985" s="5"/>
      <c r="AJ985" s="5"/>
    </row>
    <row r="986" ht="30.0" customHeight="1">
      <c r="AH986" s="5"/>
      <c r="AI986" s="5"/>
      <c r="AJ986" s="5"/>
    </row>
    <row r="987" ht="30.0" customHeight="1">
      <c r="AH987" s="5"/>
      <c r="AI987" s="5"/>
      <c r="AJ987" s="5"/>
    </row>
    <row r="988" ht="30.0" customHeight="1">
      <c r="AH988" s="5"/>
      <c r="AI988" s="5"/>
      <c r="AJ988" s="5"/>
    </row>
    <row r="989" ht="30.0" customHeight="1">
      <c r="AH989" s="5"/>
      <c r="AI989" s="5"/>
      <c r="AJ989" s="5"/>
    </row>
    <row r="990" ht="30.0" customHeight="1">
      <c r="AH990" s="5"/>
      <c r="AI990" s="5"/>
      <c r="AJ990" s="5"/>
    </row>
    <row r="991" ht="30.0" customHeight="1">
      <c r="AH991" s="5"/>
      <c r="AI991" s="5"/>
      <c r="AJ991" s="5"/>
    </row>
    <row r="992" ht="30.0" customHeight="1">
      <c r="AH992" s="5"/>
      <c r="AI992" s="5"/>
      <c r="AJ992" s="5"/>
    </row>
    <row r="993" ht="30.0" customHeight="1">
      <c r="AH993" s="5"/>
      <c r="AI993" s="5"/>
      <c r="AJ993" s="5"/>
    </row>
    <row r="994" ht="30.0" customHeight="1">
      <c r="AH994" s="5"/>
      <c r="AI994" s="5"/>
      <c r="AJ994" s="5"/>
    </row>
    <row r="995" ht="30.0" customHeight="1">
      <c r="AH995" s="5"/>
      <c r="AI995" s="5"/>
      <c r="AJ995" s="5"/>
    </row>
    <row r="996" ht="30.0" customHeight="1">
      <c r="AH996" s="5"/>
      <c r="AI996" s="5"/>
      <c r="AJ996" s="5"/>
    </row>
    <row r="997" ht="30.0" customHeight="1">
      <c r="AH997" s="5"/>
      <c r="AI997" s="5"/>
      <c r="AJ997" s="5"/>
    </row>
    <row r="998" ht="30.0" customHeight="1">
      <c r="AH998" s="5"/>
      <c r="AI998" s="5"/>
      <c r="AJ998" s="5"/>
    </row>
    <row r="999" ht="30.0" customHeight="1">
      <c r="AH999" s="5"/>
      <c r="AI999" s="5"/>
      <c r="AJ999" s="5"/>
    </row>
    <row r="1000" ht="30.0" customHeight="1">
      <c r="AH1000" s="5"/>
      <c r="AI1000" s="5"/>
      <c r="AJ1000" s="5"/>
    </row>
    <row r="1001" ht="30.0" customHeight="1">
      <c r="AH1001" s="5"/>
      <c r="AI1001" s="5"/>
      <c r="AJ1001" s="5"/>
    </row>
    <row r="1002" ht="30.0" customHeight="1">
      <c r="AH1002" s="5"/>
      <c r="AI1002" s="5"/>
      <c r="AJ1002" s="5"/>
    </row>
    <row r="1003" ht="30.0" customHeight="1">
      <c r="AH1003" s="5"/>
      <c r="AI1003" s="5"/>
      <c r="AJ1003" s="5"/>
    </row>
    <row r="1004" ht="30.0" customHeight="1">
      <c r="AH1004" s="5"/>
      <c r="AI1004" s="5"/>
      <c r="AJ1004" s="5"/>
    </row>
    <row r="1005" ht="30.0" customHeight="1">
      <c r="AH1005" s="5"/>
      <c r="AI1005" s="5"/>
      <c r="AJ1005" s="5"/>
    </row>
    <row r="1006" ht="30.0" customHeight="1">
      <c r="AH1006" s="5"/>
      <c r="AI1006" s="5"/>
      <c r="AJ1006" s="5"/>
    </row>
    <row r="1007" ht="30.0" customHeight="1">
      <c r="AH1007" s="5"/>
      <c r="AI1007" s="5"/>
      <c r="AJ1007" s="5"/>
    </row>
    <row r="1008" ht="30.0" customHeight="1">
      <c r="AH1008" s="5"/>
      <c r="AI1008" s="5"/>
      <c r="AJ1008" s="5"/>
    </row>
    <row r="1009" ht="30.0" customHeight="1">
      <c r="AH1009" s="5"/>
      <c r="AI1009" s="5"/>
      <c r="AJ1009" s="5"/>
    </row>
    <row r="1010" ht="30.0" customHeight="1">
      <c r="AH1010" s="5"/>
      <c r="AI1010" s="5"/>
      <c r="AJ1010" s="5"/>
    </row>
    <row r="1011" ht="30.0" customHeight="1">
      <c r="AH1011" s="5"/>
      <c r="AI1011" s="5"/>
      <c r="AJ1011" s="5"/>
    </row>
    <row r="1012" ht="30.0" customHeight="1">
      <c r="AH1012" s="5"/>
      <c r="AI1012" s="5"/>
      <c r="AJ1012" s="5"/>
    </row>
    <row r="1013" ht="30.0" customHeight="1">
      <c r="AH1013" s="5"/>
      <c r="AI1013" s="5"/>
      <c r="AJ1013" s="5"/>
    </row>
    <row r="1014" ht="30.0" customHeight="1">
      <c r="AH1014" s="5"/>
      <c r="AI1014" s="5"/>
      <c r="AJ1014" s="5"/>
    </row>
    <row r="1015" ht="30.0" customHeight="1">
      <c r="AH1015" s="5"/>
      <c r="AI1015" s="5"/>
      <c r="AJ1015" s="5"/>
    </row>
    <row r="1016" ht="30.0" customHeight="1">
      <c r="AH1016" s="5"/>
      <c r="AI1016" s="5"/>
      <c r="AJ1016" s="5"/>
    </row>
    <row r="1017" ht="30.0" customHeight="1">
      <c r="AH1017" s="5"/>
      <c r="AI1017" s="5"/>
      <c r="AJ1017" s="5"/>
    </row>
    <row r="1018" ht="30.0" customHeight="1">
      <c r="AH1018" s="5"/>
      <c r="AI1018" s="5"/>
      <c r="AJ1018" s="5"/>
    </row>
    <row r="1019" ht="30.0" customHeight="1">
      <c r="AH1019" s="5"/>
      <c r="AI1019" s="5"/>
      <c r="AJ1019" s="5"/>
    </row>
    <row r="1020" ht="30.0" customHeight="1">
      <c r="AH1020" s="5"/>
      <c r="AI1020" s="5"/>
      <c r="AJ1020" s="5"/>
    </row>
    <row r="1021" ht="30.0" customHeight="1">
      <c r="AH1021" s="5"/>
      <c r="AI1021" s="5"/>
      <c r="AJ1021" s="5"/>
    </row>
    <row r="1022" ht="30.0" customHeight="1">
      <c r="AH1022" s="5"/>
      <c r="AI1022" s="5"/>
      <c r="AJ1022" s="5"/>
    </row>
    <row r="1023" ht="30.0" customHeight="1">
      <c r="AH1023" s="5"/>
      <c r="AI1023" s="5"/>
      <c r="AJ1023" s="5"/>
    </row>
    <row r="1024" ht="30.0" customHeight="1">
      <c r="AH1024" s="5"/>
      <c r="AI1024" s="5"/>
      <c r="AJ1024" s="5"/>
    </row>
    <row r="1025" ht="30.0" customHeight="1">
      <c r="AH1025" s="5"/>
      <c r="AI1025" s="5"/>
      <c r="AJ1025" s="5"/>
    </row>
    <row r="1026" ht="30.0" customHeight="1">
      <c r="AH1026" s="5"/>
      <c r="AI1026" s="5"/>
      <c r="AJ1026" s="5"/>
    </row>
    <row r="1027" ht="30.0" customHeight="1">
      <c r="AH1027" s="5"/>
      <c r="AI1027" s="5"/>
      <c r="AJ1027" s="5"/>
    </row>
    <row r="1028" ht="30.0" customHeight="1">
      <c r="AH1028" s="5"/>
      <c r="AI1028" s="5"/>
      <c r="AJ1028" s="5"/>
    </row>
    <row r="1029" ht="30.0" customHeight="1">
      <c r="AH1029" s="5"/>
      <c r="AI1029" s="5"/>
      <c r="AJ1029" s="5"/>
    </row>
    <row r="1030" ht="30.0" customHeight="1">
      <c r="AH1030" s="5"/>
      <c r="AI1030" s="5"/>
      <c r="AJ1030" s="5"/>
    </row>
    <row r="1031" ht="30.0" customHeight="1">
      <c r="AH1031" s="5"/>
      <c r="AI1031" s="5"/>
      <c r="AJ1031" s="5"/>
    </row>
    <row r="1032" ht="30.0" customHeight="1">
      <c r="AH1032" s="5"/>
      <c r="AI1032" s="5"/>
      <c r="AJ1032" s="5"/>
    </row>
    <row r="1033" ht="30.0" customHeight="1">
      <c r="AH1033" s="5"/>
      <c r="AI1033" s="5"/>
      <c r="AJ1033" s="5"/>
    </row>
    <row r="1034" ht="30.0" customHeight="1">
      <c r="AH1034" s="5"/>
      <c r="AI1034" s="5"/>
      <c r="AJ1034" s="5"/>
    </row>
    <row r="1035" ht="30.0" customHeight="1">
      <c r="AH1035" s="5"/>
      <c r="AI1035" s="5"/>
      <c r="AJ1035" s="5"/>
    </row>
    <row r="1036" ht="30.0" customHeight="1">
      <c r="AH1036" s="5"/>
      <c r="AI1036" s="5"/>
      <c r="AJ1036" s="5"/>
    </row>
    <row r="1037" ht="30.0" customHeight="1">
      <c r="AH1037" s="5"/>
      <c r="AI1037" s="5"/>
      <c r="AJ1037" s="5"/>
    </row>
  </sheetData>
  <mergeCells count="16">
    <mergeCell ref="B1:X1"/>
    <mergeCell ref="D2:F2"/>
    <mergeCell ref="H2:J2"/>
    <mergeCell ref="L2:N2"/>
    <mergeCell ref="P2:S2"/>
    <mergeCell ref="U2:X2"/>
    <mergeCell ref="C4:AG4"/>
    <mergeCell ref="C179:AG179"/>
    <mergeCell ref="C189:AG189"/>
    <mergeCell ref="C10:AG10"/>
    <mergeCell ref="C37:AG37"/>
    <mergeCell ref="C64:AG64"/>
    <mergeCell ref="C97:AG97"/>
    <mergeCell ref="C123:AG123"/>
    <mergeCell ref="C149:AG149"/>
    <mergeCell ref="C166:AG166"/>
  </mergeCells>
  <conditionalFormatting sqref="C7:AG7 N33 Q33 X33:Y33">
    <cfRule type="expression" dxfId="5" priority="1" stopIfTrue="1">
      <formula>C7=""</formula>
    </cfRule>
  </conditionalFormatting>
  <conditionalFormatting sqref="K7 N7 R7 T7 C33:AC33 AE33:AG33">
    <cfRule type="expression" dxfId="5" priority="2" stopIfTrue="1">
      <formula>#REF!=""</formula>
    </cfRule>
  </conditionalFormatting>
  <conditionalFormatting sqref="AH42:AI42">
    <cfRule type="expression" dxfId="5" priority="3" stopIfTrue="1">
      <formula>AH42=""</formula>
    </cfRule>
  </conditionalFormatting>
  <conditionalFormatting sqref="C94:H94 J94:K94 M94:W94 Y94:AD94 AF94:AG94">
    <cfRule type="expression" dxfId="5" priority="4" stopIfTrue="1">
      <formula>#REF!=""</formula>
    </cfRule>
  </conditionalFormatting>
  <conditionalFormatting sqref="C120:K120 N120:AG120 C162:L163 N162:AG163">
    <cfRule type="expression" dxfId="5" priority="5" stopIfTrue="1">
      <formula>#REF!=""</formula>
    </cfRule>
  </conditionalFormatting>
  <dataValidations>
    <dataValidation type="list" allowBlank="1" showErrorMessage="1" sqref="B7 B13:B33 B40:B59 B67:B94 B102:B120 B128:B144 B153:B163 B171:B176 B184:B186 B194:B196">
      <formula1>'Nombres de los alumnos '!$B$4:$B$1016</formula1>
    </dataValidation>
    <dataValidation type="list" allowBlank="1" showErrorMessage="1" sqref="B100:B101 B126:B127 B152 B169:B170 B182:B183 B192:B193">
      <formula1>'Nombres de los alumnos '!$B$4:$B$999999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1E11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3" width="4.71"/>
    <col customWidth="1" min="34" max="36" width="20.86"/>
  </cols>
  <sheetData>
    <row r="1" ht="49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AH1" s="5"/>
      <c r="AI1" s="5"/>
      <c r="AJ1" s="5"/>
    </row>
    <row r="2" ht="15.0" customHeight="1">
      <c r="B2" s="6" t="s">
        <v>1</v>
      </c>
      <c r="C2" s="7" t="s">
        <v>2</v>
      </c>
      <c r="D2" s="8" t="s">
        <v>3</v>
      </c>
      <c r="E2" s="3"/>
      <c r="F2" s="4"/>
      <c r="G2" s="9" t="s">
        <v>4</v>
      </c>
      <c r="H2" s="8" t="s">
        <v>5</v>
      </c>
      <c r="I2" s="3"/>
      <c r="J2" s="4"/>
      <c r="K2" s="10" t="s">
        <v>6</v>
      </c>
      <c r="L2" s="8" t="s">
        <v>7</v>
      </c>
      <c r="M2" s="3"/>
      <c r="N2" s="4"/>
      <c r="O2" s="11" t="s">
        <v>8</v>
      </c>
      <c r="P2" s="8" t="s">
        <v>9</v>
      </c>
      <c r="Q2" s="3"/>
      <c r="R2" s="3"/>
      <c r="S2" s="4"/>
      <c r="T2" s="12" t="s">
        <v>10</v>
      </c>
      <c r="U2" s="8" t="s">
        <v>11</v>
      </c>
      <c r="V2" s="3"/>
      <c r="W2" s="3"/>
      <c r="X2" s="4"/>
      <c r="AH2" s="5"/>
      <c r="AI2" s="5"/>
      <c r="AJ2" s="5"/>
    </row>
    <row r="3" ht="15.0" customHeight="1">
      <c r="AH3" s="13"/>
      <c r="AI3" s="13"/>
      <c r="AJ3" s="13"/>
    </row>
    <row r="4" ht="30.0" customHeight="1">
      <c r="B4" s="14" t="s">
        <v>12</v>
      </c>
      <c r="C4" s="15" t="s">
        <v>13</v>
      </c>
      <c r="AH4" s="15">
        <v>2026.0</v>
      </c>
      <c r="AI4" s="15"/>
      <c r="AJ4" s="15"/>
    </row>
    <row r="5" ht="15.0" customHeight="1">
      <c r="B5" s="14"/>
      <c r="C5" s="16" t="str">
        <f>TEXT(WEEKDAY(DATE(Noviembre!CalendarioAño,1,1),1),"ddd")</f>
        <v>jue</v>
      </c>
      <c r="D5" s="16" t="str">
        <f>TEXT(WEEKDAY(DATE(Noviembre!CalendarioAño,1,2),1),"ddd")</f>
        <v>vie</v>
      </c>
      <c r="E5" s="16" t="str">
        <f>TEXT(WEEKDAY(DATE(Noviembre!CalendarioAño,1,3),1),"ddd")</f>
        <v>sáb</v>
      </c>
      <c r="F5" s="16" t="str">
        <f>TEXT(WEEKDAY(DATE(Noviembre!CalendarioAño,1,4),1),"ddd")</f>
        <v>dom</v>
      </c>
      <c r="G5" s="16" t="str">
        <f>TEXT(WEEKDAY(DATE(Noviembre!CalendarioAño,1,5),1),"ddd")</f>
        <v>lun</v>
      </c>
      <c r="H5" s="16" t="str">
        <f>TEXT(WEEKDAY(DATE(Noviembre!CalendarioAño,1,6),1),"ddd")</f>
        <v>mar</v>
      </c>
      <c r="I5" s="16" t="str">
        <f>TEXT(WEEKDAY(DATE(Noviembre!CalendarioAño,1,7),1),"ddd")</f>
        <v>mié</v>
      </c>
      <c r="J5" s="16" t="str">
        <f>TEXT(WEEKDAY(DATE(Noviembre!CalendarioAño,1,8),1),"ddd")</f>
        <v>jue</v>
      </c>
      <c r="K5" s="16" t="str">
        <f>TEXT(WEEKDAY(DATE(Noviembre!CalendarioAño,1,9),1),"ddd")</f>
        <v>vie</v>
      </c>
      <c r="L5" s="16" t="str">
        <f>TEXT(WEEKDAY(DATE(Noviembre!CalendarioAño,1,10),1),"ddd")</f>
        <v>sáb</v>
      </c>
      <c r="M5" s="16" t="str">
        <f>TEXT(WEEKDAY(DATE(Noviembre!CalendarioAño,1,11),1),"ddd")</f>
        <v>dom</v>
      </c>
      <c r="N5" s="16" t="str">
        <f>TEXT(WEEKDAY(DATE(Noviembre!CalendarioAño,1,12),1),"ddd")</f>
        <v>lun</v>
      </c>
      <c r="O5" s="16" t="str">
        <f>TEXT(WEEKDAY(DATE(Noviembre!CalendarioAño,1,13),1),"ddd")</f>
        <v>mar</v>
      </c>
      <c r="P5" s="16" t="str">
        <f>TEXT(WEEKDAY(DATE(Noviembre!CalendarioAño,1,14),1),"ddd")</f>
        <v>mié</v>
      </c>
      <c r="Q5" s="16" t="str">
        <f>TEXT(WEEKDAY(DATE(Noviembre!CalendarioAño,1,15),1),"ddd")</f>
        <v>jue</v>
      </c>
      <c r="R5" s="16" t="str">
        <f>TEXT(WEEKDAY(DATE(Noviembre!CalendarioAño,1,16),1),"ddd")</f>
        <v>vie</v>
      </c>
      <c r="S5" s="16" t="str">
        <f>TEXT(WEEKDAY(DATE(Noviembre!CalendarioAño,1,17),1),"ddd")</f>
        <v>sáb</v>
      </c>
      <c r="T5" s="16" t="str">
        <f>TEXT(WEEKDAY(DATE(Noviembre!CalendarioAño,1,18),1),"ddd")</f>
        <v>dom</v>
      </c>
      <c r="U5" s="16" t="str">
        <f>TEXT(WEEKDAY(DATE(Noviembre!CalendarioAño,1,19),1),"ddd")</f>
        <v>lun</v>
      </c>
      <c r="V5" s="16" t="str">
        <f>TEXT(WEEKDAY(DATE(Noviembre!CalendarioAño,1,20),1),"ddd")</f>
        <v>mar</v>
      </c>
      <c r="W5" s="16" t="str">
        <f>TEXT(WEEKDAY(DATE(Noviembre!CalendarioAño,1,21),1),"ddd")</f>
        <v>mié</v>
      </c>
      <c r="X5" s="16" t="str">
        <f>TEXT(WEEKDAY(DATE(Noviembre!CalendarioAño,1,22),1),"ddd")</f>
        <v>jue</v>
      </c>
      <c r="Y5" s="16" t="str">
        <f>TEXT(WEEKDAY(DATE(Noviembre!CalendarioAño,1,23),1),"ddd")</f>
        <v>vie</v>
      </c>
      <c r="Z5" s="16" t="str">
        <f>TEXT(WEEKDAY(DATE(Noviembre!CalendarioAño,1,24),1),"ddd")</f>
        <v>sáb</v>
      </c>
      <c r="AA5" s="16" t="str">
        <f>TEXT(WEEKDAY(DATE(Noviembre!CalendarioAño,1,25),1),"ddd")</f>
        <v>dom</v>
      </c>
      <c r="AB5" s="16" t="str">
        <f>TEXT(WEEKDAY(DATE(Noviembre!CalendarioAño,1,26),1),"ddd")</f>
        <v>lun</v>
      </c>
      <c r="AC5" s="16" t="str">
        <f>TEXT(WEEKDAY(DATE(Noviembre!CalendarioAño,1,27),1),"ddd")</f>
        <v>mar</v>
      </c>
      <c r="AD5" s="16" t="str">
        <f>TEXT(WEEKDAY(DATE(Noviembre!CalendarioAño,1,28),1),"ddd")</f>
        <v>mié</v>
      </c>
      <c r="AE5" s="16" t="str">
        <f>TEXT(WEEKDAY(DATE(Noviembre!CalendarioAño,1,29),1),"ddd")</f>
        <v>jue</v>
      </c>
      <c r="AF5" s="16" t="str">
        <f>TEXT(WEEKDAY(DATE(Noviembre!CalendarioAño,1,30),1),"ddd")</f>
        <v>vie</v>
      </c>
      <c r="AG5" s="16" t="str">
        <f>TEXT(WEEKDAY(DATE(Noviembre!CalendarioAño,1,31),1),"ddd")</f>
        <v>sáb</v>
      </c>
      <c r="AH5" s="14"/>
      <c r="AI5" s="14"/>
      <c r="AJ5" s="14"/>
    </row>
    <row r="6" ht="15.0" customHeight="1">
      <c r="A6" s="17"/>
      <c r="B6" s="18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  <c r="I6" s="19" t="s">
        <v>21</v>
      </c>
      <c r="J6" s="19" t="s">
        <v>22</v>
      </c>
      <c r="K6" s="19" t="s">
        <v>23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19" t="s">
        <v>36</v>
      </c>
      <c r="Y6" s="19" t="s">
        <v>37</v>
      </c>
      <c r="Z6" s="19" t="s">
        <v>38</v>
      </c>
      <c r="AA6" s="19" t="s">
        <v>39</v>
      </c>
      <c r="AB6" s="19" t="s">
        <v>40</v>
      </c>
      <c r="AC6" s="19" t="s">
        <v>41</v>
      </c>
      <c r="AD6" s="19" t="s">
        <v>42</v>
      </c>
      <c r="AE6" s="19" t="s">
        <v>43</v>
      </c>
      <c r="AF6" s="19" t="s">
        <v>44</v>
      </c>
      <c r="AG6" s="19" t="s">
        <v>45</v>
      </c>
      <c r="AH6" s="19" t="s">
        <v>46</v>
      </c>
      <c r="AI6" s="19"/>
      <c r="AJ6" s="19"/>
    </row>
    <row r="7" ht="30.0" customHeight="1">
      <c r="B7" s="20"/>
      <c r="C7" s="21"/>
      <c r="D7" s="21"/>
      <c r="E7" s="21"/>
      <c r="F7" s="22"/>
      <c r="G7" s="22"/>
      <c r="H7" s="21"/>
      <c r="I7" s="21"/>
      <c r="J7" s="21"/>
      <c r="K7" s="22"/>
      <c r="L7" s="21"/>
      <c r="M7" s="21"/>
      <c r="N7" s="22"/>
      <c r="O7" s="21"/>
      <c r="P7" s="21"/>
      <c r="Q7" s="21"/>
      <c r="R7" s="22"/>
      <c r="S7" s="21"/>
      <c r="T7" s="22"/>
      <c r="U7" s="22"/>
      <c r="V7" s="21"/>
      <c r="W7" s="21"/>
      <c r="X7" s="21"/>
      <c r="Y7" s="22"/>
      <c r="Z7" s="21"/>
      <c r="AA7" s="22"/>
      <c r="AB7" s="22"/>
      <c r="AC7" s="21"/>
      <c r="AD7" s="21"/>
      <c r="AE7" s="21"/>
      <c r="AF7" s="22"/>
      <c r="AG7" s="21"/>
      <c r="AH7" s="23"/>
      <c r="AI7" s="23"/>
      <c r="AJ7" s="23"/>
    </row>
    <row r="8" ht="30.0" customHeight="1">
      <c r="B8" s="24" t="str">
        <f>Noviembre!MonthName&amp;" Total"</f>
        <v>Enero Total</v>
      </c>
      <c r="C8" s="25">
        <f>SUBTOTAL(103,Noviembre!$C$7)</f>
        <v>0</v>
      </c>
      <c r="D8" s="25">
        <f>SUBTOTAL(103,Noviembre!$D$7)</f>
        <v>0</v>
      </c>
      <c r="E8" s="25">
        <f>SUBTOTAL(103,Noviembre!$E$7)</f>
        <v>0</v>
      </c>
      <c r="F8" s="25">
        <f>SUBTOTAL(103,Noviembre!$F$7)</f>
        <v>0</v>
      </c>
      <c r="G8" s="25">
        <f>SUBTOTAL(103,Noviembre!$G$7)</f>
        <v>0</v>
      </c>
      <c r="H8" s="25">
        <f>SUBTOTAL(103,Noviembre!$H$7)</f>
        <v>0</v>
      </c>
      <c r="I8" s="25">
        <f>SUBTOTAL(103,Noviembre!$I$7)</f>
        <v>0</v>
      </c>
      <c r="J8" s="25">
        <f>SUBTOTAL(103,Noviembre!$J$7)</f>
        <v>0</v>
      </c>
      <c r="K8" s="25">
        <f>SUBTOTAL(103,Noviembre!$K$7)</f>
        <v>0</v>
      </c>
      <c r="L8" s="25">
        <f>SUBTOTAL(103,Noviembre!$L$7)</f>
        <v>0</v>
      </c>
      <c r="M8" s="25">
        <f>SUBTOTAL(103,Noviembre!$M$7)</f>
        <v>0</v>
      </c>
      <c r="N8" s="25">
        <f>SUBTOTAL(103,Noviembre!$N$7)</f>
        <v>0</v>
      </c>
      <c r="O8" s="25">
        <f>SUBTOTAL(103,Noviembre!$O$7)</f>
        <v>0</v>
      </c>
      <c r="P8" s="25">
        <f>SUBTOTAL(103,Noviembre!$P$7)</f>
        <v>0</v>
      </c>
      <c r="Q8" s="25">
        <f>SUBTOTAL(103,Noviembre!$Q$7)</f>
        <v>0</v>
      </c>
      <c r="R8" s="25">
        <f>SUBTOTAL(103,Noviembre!$R$7)</f>
        <v>0</v>
      </c>
      <c r="S8" s="25">
        <f>SUBTOTAL(103,Noviembre!$S$7)</f>
        <v>0</v>
      </c>
      <c r="T8" s="25">
        <f>SUBTOTAL(103,Noviembre!$T$7)</f>
        <v>0</v>
      </c>
      <c r="U8" s="25">
        <f>SUBTOTAL(103,Noviembre!$U$7)</f>
        <v>0</v>
      </c>
      <c r="V8" s="25">
        <f>SUBTOTAL(103,Noviembre!$V$7)</f>
        <v>0</v>
      </c>
      <c r="W8" s="25">
        <f>SUBTOTAL(103,Noviembre!$W$7)</f>
        <v>0</v>
      </c>
      <c r="X8" s="25">
        <f>SUBTOTAL(103,Noviembre!$X$7)</f>
        <v>0</v>
      </c>
      <c r="Y8" s="25">
        <f>SUBTOTAL(103,Noviembre!$Y$7)</f>
        <v>0</v>
      </c>
      <c r="Z8" s="25">
        <f>SUBTOTAL(103,Noviembre!$Z$7)</f>
        <v>0</v>
      </c>
      <c r="AA8" s="25">
        <f>SUBTOTAL(103,Noviembre!$AA$7)</f>
        <v>0</v>
      </c>
      <c r="AB8" s="25">
        <f>SUBTOTAL(103,Noviembre!$AB$7)</f>
        <v>0</v>
      </c>
      <c r="AC8" s="25">
        <f>SUBTOTAL(103,Noviembre!$AC$7)</f>
        <v>0</v>
      </c>
      <c r="AD8" s="25">
        <f>SUBTOTAL(103,Noviembre!$AD$7)</f>
        <v>0</v>
      </c>
      <c r="AE8" s="25">
        <f>SUBTOTAL(103,Noviembre!$AE$7)</f>
        <v>0</v>
      </c>
      <c r="AF8" s="25">
        <f>SUBTOTAL(103,Noviembre!$AF$7)</f>
        <v>0</v>
      </c>
      <c r="AG8" s="25">
        <f>SUBTOTAL(103,Noviembre!$AG$7)</f>
        <v>0</v>
      </c>
      <c r="AH8" s="25"/>
      <c r="AI8" s="25"/>
      <c r="AJ8" s="25"/>
    </row>
    <row r="9" ht="30.0" customHeight="1">
      <c r="AH9" s="5"/>
      <c r="AI9" s="5"/>
      <c r="AJ9" s="5"/>
    </row>
    <row r="10" ht="30.0" customHeight="1">
      <c r="B10" s="26" t="s">
        <v>12</v>
      </c>
      <c r="C10" s="27" t="s">
        <v>47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9">
        <v>2026.0</v>
      </c>
      <c r="AI10" s="15"/>
      <c r="AJ10" s="15"/>
    </row>
    <row r="11" ht="30.0" customHeight="1">
      <c r="B11" s="30"/>
      <c r="C11" s="16" t="str">
        <f>TEXT(WEEKDAY(DATE(Noviembre!CalendarioAño,1,1),1),"ddd")</f>
        <v>jue</v>
      </c>
      <c r="D11" s="16" t="str">
        <f>TEXT(WEEKDAY(DATE(Noviembre!CalendarioAño,1,2),1),"ddd")</f>
        <v>vie</v>
      </c>
      <c r="E11" s="16" t="str">
        <f>TEXT(WEEKDAY(DATE(Noviembre!CalendarioAño,1,3),1),"ddd")</f>
        <v>sáb</v>
      </c>
      <c r="F11" s="16" t="str">
        <f>TEXT(WEEKDAY(DATE(Noviembre!CalendarioAño,1,4),1),"ddd")</f>
        <v>dom</v>
      </c>
      <c r="G11" s="16" t="str">
        <f>TEXT(WEEKDAY(DATE(Noviembre!CalendarioAño,1,5),1),"ddd")</f>
        <v>lun</v>
      </c>
      <c r="H11" s="16" t="str">
        <f>TEXT(WEEKDAY(DATE(Noviembre!CalendarioAño,1,6),1),"ddd")</f>
        <v>mar</v>
      </c>
      <c r="I11" s="16" t="str">
        <f>TEXT(WEEKDAY(DATE(Noviembre!CalendarioAño,1,7),1),"ddd")</f>
        <v>mié</v>
      </c>
      <c r="J11" s="16" t="str">
        <f>TEXT(WEEKDAY(DATE(Noviembre!CalendarioAño,1,8),1),"ddd")</f>
        <v>jue</v>
      </c>
      <c r="K11" s="16" t="str">
        <f>TEXT(WEEKDAY(DATE(Noviembre!CalendarioAño,1,9),1),"ddd")</f>
        <v>vie</v>
      </c>
      <c r="L11" s="16" t="str">
        <f>TEXT(WEEKDAY(DATE(Noviembre!CalendarioAño,1,10),1),"ddd")</f>
        <v>sáb</v>
      </c>
      <c r="M11" s="16" t="str">
        <f>TEXT(WEEKDAY(DATE(Noviembre!CalendarioAño,1,11),1),"ddd")</f>
        <v>dom</v>
      </c>
      <c r="N11" s="16" t="str">
        <f>TEXT(WEEKDAY(DATE(Noviembre!CalendarioAño,1,12),1),"ddd")</f>
        <v>lun</v>
      </c>
      <c r="O11" s="16" t="str">
        <f>TEXT(WEEKDAY(DATE(Noviembre!CalendarioAño,1,13),1),"ddd")</f>
        <v>mar</v>
      </c>
      <c r="P11" s="16" t="str">
        <f>TEXT(WEEKDAY(DATE(Noviembre!CalendarioAño,1,14),1),"ddd")</f>
        <v>mié</v>
      </c>
      <c r="Q11" s="16" t="str">
        <f>TEXT(WEEKDAY(DATE(Noviembre!CalendarioAño,1,15),1),"ddd")</f>
        <v>jue</v>
      </c>
      <c r="R11" s="16" t="str">
        <f>TEXT(WEEKDAY(DATE(Noviembre!CalendarioAño,1,16),1),"ddd")</f>
        <v>vie</v>
      </c>
      <c r="S11" s="16" t="str">
        <f>TEXT(WEEKDAY(DATE(Noviembre!CalendarioAño,1,17),1),"ddd")</f>
        <v>sáb</v>
      </c>
      <c r="T11" s="16" t="str">
        <f>TEXT(WEEKDAY(DATE(Noviembre!CalendarioAño,1,18),1),"ddd")</f>
        <v>dom</v>
      </c>
      <c r="U11" s="16" t="str">
        <f>TEXT(WEEKDAY(DATE(Noviembre!CalendarioAño,1,19),1),"ddd")</f>
        <v>lun</v>
      </c>
      <c r="V11" s="16" t="str">
        <f>TEXT(WEEKDAY(DATE(Noviembre!CalendarioAño,1,20),1),"ddd")</f>
        <v>mar</v>
      </c>
      <c r="W11" s="16" t="str">
        <f>TEXT(WEEKDAY(DATE(Noviembre!CalendarioAño,1,21),1),"ddd")</f>
        <v>mié</v>
      </c>
      <c r="X11" s="16" t="str">
        <f>TEXT(WEEKDAY(DATE(Noviembre!CalendarioAño,1,22),1),"ddd")</f>
        <v>jue</v>
      </c>
      <c r="Y11" s="16" t="str">
        <f>TEXT(WEEKDAY(DATE(Noviembre!CalendarioAño,1,23),1),"ddd")</f>
        <v>vie</v>
      </c>
      <c r="Z11" s="16" t="str">
        <f>TEXT(WEEKDAY(DATE(Noviembre!CalendarioAño,1,24),1),"ddd")</f>
        <v>sáb</v>
      </c>
      <c r="AA11" s="16" t="str">
        <f>TEXT(WEEKDAY(DATE(Noviembre!CalendarioAño,1,25),1),"ddd")</f>
        <v>dom</v>
      </c>
      <c r="AB11" s="16" t="str">
        <f>TEXT(WEEKDAY(DATE(Noviembre!CalendarioAño,1,26),1),"ddd")</f>
        <v>lun</v>
      </c>
      <c r="AC11" s="16" t="str">
        <f>TEXT(WEEKDAY(DATE(Noviembre!CalendarioAño,1,27),1),"ddd")</f>
        <v>mar</v>
      </c>
      <c r="AD11" s="16" t="str">
        <f>TEXT(WEEKDAY(DATE(Noviembre!CalendarioAño,1,28),1),"ddd")</f>
        <v>mié</v>
      </c>
      <c r="AE11" s="16" t="str">
        <f>TEXT(WEEKDAY(DATE(Noviembre!CalendarioAño,1,29),1),"ddd")</f>
        <v>jue</v>
      </c>
      <c r="AF11" s="16" t="str">
        <f>TEXT(WEEKDAY(DATE(Noviembre!CalendarioAño,1,30),1),"ddd")</f>
        <v>vie</v>
      </c>
      <c r="AG11" s="16" t="str">
        <f>TEXT(WEEKDAY(DATE(Noviembre!CalendarioAño,1,31),1),"ddd")</f>
        <v>sáb</v>
      </c>
      <c r="AH11" s="30"/>
      <c r="AI11" s="14"/>
      <c r="AJ11" s="14"/>
    </row>
    <row r="12" ht="21.75" customHeight="1">
      <c r="A12" s="17"/>
      <c r="B12" s="31" t="s">
        <v>14</v>
      </c>
      <c r="C12" s="19" t="s">
        <v>15</v>
      </c>
      <c r="D12" s="19" t="s">
        <v>16</v>
      </c>
      <c r="E12" s="19" t="s">
        <v>17</v>
      </c>
      <c r="F12" s="19" t="s">
        <v>18</v>
      </c>
      <c r="G12" s="19" t="s">
        <v>19</v>
      </c>
      <c r="H12" s="19" t="s">
        <v>20</v>
      </c>
      <c r="I12" s="19" t="s">
        <v>21</v>
      </c>
      <c r="J12" s="19" t="s">
        <v>22</v>
      </c>
      <c r="K12" s="19" t="s">
        <v>23</v>
      </c>
      <c r="L12" s="19" t="s">
        <v>24</v>
      </c>
      <c r="M12" s="19" t="s">
        <v>25</v>
      </c>
      <c r="N12" s="19" t="s">
        <v>26</v>
      </c>
      <c r="O12" s="19" t="s">
        <v>27</v>
      </c>
      <c r="P12" s="19" t="s">
        <v>28</v>
      </c>
      <c r="Q12" s="19" t="s">
        <v>29</v>
      </c>
      <c r="R12" s="19" t="s">
        <v>30</v>
      </c>
      <c r="S12" s="19" t="s">
        <v>31</v>
      </c>
      <c r="T12" s="19" t="s">
        <v>32</v>
      </c>
      <c r="U12" s="19" t="s">
        <v>33</v>
      </c>
      <c r="V12" s="19" t="s">
        <v>34</v>
      </c>
      <c r="W12" s="19" t="s">
        <v>35</v>
      </c>
      <c r="X12" s="19" t="s">
        <v>36</v>
      </c>
      <c r="Y12" s="19" t="s">
        <v>37</v>
      </c>
      <c r="Z12" s="19" t="s">
        <v>38</v>
      </c>
      <c r="AA12" s="19" t="s">
        <v>39</v>
      </c>
      <c r="AB12" s="19" t="s">
        <v>40</v>
      </c>
      <c r="AC12" s="19" t="s">
        <v>41</v>
      </c>
      <c r="AD12" s="19" t="s">
        <v>42</v>
      </c>
      <c r="AE12" s="19" t="s">
        <v>43</v>
      </c>
      <c r="AF12" s="19" t="s">
        <v>44</v>
      </c>
      <c r="AG12" s="19" t="s">
        <v>45</v>
      </c>
      <c r="AH12" s="19" t="s">
        <v>46</v>
      </c>
      <c r="AI12" s="19"/>
      <c r="AJ12" s="19"/>
    </row>
    <row r="13" ht="30.0" customHeight="1">
      <c r="B13" s="32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23"/>
      <c r="AI13" s="23"/>
      <c r="AJ13" s="23"/>
    </row>
    <row r="14" ht="30.0" customHeight="1">
      <c r="B14" s="32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23"/>
      <c r="AI14" s="23"/>
      <c r="AJ14" s="23"/>
    </row>
    <row r="15" ht="30.0" customHeight="1">
      <c r="B15" s="32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23"/>
      <c r="AI15" s="23"/>
      <c r="AJ15" s="23"/>
    </row>
    <row r="16" ht="30.0" customHeight="1">
      <c r="B16" s="32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23"/>
      <c r="AI16" s="23"/>
      <c r="AJ16" s="23"/>
    </row>
    <row r="17" ht="30.0" customHeight="1">
      <c r="B17" s="32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23"/>
      <c r="AI17" s="23"/>
      <c r="AJ17" s="23"/>
    </row>
    <row r="18" ht="30.0" customHeight="1">
      <c r="B18" s="32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23"/>
      <c r="AI18" s="23"/>
      <c r="AJ18" s="23"/>
    </row>
    <row r="19" ht="30.0" customHeight="1">
      <c r="B19" s="32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23"/>
      <c r="AI19" s="23"/>
      <c r="AJ19" s="23"/>
    </row>
    <row r="20" ht="30.0" customHeight="1">
      <c r="B20" s="32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23"/>
      <c r="AI20" s="23"/>
      <c r="AJ20" s="23"/>
    </row>
    <row r="21" ht="30.0" customHeight="1">
      <c r="B21" s="32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23"/>
      <c r="AI21" s="23"/>
      <c r="AJ21" s="23"/>
    </row>
    <row r="22" ht="30.0" customHeight="1">
      <c r="B22" s="32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23"/>
      <c r="AI22" s="23"/>
      <c r="AJ22" s="23"/>
    </row>
    <row r="23" ht="30.0" customHeight="1">
      <c r="B23" s="32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23"/>
      <c r="AI23" s="23"/>
      <c r="AJ23" s="23"/>
    </row>
    <row r="24" ht="30.0" customHeight="1">
      <c r="B24" s="32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23"/>
      <c r="AI24" s="23"/>
      <c r="AJ24" s="23"/>
    </row>
    <row r="25" ht="30.0" customHeight="1">
      <c r="B25" s="32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23"/>
      <c r="AI25" s="23"/>
      <c r="AJ25" s="23"/>
    </row>
    <row r="26" ht="30.0" customHeight="1">
      <c r="B26" s="32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23"/>
      <c r="AI26" s="23"/>
      <c r="AJ26" s="23"/>
    </row>
    <row r="27" ht="30.0" customHeight="1">
      <c r="B27" s="32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23"/>
      <c r="AI27" s="23"/>
      <c r="AJ27" s="23"/>
    </row>
    <row r="28" ht="30.0" customHeight="1">
      <c r="B28" s="32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23"/>
      <c r="AI28" s="23"/>
      <c r="AJ28" s="23"/>
    </row>
    <row r="29" ht="30.0" customHeight="1">
      <c r="B29" s="32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23"/>
      <c r="AI29" s="23"/>
      <c r="AJ29" s="23"/>
    </row>
    <row r="30" ht="30.0" customHeight="1">
      <c r="B30" s="32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23"/>
      <c r="AI30" s="23"/>
      <c r="AJ30" s="23"/>
    </row>
    <row r="31" ht="30.0" customHeight="1">
      <c r="B31" s="32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23"/>
      <c r="AI31" s="23"/>
      <c r="AJ31" s="23"/>
    </row>
    <row r="32" ht="30.0" customHeight="1">
      <c r="B32" s="32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23"/>
      <c r="AI32" s="23"/>
      <c r="AJ32" s="23"/>
    </row>
    <row r="33" ht="30.0" customHeight="1">
      <c r="B33" s="32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2"/>
      <c r="O33" s="21"/>
      <c r="P33" s="21"/>
      <c r="Q33" s="22"/>
      <c r="R33" s="21"/>
      <c r="S33" s="21"/>
      <c r="T33" s="21"/>
      <c r="U33" s="21"/>
      <c r="V33" s="21"/>
      <c r="W33" s="21"/>
      <c r="X33" s="22"/>
      <c r="Y33" s="22"/>
      <c r="Z33" s="21"/>
      <c r="AA33" s="21"/>
      <c r="AB33" s="21"/>
      <c r="AC33" s="21"/>
      <c r="AD33" s="33"/>
      <c r="AE33" s="22"/>
      <c r="AF33" s="21"/>
      <c r="AG33" s="22"/>
      <c r="AH33" s="23"/>
      <c r="AI33" s="23"/>
      <c r="AJ33" s="23"/>
    </row>
    <row r="34" ht="30.0" customHeight="1">
      <c r="B34" s="24" t="str">
        <f>Noviembre!MonthName&amp;" Total"</f>
        <v>Enero Total</v>
      </c>
      <c r="C34" s="25">
        <f>SUBTOTAL(103,Noviembre!$C$7)</f>
        <v>0</v>
      </c>
      <c r="D34" s="25">
        <f>SUBTOTAL(103,Noviembre!$D$7)</f>
        <v>0</v>
      </c>
      <c r="E34" s="25">
        <f>SUBTOTAL(103,Noviembre!$E$7)</f>
        <v>0</v>
      </c>
      <c r="F34" s="25"/>
      <c r="G34" s="25">
        <f>SUBTOTAL(103,Noviembre!$G$7)</f>
        <v>0</v>
      </c>
      <c r="H34" s="25">
        <f>SUBTOTAL(103,Noviembre!$H$7)</f>
        <v>0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ht="30.0" customHeight="1">
      <c r="AH35" s="5"/>
      <c r="AI35" s="5"/>
      <c r="AJ35" s="5"/>
    </row>
    <row r="36" ht="30.0" customHeight="1">
      <c r="AH36" s="5"/>
      <c r="AI36" s="5"/>
      <c r="AJ36" s="5"/>
    </row>
    <row r="37" ht="30.0" customHeight="1">
      <c r="B37" s="30" t="s">
        <v>12</v>
      </c>
      <c r="C37" s="27" t="s">
        <v>67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39">
        <v>2026.0</v>
      </c>
      <c r="AI37" s="15"/>
      <c r="AJ37" s="15"/>
    </row>
    <row r="38" ht="30.0" customHeight="1">
      <c r="B38" s="30"/>
      <c r="C38" s="16" t="str">
        <f>TEXT(WEEKDAY(DATE(Noviembre!CalendarioAño,1,1),1),"ddd")</f>
        <v>jue</v>
      </c>
      <c r="D38" s="16" t="str">
        <f>TEXT(WEEKDAY(DATE(Noviembre!CalendarioAño,1,2),1),"ddd")</f>
        <v>vie</v>
      </c>
      <c r="E38" s="16" t="str">
        <f>TEXT(WEEKDAY(DATE(Noviembre!CalendarioAño,1,3),1),"ddd")</f>
        <v>sáb</v>
      </c>
      <c r="F38" s="16" t="str">
        <f>TEXT(WEEKDAY(DATE(Noviembre!CalendarioAño,1,4),1),"ddd")</f>
        <v>dom</v>
      </c>
      <c r="G38" s="16" t="str">
        <f>TEXT(WEEKDAY(DATE(Noviembre!CalendarioAño,1,5),1),"ddd")</f>
        <v>lun</v>
      </c>
      <c r="H38" s="16" t="str">
        <f>TEXT(WEEKDAY(DATE(Noviembre!CalendarioAño,1,6),1),"ddd")</f>
        <v>mar</v>
      </c>
      <c r="I38" s="16" t="str">
        <f>TEXT(WEEKDAY(DATE(Noviembre!CalendarioAño,1,7),1),"ddd")</f>
        <v>mié</v>
      </c>
      <c r="J38" s="16" t="str">
        <f>TEXT(WEEKDAY(DATE(Noviembre!CalendarioAño,1,8),1),"ddd")</f>
        <v>jue</v>
      </c>
      <c r="K38" s="16" t="str">
        <f>TEXT(WEEKDAY(DATE(Noviembre!CalendarioAño,1,9),1),"ddd")</f>
        <v>vie</v>
      </c>
      <c r="L38" s="16" t="str">
        <f>TEXT(WEEKDAY(DATE(Noviembre!CalendarioAño,1,10),1),"ddd")</f>
        <v>sáb</v>
      </c>
      <c r="M38" s="16" t="str">
        <f>TEXT(WEEKDAY(DATE(Noviembre!CalendarioAño,1,11),1),"ddd")</f>
        <v>dom</v>
      </c>
      <c r="N38" s="16" t="str">
        <f>TEXT(WEEKDAY(DATE(Noviembre!CalendarioAño,1,12),1),"ddd")</f>
        <v>lun</v>
      </c>
      <c r="O38" s="16" t="str">
        <f>TEXT(WEEKDAY(DATE(Noviembre!CalendarioAño,1,13),1),"ddd")</f>
        <v>mar</v>
      </c>
      <c r="P38" s="16" t="str">
        <f>TEXT(WEEKDAY(DATE(Noviembre!CalendarioAño,1,14),1),"ddd")</f>
        <v>mié</v>
      </c>
      <c r="Q38" s="16" t="str">
        <f>TEXT(WEEKDAY(DATE(Noviembre!CalendarioAño,1,15),1),"ddd")</f>
        <v>jue</v>
      </c>
      <c r="R38" s="16" t="str">
        <f>TEXT(WEEKDAY(DATE(Noviembre!CalendarioAño,1,16),1),"ddd")</f>
        <v>vie</v>
      </c>
      <c r="S38" s="16" t="str">
        <f>TEXT(WEEKDAY(DATE(Noviembre!CalendarioAño,1,17),1),"ddd")</f>
        <v>sáb</v>
      </c>
      <c r="T38" s="16" t="str">
        <f>TEXT(WEEKDAY(DATE(Noviembre!CalendarioAño,1,18),1),"ddd")</f>
        <v>dom</v>
      </c>
      <c r="U38" s="16" t="str">
        <f>TEXT(WEEKDAY(DATE(Noviembre!CalendarioAño,1,19),1),"ddd")</f>
        <v>lun</v>
      </c>
      <c r="V38" s="16" t="str">
        <f>TEXT(WEEKDAY(DATE(Noviembre!CalendarioAño,1,20),1),"ddd")</f>
        <v>mar</v>
      </c>
      <c r="W38" s="16" t="str">
        <f>TEXT(WEEKDAY(DATE(Noviembre!CalendarioAño,1,21),1),"ddd")</f>
        <v>mié</v>
      </c>
      <c r="X38" s="16" t="str">
        <f>TEXT(WEEKDAY(DATE(Noviembre!CalendarioAño,1,22),1),"ddd")</f>
        <v>jue</v>
      </c>
      <c r="Y38" s="16" t="str">
        <f>TEXT(WEEKDAY(DATE(Noviembre!CalendarioAño,1,23),1),"ddd")</f>
        <v>vie</v>
      </c>
      <c r="Z38" s="16" t="str">
        <f>TEXT(WEEKDAY(DATE(Noviembre!CalendarioAño,1,24),1),"ddd")</f>
        <v>sáb</v>
      </c>
      <c r="AA38" s="16" t="str">
        <f>TEXT(WEEKDAY(DATE(Noviembre!CalendarioAño,1,25),1),"ddd")</f>
        <v>dom</v>
      </c>
      <c r="AB38" s="16" t="str">
        <f>TEXT(WEEKDAY(DATE(Noviembre!CalendarioAño,1,26),1),"ddd")</f>
        <v>lun</v>
      </c>
      <c r="AC38" s="16" t="str">
        <f>TEXT(WEEKDAY(DATE(Noviembre!CalendarioAño,1,27),1),"ddd")</f>
        <v>mar</v>
      </c>
      <c r="AD38" s="16" t="str">
        <f>TEXT(WEEKDAY(DATE(Noviembre!CalendarioAño,1,28),1),"ddd")</f>
        <v>mié</v>
      </c>
      <c r="AE38" s="16" t="str">
        <f>TEXT(WEEKDAY(DATE(Noviembre!CalendarioAño,1,29),1),"ddd")</f>
        <v>jue</v>
      </c>
      <c r="AF38" s="16" t="str">
        <f>TEXT(WEEKDAY(DATE(Noviembre!CalendarioAño,1,30),1),"ddd")</f>
        <v>vie</v>
      </c>
      <c r="AG38" s="16" t="str">
        <f>TEXT(WEEKDAY(DATE(Noviembre!CalendarioAño,1,31),1),"ddd")</f>
        <v>sáb</v>
      </c>
      <c r="AH38" s="30"/>
      <c r="AI38" s="14"/>
      <c r="AJ38" s="14"/>
    </row>
    <row r="39" ht="30.0" customHeight="1">
      <c r="A39" s="17"/>
      <c r="B39" s="31" t="s">
        <v>14</v>
      </c>
      <c r="C39" s="19" t="s">
        <v>15</v>
      </c>
      <c r="D39" s="19" t="s">
        <v>16</v>
      </c>
      <c r="E39" s="19" t="s">
        <v>17</v>
      </c>
      <c r="F39" s="19" t="s">
        <v>18</v>
      </c>
      <c r="G39" s="19" t="s">
        <v>19</v>
      </c>
      <c r="H39" s="19" t="s">
        <v>20</v>
      </c>
      <c r="I39" s="19" t="s">
        <v>21</v>
      </c>
      <c r="J39" s="19" t="s">
        <v>22</v>
      </c>
      <c r="K39" s="19" t="s">
        <v>23</v>
      </c>
      <c r="L39" s="19" t="s">
        <v>24</v>
      </c>
      <c r="M39" s="19" t="s">
        <v>25</v>
      </c>
      <c r="N39" s="19" t="s">
        <v>26</v>
      </c>
      <c r="O39" s="19" t="s">
        <v>27</v>
      </c>
      <c r="P39" s="19" t="s">
        <v>28</v>
      </c>
      <c r="Q39" s="19" t="s">
        <v>29</v>
      </c>
      <c r="R39" s="19" t="s">
        <v>30</v>
      </c>
      <c r="S39" s="19" t="s">
        <v>31</v>
      </c>
      <c r="T39" s="19" t="s">
        <v>32</v>
      </c>
      <c r="U39" s="19" t="s">
        <v>33</v>
      </c>
      <c r="V39" s="19" t="s">
        <v>34</v>
      </c>
      <c r="W39" s="19" t="s">
        <v>35</v>
      </c>
      <c r="X39" s="19" t="s">
        <v>36</v>
      </c>
      <c r="Y39" s="19" t="s">
        <v>37</v>
      </c>
      <c r="Z39" s="19" t="s">
        <v>38</v>
      </c>
      <c r="AA39" s="19" t="s">
        <v>39</v>
      </c>
      <c r="AB39" s="19" t="s">
        <v>40</v>
      </c>
      <c r="AC39" s="19" t="s">
        <v>41</v>
      </c>
      <c r="AD39" s="19" t="s">
        <v>42</v>
      </c>
      <c r="AE39" s="19" t="s">
        <v>43</v>
      </c>
      <c r="AF39" s="19" t="s">
        <v>44</v>
      </c>
      <c r="AG39" s="19" t="s">
        <v>45</v>
      </c>
      <c r="AH39" s="19" t="s">
        <v>46</v>
      </c>
      <c r="AI39" s="19"/>
      <c r="AJ39" s="19"/>
    </row>
    <row r="40" ht="30.0" customHeight="1">
      <c r="B40" s="40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23"/>
      <c r="AI40" s="23"/>
      <c r="AJ40" s="23"/>
    </row>
    <row r="41" ht="30.0" customHeight="1">
      <c r="B41" s="4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23"/>
      <c r="AI41" s="23"/>
      <c r="AJ41" s="23"/>
    </row>
    <row r="42" ht="30.0" customHeight="1">
      <c r="B42" s="32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21"/>
      <c r="AI42" s="21"/>
      <c r="AJ42" s="33"/>
    </row>
    <row r="43" ht="30.0" customHeight="1">
      <c r="B43" s="32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23"/>
      <c r="AI43" s="23"/>
      <c r="AJ43" s="23"/>
    </row>
    <row r="44" ht="30.0" customHeight="1">
      <c r="B44" s="32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121"/>
      <c r="AI44" s="23"/>
      <c r="AJ44" s="23"/>
    </row>
    <row r="45" ht="30.0" customHeight="1">
      <c r="B45" s="32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23"/>
      <c r="AI45" s="23"/>
      <c r="AJ45" s="23"/>
    </row>
    <row r="46" ht="30.0" customHeight="1">
      <c r="B46" s="32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23"/>
      <c r="AI46" s="23"/>
      <c r="AJ46" s="23"/>
    </row>
    <row r="47" ht="30.0" customHeight="1">
      <c r="B47" s="32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23"/>
      <c r="AI47" s="23"/>
      <c r="AJ47" s="23"/>
    </row>
    <row r="48" ht="30.0" customHeight="1">
      <c r="B48" s="32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23"/>
      <c r="AI48" s="23"/>
      <c r="AJ48" s="23"/>
    </row>
    <row r="49" ht="30.0" customHeight="1">
      <c r="B49" s="40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23"/>
      <c r="AI49" s="23"/>
      <c r="AJ49" s="23"/>
    </row>
    <row r="50" ht="30.0" customHeight="1">
      <c r="B50" s="32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23"/>
      <c r="AI50" s="23"/>
      <c r="AJ50" s="23"/>
    </row>
    <row r="51" ht="30.0" customHeight="1">
      <c r="B51" s="32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23"/>
      <c r="AI51" s="23"/>
      <c r="AJ51" s="23"/>
    </row>
    <row r="52" ht="30.0" customHeight="1">
      <c r="B52" s="32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23"/>
      <c r="AI52" s="23"/>
      <c r="AJ52" s="23"/>
    </row>
    <row r="53" ht="30.0" customHeight="1">
      <c r="B53" s="32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23"/>
      <c r="AI53" s="23"/>
      <c r="AJ53" s="23"/>
    </row>
    <row r="54" ht="30.0" customHeight="1">
      <c r="B54" s="32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23"/>
      <c r="AI54" s="23"/>
      <c r="AJ54" s="23"/>
    </row>
    <row r="55" ht="30.0" customHeight="1">
      <c r="B55" s="32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23"/>
      <c r="AI55" s="23"/>
      <c r="AJ55" s="23"/>
    </row>
    <row r="56" ht="30.0" customHeight="1">
      <c r="B56" s="32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25"/>
      <c r="AI56" s="25"/>
      <c r="AJ56" s="25"/>
    </row>
    <row r="57" ht="30.0" customHeight="1">
      <c r="B57" s="32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25"/>
      <c r="AI57" s="25"/>
      <c r="AJ57" s="25"/>
    </row>
    <row r="58" ht="30.0" customHeight="1">
      <c r="B58" s="32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25"/>
      <c r="AI58" s="25"/>
      <c r="AJ58" s="25"/>
    </row>
    <row r="59" ht="30.0" customHeight="1">
      <c r="B59" s="32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25"/>
      <c r="AI59" s="25"/>
      <c r="AJ59" s="25"/>
    </row>
    <row r="60" ht="30.0" customHeight="1">
      <c r="B60" s="24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ht="30.0" customHeight="1">
      <c r="B61" s="24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ht="30.0" customHeight="1">
      <c r="B62" s="24" t="str">
        <f>Noviembre!MonthName&amp;" Total"</f>
        <v>Enero Total</v>
      </c>
      <c r="C62" s="25">
        <f>SUBTOTAL(103,Noviembre!$C$7)</f>
        <v>0</v>
      </c>
      <c r="D62" s="25">
        <f>SUBTOTAL(103,Noviembre!$D$7)</f>
        <v>0</v>
      </c>
      <c r="E62" s="25">
        <f>SUBTOTAL(103,Noviembre!$E$7)</f>
        <v>0</v>
      </c>
      <c r="F62" s="25"/>
      <c r="G62" s="25">
        <f>SUBTOTAL(103,Noviembre!$G$7)</f>
        <v>0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ht="30.0" customHeight="1">
      <c r="AH63" s="5"/>
      <c r="AI63" s="5"/>
      <c r="AJ63" s="5"/>
    </row>
    <row r="64" ht="30.0" customHeight="1">
      <c r="B64" s="30" t="s">
        <v>12</v>
      </c>
      <c r="C64" s="27" t="s">
        <v>89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39">
        <v>2026.0</v>
      </c>
      <c r="AI64" s="15"/>
      <c r="AJ64" s="15"/>
    </row>
    <row r="65" ht="30.0" customHeight="1">
      <c r="B65" s="30"/>
      <c r="C65" s="16" t="str">
        <f>TEXT(WEEKDAY(DATE(Noviembre!CalendarioAño,1,1),1),"ddd")</f>
        <v>jue</v>
      </c>
      <c r="D65" s="16" t="str">
        <f>TEXT(WEEKDAY(DATE(Noviembre!CalendarioAño,1,2),1),"ddd")</f>
        <v>vie</v>
      </c>
      <c r="E65" s="16" t="str">
        <f>TEXT(WEEKDAY(DATE(Noviembre!CalendarioAño,1,3),1),"ddd")</f>
        <v>sáb</v>
      </c>
      <c r="F65" s="16" t="str">
        <f>TEXT(WEEKDAY(DATE(Noviembre!CalendarioAño,1,4),1),"ddd")</f>
        <v>dom</v>
      </c>
      <c r="G65" s="16" t="str">
        <f>TEXT(WEEKDAY(DATE(Noviembre!CalendarioAño,1,5),1),"ddd")</f>
        <v>lun</v>
      </c>
      <c r="H65" s="16" t="str">
        <f>TEXT(WEEKDAY(DATE(Noviembre!CalendarioAño,1,6),1),"ddd")</f>
        <v>mar</v>
      </c>
      <c r="I65" s="16" t="str">
        <f>TEXT(WEEKDAY(DATE(Noviembre!CalendarioAño,1,7),1),"ddd")</f>
        <v>mié</v>
      </c>
      <c r="J65" s="16" t="str">
        <f>TEXT(WEEKDAY(DATE(Noviembre!CalendarioAño,1,8),1),"ddd")</f>
        <v>jue</v>
      </c>
      <c r="K65" s="16" t="str">
        <f>TEXT(WEEKDAY(DATE(Noviembre!CalendarioAño,1,9),1),"ddd")</f>
        <v>vie</v>
      </c>
      <c r="L65" s="16" t="str">
        <f>TEXT(WEEKDAY(DATE(Noviembre!CalendarioAño,1,10),1),"ddd")</f>
        <v>sáb</v>
      </c>
      <c r="M65" s="16" t="str">
        <f>TEXT(WEEKDAY(DATE(Noviembre!CalendarioAño,1,11),1),"ddd")</f>
        <v>dom</v>
      </c>
      <c r="N65" s="16" t="str">
        <f>TEXT(WEEKDAY(DATE(Noviembre!CalendarioAño,1,12),1),"ddd")</f>
        <v>lun</v>
      </c>
      <c r="O65" s="16" t="str">
        <f>TEXT(WEEKDAY(DATE(Noviembre!CalendarioAño,1,13),1),"ddd")</f>
        <v>mar</v>
      </c>
      <c r="P65" s="16" t="str">
        <f>TEXT(WEEKDAY(DATE(Noviembre!CalendarioAño,1,14),1),"ddd")</f>
        <v>mié</v>
      </c>
      <c r="Q65" s="16" t="str">
        <f>TEXT(WEEKDAY(DATE(Noviembre!CalendarioAño,1,15),1),"ddd")</f>
        <v>jue</v>
      </c>
      <c r="R65" s="16" t="str">
        <f>TEXT(WEEKDAY(DATE(Noviembre!CalendarioAño,1,16),1),"ddd")</f>
        <v>vie</v>
      </c>
      <c r="S65" s="16" t="str">
        <f>TEXT(WEEKDAY(DATE(Noviembre!CalendarioAño,1,17),1),"ddd")</f>
        <v>sáb</v>
      </c>
      <c r="T65" s="16" t="str">
        <f>TEXT(WEEKDAY(DATE(Noviembre!CalendarioAño,1,18),1),"ddd")</f>
        <v>dom</v>
      </c>
      <c r="U65" s="16" t="str">
        <f>TEXT(WEEKDAY(DATE(Noviembre!CalendarioAño,1,19),1),"ddd")</f>
        <v>lun</v>
      </c>
      <c r="V65" s="16" t="str">
        <f>TEXT(WEEKDAY(DATE(Noviembre!CalendarioAño,1,20),1),"ddd")</f>
        <v>mar</v>
      </c>
      <c r="W65" s="16" t="str">
        <f>TEXT(WEEKDAY(DATE(Noviembre!CalendarioAño,1,21),1),"ddd")</f>
        <v>mié</v>
      </c>
      <c r="X65" s="16" t="str">
        <f>TEXT(WEEKDAY(DATE(Noviembre!CalendarioAño,1,22),1),"ddd")</f>
        <v>jue</v>
      </c>
      <c r="Y65" s="16" t="str">
        <f>TEXT(WEEKDAY(DATE(Noviembre!CalendarioAño,1,23),1),"ddd")</f>
        <v>vie</v>
      </c>
      <c r="Z65" s="16" t="str">
        <f>TEXT(WEEKDAY(DATE(Noviembre!CalendarioAño,1,24),1),"ddd")</f>
        <v>sáb</v>
      </c>
      <c r="AA65" s="16" t="str">
        <f>TEXT(WEEKDAY(DATE(Noviembre!CalendarioAño,1,25),1),"ddd")</f>
        <v>dom</v>
      </c>
      <c r="AB65" s="16" t="str">
        <f>TEXT(WEEKDAY(DATE(Noviembre!CalendarioAño,1,26),1),"ddd")</f>
        <v>lun</v>
      </c>
      <c r="AC65" s="16" t="str">
        <f>TEXT(WEEKDAY(DATE(Noviembre!CalendarioAño,1,27),1),"ddd")</f>
        <v>mar</v>
      </c>
      <c r="AD65" s="16" t="str">
        <f>TEXT(WEEKDAY(DATE(Noviembre!CalendarioAño,1,28),1),"ddd")</f>
        <v>mié</v>
      </c>
      <c r="AE65" s="16" t="str">
        <f>TEXT(WEEKDAY(DATE(Noviembre!CalendarioAño,1,29),1),"ddd")</f>
        <v>jue</v>
      </c>
      <c r="AF65" s="16" t="str">
        <f>TEXT(WEEKDAY(DATE(Noviembre!CalendarioAño,1,30),1),"ddd")</f>
        <v>vie</v>
      </c>
      <c r="AG65" s="16" t="str">
        <f>TEXT(WEEKDAY(DATE(Noviembre!CalendarioAño,1,31),1),"ddd")</f>
        <v>sáb</v>
      </c>
      <c r="AH65" s="30"/>
      <c r="AI65" s="14"/>
      <c r="AJ65" s="14"/>
    </row>
    <row r="66" ht="30.0" customHeight="1">
      <c r="A66" s="17"/>
      <c r="B66" s="31" t="s">
        <v>14</v>
      </c>
      <c r="C66" s="19" t="s">
        <v>15</v>
      </c>
      <c r="D66" s="19" t="s">
        <v>16</v>
      </c>
      <c r="E66" s="19" t="s">
        <v>17</v>
      </c>
      <c r="F66" s="19" t="s">
        <v>18</v>
      </c>
      <c r="G66" s="19" t="s">
        <v>19</v>
      </c>
      <c r="H66" s="19" t="s">
        <v>20</v>
      </c>
      <c r="I66" s="19" t="s">
        <v>21</v>
      </c>
      <c r="J66" s="19" t="s">
        <v>22</v>
      </c>
      <c r="K66" s="19" t="s">
        <v>23</v>
      </c>
      <c r="L66" s="19" t="s">
        <v>24</v>
      </c>
      <c r="M66" s="19" t="s">
        <v>25</v>
      </c>
      <c r="N66" s="19" t="s">
        <v>26</v>
      </c>
      <c r="O66" s="19" t="s">
        <v>27</v>
      </c>
      <c r="P66" s="19" t="s">
        <v>28</v>
      </c>
      <c r="Q66" s="19" t="s">
        <v>29</v>
      </c>
      <c r="R66" s="19" t="s">
        <v>30</v>
      </c>
      <c r="S66" s="19" t="s">
        <v>31</v>
      </c>
      <c r="T66" s="19" t="s">
        <v>32</v>
      </c>
      <c r="U66" s="19" t="s">
        <v>33</v>
      </c>
      <c r="V66" s="19" t="s">
        <v>34</v>
      </c>
      <c r="W66" s="19" t="s">
        <v>35</v>
      </c>
      <c r="X66" s="19" t="s">
        <v>36</v>
      </c>
      <c r="Y66" s="19" t="s">
        <v>37</v>
      </c>
      <c r="Z66" s="19" t="s">
        <v>38</v>
      </c>
      <c r="AA66" s="19" t="s">
        <v>39</v>
      </c>
      <c r="AB66" s="19" t="s">
        <v>40</v>
      </c>
      <c r="AC66" s="19" t="s">
        <v>41</v>
      </c>
      <c r="AD66" s="19" t="s">
        <v>42</v>
      </c>
      <c r="AE66" s="19" t="s">
        <v>43</v>
      </c>
      <c r="AF66" s="19" t="s">
        <v>44</v>
      </c>
      <c r="AG66" s="19" t="s">
        <v>45</v>
      </c>
      <c r="AH66" s="19" t="s">
        <v>46</v>
      </c>
      <c r="AI66" s="19"/>
      <c r="AJ66" s="19"/>
    </row>
    <row r="67" ht="30.0" customHeight="1">
      <c r="B67" s="40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23"/>
      <c r="AI67" s="23"/>
      <c r="AJ67" s="23"/>
    </row>
    <row r="68" ht="30.0" customHeight="1">
      <c r="B68" s="40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23"/>
      <c r="AI68" s="23"/>
      <c r="AJ68" s="23"/>
    </row>
    <row r="69" ht="30.0" customHeight="1">
      <c r="B69" s="40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23"/>
      <c r="AI69" s="23"/>
      <c r="AJ69" s="23"/>
    </row>
    <row r="70" ht="30.0" customHeight="1">
      <c r="B70" s="40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23"/>
      <c r="AI70" s="23"/>
      <c r="AJ70" s="23"/>
    </row>
    <row r="71" ht="30.0" customHeight="1">
      <c r="B71" s="32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23"/>
      <c r="AI71" s="23"/>
      <c r="AJ71" s="23"/>
    </row>
    <row r="72" ht="30.0" customHeight="1">
      <c r="B72" s="40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23"/>
      <c r="AI72" s="23"/>
      <c r="AJ72" s="23"/>
    </row>
    <row r="73" ht="30.0" customHeight="1">
      <c r="B73" s="32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23"/>
      <c r="AI73" s="23"/>
      <c r="AJ73" s="23"/>
    </row>
    <row r="74" ht="30.0" customHeight="1">
      <c r="B74" s="32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23"/>
      <c r="AI74" s="23"/>
      <c r="AJ74" s="23"/>
    </row>
    <row r="75" ht="30.0" customHeight="1">
      <c r="B75" s="32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23"/>
      <c r="AI75" s="23"/>
      <c r="AJ75" s="23"/>
    </row>
    <row r="76" ht="30.0" customHeight="1">
      <c r="B76" s="32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23"/>
      <c r="AI76" s="23"/>
      <c r="AJ76" s="23"/>
    </row>
    <row r="77" ht="30.0" customHeight="1">
      <c r="B77" s="32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23"/>
      <c r="AI77" s="23"/>
      <c r="AJ77" s="23"/>
    </row>
    <row r="78" ht="30.0" customHeight="1">
      <c r="B78" s="32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23"/>
      <c r="AI78" s="23"/>
      <c r="AJ78" s="23"/>
    </row>
    <row r="79" ht="30.0" customHeight="1">
      <c r="B79" s="32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23"/>
      <c r="AI79" s="23"/>
      <c r="AJ79" s="23"/>
    </row>
    <row r="80" ht="30.0" customHeight="1">
      <c r="B80" s="32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23"/>
      <c r="AI80" s="23"/>
      <c r="AJ80" s="23"/>
    </row>
    <row r="81" ht="30.0" customHeight="1">
      <c r="B81" s="32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23"/>
      <c r="AI81" s="23"/>
      <c r="AJ81" s="23"/>
    </row>
    <row r="82" ht="30.0" customHeight="1">
      <c r="B82" s="32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23"/>
      <c r="AI82" s="23"/>
      <c r="AJ82" s="23"/>
    </row>
    <row r="83" ht="30.0" customHeight="1">
      <c r="B83" s="40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23"/>
      <c r="AI83" s="23"/>
      <c r="AJ83" s="23"/>
    </row>
    <row r="84" ht="30.0" customHeight="1">
      <c r="B84" s="40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23"/>
      <c r="AI84" s="23"/>
      <c r="AJ84" s="23"/>
    </row>
    <row r="85" ht="30.0" customHeight="1">
      <c r="B85" s="32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23"/>
      <c r="AI85" s="23"/>
      <c r="AJ85" s="23"/>
    </row>
    <row r="86" ht="30.0" customHeight="1">
      <c r="B86" s="32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23"/>
      <c r="AI86" s="23"/>
      <c r="AJ86" s="23"/>
    </row>
    <row r="87" ht="30.0" customHeight="1">
      <c r="B87" s="32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23"/>
      <c r="AI87" s="23"/>
      <c r="AJ87" s="23"/>
    </row>
    <row r="88" ht="30.0" customHeight="1">
      <c r="B88" s="32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23"/>
      <c r="AI88" s="23"/>
      <c r="AJ88" s="23"/>
    </row>
    <row r="89" ht="30.0" customHeight="1">
      <c r="B89" s="32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23"/>
      <c r="AI89" s="23"/>
      <c r="AJ89" s="23"/>
    </row>
    <row r="90" ht="30.0" customHeight="1">
      <c r="B90" s="32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23"/>
      <c r="AI90" s="23"/>
      <c r="AJ90" s="23"/>
    </row>
    <row r="91" ht="30.0" customHeight="1">
      <c r="B91" s="32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23"/>
      <c r="AI91" s="23"/>
      <c r="AJ91" s="23"/>
    </row>
    <row r="92" ht="30.0" customHeight="1">
      <c r="B92" s="32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23"/>
      <c r="AI92" s="23"/>
      <c r="AJ92" s="23"/>
    </row>
    <row r="93" ht="30.0" customHeight="1">
      <c r="B93" s="32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23"/>
      <c r="AI93" s="23"/>
      <c r="AJ93" s="23"/>
    </row>
    <row r="94" ht="30.0" customHeight="1">
      <c r="B94" s="20"/>
      <c r="C94" s="21"/>
      <c r="D94" s="21"/>
      <c r="E94" s="21"/>
      <c r="F94" s="21"/>
      <c r="G94" s="21"/>
      <c r="H94" s="21"/>
      <c r="I94" s="43"/>
      <c r="J94" s="43"/>
      <c r="K94" s="43"/>
      <c r="L94" s="43"/>
      <c r="M94" s="43"/>
      <c r="N94" s="21"/>
      <c r="O94" s="43"/>
      <c r="P94" s="43"/>
      <c r="Q94" s="43"/>
      <c r="R94" s="21"/>
      <c r="S94" s="43"/>
      <c r="T94" s="21"/>
      <c r="U94" s="21"/>
      <c r="V94" s="21"/>
      <c r="W94" s="21"/>
      <c r="X94" s="43"/>
      <c r="Y94" s="21"/>
      <c r="Z94" s="43"/>
      <c r="AA94" s="21"/>
      <c r="AB94" s="21"/>
      <c r="AC94" s="21"/>
      <c r="AD94" s="21"/>
      <c r="AE94" s="33"/>
      <c r="AF94" s="21"/>
      <c r="AG94" s="21"/>
      <c r="AH94" s="23"/>
      <c r="AI94" s="23"/>
      <c r="AJ94" s="23"/>
    </row>
    <row r="95" ht="30.0" customHeight="1">
      <c r="B95" s="48" t="str">
        <f>Noviembre!MonthName&amp;" Total"</f>
        <v>Enero Total</v>
      </c>
      <c r="C95" s="25">
        <f>SUBTOTAL(103,Noviembre!$C$7)</f>
        <v>0</v>
      </c>
      <c r="D95" s="25">
        <f>SUBTOTAL(103,Noviembre!$D$7)</f>
        <v>0</v>
      </c>
      <c r="E95" s="25">
        <f>SUBTOTAL(103,Noviembre!$E$7)</f>
        <v>0</v>
      </c>
      <c r="F95" s="25"/>
      <c r="G95" s="25">
        <f>SUBTOTAL(103,Noviembre!$G$7)</f>
        <v>0</v>
      </c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</row>
    <row r="96" ht="30.0" customHeight="1">
      <c r="AH96" s="5"/>
      <c r="AI96" s="5"/>
      <c r="AJ96" s="5"/>
    </row>
    <row r="97" ht="30.0" customHeight="1">
      <c r="B97" s="30" t="s">
        <v>12</v>
      </c>
      <c r="C97" s="27" t="s">
        <v>118</v>
      </c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39">
        <v>2026.0</v>
      </c>
      <c r="AI97" s="15"/>
      <c r="AJ97" s="15"/>
    </row>
    <row r="98" ht="30.0" customHeight="1">
      <c r="B98" s="30"/>
      <c r="C98" s="16" t="str">
        <f>TEXT(WEEKDAY(DATE(Noviembre!CalendarioAño,1,1),1),"ddd")</f>
        <v>jue</v>
      </c>
      <c r="D98" s="16" t="str">
        <f>TEXT(WEEKDAY(DATE(Noviembre!CalendarioAño,1,2),1),"ddd")</f>
        <v>vie</v>
      </c>
      <c r="E98" s="16" t="str">
        <f>TEXT(WEEKDAY(DATE(Noviembre!CalendarioAño,1,3),1),"ddd")</f>
        <v>sáb</v>
      </c>
      <c r="F98" s="16" t="str">
        <f>TEXT(WEEKDAY(DATE(Noviembre!CalendarioAño,1,4),1),"ddd")</f>
        <v>dom</v>
      </c>
      <c r="G98" s="16" t="str">
        <f>TEXT(WEEKDAY(DATE(Noviembre!CalendarioAño,1,5),1),"ddd")</f>
        <v>lun</v>
      </c>
      <c r="H98" s="16" t="str">
        <f>TEXT(WEEKDAY(DATE(Noviembre!CalendarioAño,1,6),1),"ddd")</f>
        <v>mar</v>
      </c>
      <c r="I98" s="16" t="str">
        <f>TEXT(WEEKDAY(DATE(Noviembre!CalendarioAño,1,7),1),"ddd")</f>
        <v>mié</v>
      </c>
      <c r="J98" s="16" t="str">
        <f>TEXT(WEEKDAY(DATE(Noviembre!CalendarioAño,1,8),1),"ddd")</f>
        <v>jue</v>
      </c>
      <c r="K98" s="16" t="str">
        <f>TEXT(WEEKDAY(DATE(Noviembre!CalendarioAño,1,9),1),"ddd")</f>
        <v>vie</v>
      </c>
      <c r="L98" s="16" t="str">
        <f>TEXT(WEEKDAY(DATE(Noviembre!CalendarioAño,1,10),1),"ddd")</f>
        <v>sáb</v>
      </c>
      <c r="M98" s="16" t="str">
        <f>TEXT(WEEKDAY(DATE(Noviembre!CalendarioAño,1,11),1),"ddd")</f>
        <v>dom</v>
      </c>
      <c r="N98" s="16" t="str">
        <f>TEXT(WEEKDAY(DATE(Noviembre!CalendarioAño,1,12),1),"ddd")</f>
        <v>lun</v>
      </c>
      <c r="O98" s="16" t="str">
        <f>TEXT(WEEKDAY(DATE(Noviembre!CalendarioAño,1,13),1),"ddd")</f>
        <v>mar</v>
      </c>
      <c r="P98" s="16" t="str">
        <f>TEXT(WEEKDAY(DATE(Noviembre!CalendarioAño,1,14),1),"ddd")</f>
        <v>mié</v>
      </c>
      <c r="Q98" s="16" t="str">
        <f>TEXT(WEEKDAY(DATE(Noviembre!CalendarioAño,1,15),1),"ddd")</f>
        <v>jue</v>
      </c>
      <c r="R98" s="16" t="str">
        <f>TEXT(WEEKDAY(DATE(Noviembre!CalendarioAño,1,16),1),"ddd")</f>
        <v>vie</v>
      </c>
      <c r="S98" s="16" t="str">
        <f>TEXT(WEEKDAY(DATE(Noviembre!CalendarioAño,1,17),1),"ddd")</f>
        <v>sáb</v>
      </c>
      <c r="T98" s="16" t="str">
        <f>TEXT(WEEKDAY(DATE(Noviembre!CalendarioAño,1,18),1),"ddd")</f>
        <v>dom</v>
      </c>
      <c r="U98" s="16" t="str">
        <f>TEXT(WEEKDAY(DATE(Noviembre!CalendarioAño,1,19),1),"ddd")</f>
        <v>lun</v>
      </c>
      <c r="V98" s="16" t="str">
        <f>TEXT(WEEKDAY(DATE(Noviembre!CalendarioAño,1,20),1),"ddd")</f>
        <v>mar</v>
      </c>
      <c r="W98" s="16" t="str">
        <f>TEXT(WEEKDAY(DATE(Noviembre!CalendarioAño,1,21),1),"ddd")</f>
        <v>mié</v>
      </c>
      <c r="X98" s="16" t="str">
        <f>TEXT(WEEKDAY(DATE(Noviembre!CalendarioAño,1,22),1),"ddd")</f>
        <v>jue</v>
      </c>
      <c r="Y98" s="16" t="str">
        <f>TEXT(WEEKDAY(DATE(Noviembre!CalendarioAño,1,23),1),"ddd")</f>
        <v>vie</v>
      </c>
      <c r="Z98" s="16" t="str">
        <f>TEXT(WEEKDAY(DATE(Noviembre!CalendarioAño,1,24),1),"ddd")</f>
        <v>sáb</v>
      </c>
      <c r="AA98" s="16" t="str">
        <f>TEXT(WEEKDAY(DATE(Noviembre!CalendarioAño,1,25),1),"ddd")</f>
        <v>dom</v>
      </c>
      <c r="AB98" s="16" t="str">
        <f>TEXT(WEEKDAY(DATE(Noviembre!CalendarioAño,1,26),1),"ddd")</f>
        <v>lun</v>
      </c>
      <c r="AC98" s="16" t="str">
        <f>TEXT(WEEKDAY(DATE(Noviembre!CalendarioAño,1,27),1),"ddd")</f>
        <v>mar</v>
      </c>
      <c r="AD98" s="16" t="str">
        <f>TEXT(WEEKDAY(DATE(Noviembre!CalendarioAño,1,28),1),"ddd")</f>
        <v>mié</v>
      </c>
      <c r="AE98" s="16" t="str">
        <f>TEXT(WEEKDAY(DATE(Noviembre!CalendarioAño,1,29),1),"ddd")</f>
        <v>jue</v>
      </c>
      <c r="AF98" s="16" t="str">
        <f>TEXT(WEEKDAY(DATE(Noviembre!CalendarioAño,1,30),1),"ddd")</f>
        <v>vie</v>
      </c>
      <c r="AG98" s="16" t="str">
        <f>TEXT(WEEKDAY(DATE(Noviembre!CalendarioAño,1,31),1),"ddd")</f>
        <v>sáb</v>
      </c>
      <c r="AH98" s="30"/>
      <c r="AI98" s="14"/>
      <c r="AJ98" s="14"/>
    </row>
    <row r="99" ht="30.0" customHeight="1">
      <c r="A99" s="17"/>
      <c r="B99" s="31" t="s">
        <v>14</v>
      </c>
      <c r="C99" s="19" t="s">
        <v>15</v>
      </c>
      <c r="D99" s="19" t="s">
        <v>16</v>
      </c>
      <c r="E99" s="19" t="s">
        <v>17</v>
      </c>
      <c r="F99" s="19" t="s">
        <v>18</v>
      </c>
      <c r="G99" s="19" t="s">
        <v>19</v>
      </c>
      <c r="H99" s="19" t="s">
        <v>20</v>
      </c>
      <c r="I99" s="19" t="s">
        <v>21</v>
      </c>
      <c r="J99" s="19" t="s">
        <v>22</v>
      </c>
      <c r="K99" s="19" t="s">
        <v>23</v>
      </c>
      <c r="L99" s="19" t="s">
        <v>24</v>
      </c>
      <c r="M99" s="19" t="s">
        <v>25</v>
      </c>
      <c r="N99" s="19" t="s">
        <v>26</v>
      </c>
      <c r="O99" s="19" t="s">
        <v>27</v>
      </c>
      <c r="P99" s="19" t="s">
        <v>28</v>
      </c>
      <c r="Q99" s="19" t="s">
        <v>29</v>
      </c>
      <c r="R99" s="19" t="s">
        <v>30</v>
      </c>
      <c r="S99" s="19" t="s">
        <v>31</v>
      </c>
      <c r="T99" s="19" t="s">
        <v>32</v>
      </c>
      <c r="U99" s="19" t="s">
        <v>33</v>
      </c>
      <c r="V99" s="19" t="s">
        <v>34</v>
      </c>
      <c r="W99" s="19" t="s">
        <v>35</v>
      </c>
      <c r="X99" s="19" t="s">
        <v>36</v>
      </c>
      <c r="Y99" s="19" t="s">
        <v>37</v>
      </c>
      <c r="Z99" s="19" t="s">
        <v>38</v>
      </c>
      <c r="AA99" s="19" t="s">
        <v>39</v>
      </c>
      <c r="AB99" s="19" t="s">
        <v>40</v>
      </c>
      <c r="AC99" s="19" t="s">
        <v>41</v>
      </c>
      <c r="AD99" s="19" t="s">
        <v>42</v>
      </c>
      <c r="AE99" s="19" t="s">
        <v>43</v>
      </c>
      <c r="AF99" s="19" t="s">
        <v>44</v>
      </c>
      <c r="AG99" s="19" t="s">
        <v>45</v>
      </c>
      <c r="AH99" s="19" t="s">
        <v>46</v>
      </c>
      <c r="AI99" s="19"/>
      <c r="AJ99" s="19"/>
    </row>
    <row r="100" ht="30.0" customHeight="1">
      <c r="B100" s="32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23"/>
      <c r="AI100" s="23"/>
      <c r="AJ100" s="23"/>
    </row>
    <row r="101" ht="30.0" customHeight="1">
      <c r="B101" s="32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23"/>
      <c r="AI101" s="23"/>
      <c r="AJ101" s="23"/>
    </row>
    <row r="102" ht="30.0" customHeight="1">
      <c r="B102" s="32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23"/>
      <c r="AI102" s="23"/>
      <c r="AJ102" s="23"/>
    </row>
    <row r="103" ht="30.0" customHeight="1">
      <c r="B103" s="32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23"/>
      <c r="AI103" s="23"/>
      <c r="AJ103" s="23"/>
    </row>
    <row r="104" ht="30.0" customHeight="1">
      <c r="B104" s="32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23"/>
      <c r="AI104" s="23"/>
      <c r="AJ104" s="23"/>
    </row>
    <row r="105" ht="30.0" customHeight="1">
      <c r="B105" s="32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23"/>
      <c r="AI105" s="23"/>
      <c r="AJ105" s="23"/>
    </row>
    <row r="106" ht="30.0" customHeight="1">
      <c r="B106" s="32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23"/>
      <c r="AI106" s="23"/>
      <c r="AJ106" s="23"/>
    </row>
    <row r="107" ht="30.0" customHeight="1">
      <c r="B107" s="32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23"/>
      <c r="AI107" s="23"/>
      <c r="AJ107" s="23"/>
    </row>
    <row r="108" ht="30.0" customHeight="1">
      <c r="B108" s="32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23"/>
      <c r="AI108" s="23"/>
      <c r="AJ108" s="23"/>
    </row>
    <row r="109" ht="30.0" customHeight="1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23"/>
      <c r="AI109" s="23"/>
      <c r="AJ109" s="23"/>
    </row>
    <row r="110" ht="30.0" customHeight="1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23"/>
      <c r="AI110" s="23"/>
      <c r="AJ110" s="23"/>
    </row>
    <row r="111" ht="30.0" customHeight="1">
      <c r="A111" s="50"/>
      <c r="B111" s="5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23"/>
      <c r="AI111" s="23"/>
      <c r="AJ111" s="23"/>
    </row>
    <row r="112" ht="30.0" customHeight="1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23"/>
      <c r="AI112" s="23"/>
      <c r="AJ112" s="23"/>
    </row>
    <row r="113" ht="30.0" customHeight="1">
      <c r="A113" s="50"/>
      <c r="B113" s="5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23"/>
      <c r="AI113" s="23"/>
      <c r="AJ113" s="23"/>
    </row>
    <row r="114" ht="30.0" customHeight="1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23"/>
      <c r="AI114" s="23"/>
      <c r="AJ114" s="23"/>
    </row>
    <row r="115" ht="30.0" customHeight="1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23"/>
      <c r="AI115" s="23"/>
      <c r="AJ115" s="23"/>
    </row>
    <row r="116" ht="30.0" customHeight="1">
      <c r="A116" s="50"/>
      <c r="B116" s="5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23"/>
      <c r="AI116" s="23"/>
      <c r="AJ116" s="23"/>
    </row>
    <row r="117" ht="30.0" customHeight="1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23"/>
      <c r="AI117" s="23"/>
      <c r="AJ117" s="23"/>
    </row>
    <row r="118" ht="30.0" customHeight="1">
      <c r="A118" s="50"/>
      <c r="B118" s="5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23"/>
      <c r="AI118" s="23"/>
      <c r="AJ118" s="23"/>
    </row>
    <row r="119" ht="30.0" customHeight="1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23"/>
      <c r="AI119" s="23"/>
      <c r="AJ119" s="23"/>
    </row>
    <row r="120" ht="30.0" customHeight="1">
      <c r="A120" s="50"/>
      <c r="B120" s="71"/>
      <c r="C120" s="36"/>
      <c r="D120" s="36"/>
      <c r="E120" s="36"/>
      <c r="F120" s="36"/>
      <c r="G120" s="36"/>
      <c r="H120" s="36"/>
      <c r="I120" s="36"/>
      <c r="J120" s="36"/>
      <c r="K120" s="52"/>
      <c r="L120" s="43"/>
      <c r="M120" s="43"/>
      <c r="N120" s="36"/>
      <c r="O120" s="43"/>
      <c r="P120" s="43"/>
      <c r="Q120" s="36"/>
      <c r="R120" s="36"/>
      <c r="S120" s="36"/>
      <c r="T120" s="43"/>
      <c r="U120" s="36"/>
      <c r="V120" s="36"/>
      <c r="W120" s="36"/>
      <c r="X120" s="36"/>
      <c r="Y120" s="36"/>
      <c r="Z120" s="36"/>
      <c r="AA120" s="43"/>
      <c r="AB120" s="36"/>
      <c r="AC120" s="36"/>
      <c r="AD120" s="36"/>
      <c r="AE120" s="36"/>
      <c r="AF120" s="33"/>
      <c r="AG120" s="36"/>
      <c r="AH120" s="23"/>
      <c r="AI120" s="23"/>
      <c r="AJ120" s="23"/>
    </row>
    <row r="121" ht="30.0" customHeight="1">
      <c r="B121" s="48" t="str">
        <f>Noviembre!MonthName&amp;" Total"</f>
        <v>Enero Total</v>
      </c>
      <c r="C121" s="25">
        <f>SUBTOTAL(103,Noviembre!$C$7)</f>
        <v>0</v>
      </c>
      <c r="D121" s="25">
        <f>SUBTOTAL(103,Noviembre!$D$7)</f>
        <v>0</v>
      </c>
      <c r="E121" s="25">
        <f>SUBTOTAL(103,Noviembre!$E$7)</f>
        <v>0</v>
      </c>
      <c r="F121" s="25"/>
      <c r="G121" s="25"/>
      <c r="H121" s="25">
        <f>SUBTOTAL(103,Noviembre!$H$7)</f>
        <v>0</v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</row>
    <row r="122" ht="30.0" customHeight="1">
      <c r="AH122" s="5"/>
      <c r="AI122" s="5"/>
      <c r="AJ122" s="5"/>
    </row>
    <row r="123" ht="30.0" customHeight="1">
      <c r="B123" s="30" t="s">
        <v>12</v>
      </c>
      <c r="C123" s="27" t="s">
        <v>140</v>
      </c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39">
        <v>2026.0</v>
      </c>
      <c r="AI123" s="15"/>
      <c r="AJ123" s="15"/>
    </row>
    <row r="124" ht="30.0" customHeight="1">
      <c r="B124" s="30"/>
      <c r="C124" s="16" t="str">
        <f>TEXT(WEEKDAY(DATE(Noviembre!CalendarioAño,1,1),1),"ddd")</f>
        <v>jue</v>
      </c>
      <c r="D124" s="16" t="str">
        <f>TEXT(WEEKDAY(DATE(Noviembre!CalendarioAño,1,2),1),"ddd")</f>
        <v>vie</v>
      </c>
      <c r="E124" s="16" t="str">
        <f>TEXT(WEEKDAY(DATE(Noviembre!CalendarioAño,1,3),1),"ddd")</f>
        <v>sáb</v>
      </c>
      <c r="F124" s="16" t="str">
        <f>TEXT(WEEKDAY(DATE(Noviembre!CalendarioAño,1,4),1),"ddd")</f>
        <v>dom</v>
      </c>
      <c r="G124" s="16" t="str">
        <f>TEXT(WEEKDAY(DATE(Noviembre!CalendarioAño,1,5),1),"ddd")</f>
        <v>lun</v>
      </c>
      <c r="H124" s="16" t="str">
        <f>TEXT(WEEKDAY(DATE(Noviembre!CalendarioAño,1,6),1),"ddd")</f>
        <v>mar</v>
      </c>
      <c r="I124" s="16" t="str">
        <f>TEXT(WEEKDAY(DATE(Noviembre!CalendarioAño,1,7),1),"ddd")</f>
        <v>mié</v>
      </c>
      <c r="J124" s="16" t="str">
        <f>TEXT(WEEKDAY(DATE(Noviembre!CalendarioAño,1,8),1),"ddd")</f>
        <v>jue</v>
      </c>
      <c r="K124" s="16" t="str">
        <f>TEXT(WEEKDAY(DATE(Noviembre!CalendarioAño,1,9),1),"ddd")</f>
        <v>vie</v>
      </c>
      <c r="L124" s="16" t="str">
        <f>TEXT(WEEKDAY(DATE(Noviembre!CalendarioAño,1,10),1),"ddd")</f>
        <v>sáb</v>
      </c>
      <c r="M124" s="16" t="str">
        <f>TEXT(WEEKDAY(DATE(Noviembre!CalendarioAño,1,11),1),"ddd")</f>
        <v>dom</v>
      </c>
      <c r="N124" s="16" t="str">
        <f>TEXT(WEEKDAY(DATE(Noviembre!CalendarioAño,1,12),1),"ddd")</f>
        <v>lun</v>
      </c>
      <c r="O124" s="16" t="str">
        <f>TEXT(WEEKDAY(DATE(Noviembre!CalendarioAño,1,13),1),"ddd")</f>
        <v>mar</v>
      </c>
      <c r="P124" s="16" t="str">
        <f>TEXT(WEEKDAY(DATE(Noviembre!CalendarioAño,1,14),1),"ddd")</f>
        <v>mié</v>
      </c>
      <c r="Q124" s="16" t="str">
        <f>TEXT(WEEKDAY(DATE(Noviembre!CalendarioAño,1,15),1),"ddd")</f>
        <v>jue</v>
      </c>
      <c r="R124" s="16" t="str">
        <f>TEXT(WEEKDAY(DATE(Noviembre!CalendarioAño,1,16),1),"ddd")</f>
        <v>vie</v>
      </c>
      <c r="S124" s="16" t="str">
        <f>TEXT(WEEKDAY(DATE(Noviembre!CalendarioAño,1,17),1),"ddd")</f>
        <v>sáb</v>
      </c>
      <c r="T124" s="16" t="str">
        <f>TEXT(WEEKDAY(DATE(Noviembre!CalendarioAño,1,18),1),"ddd")</f>
        <v>dom</v>
      </c>
      <c r="U124" s="16" t="str">
        <f>TEXT(WEEKDAY(DATE(Noviembre!CalendarioAño,1,19),1),"ddd")</f>
        <v>lun</v>
      </c>
      <c r="V124" s="16" t="str">
        <f>TEXT(WEEKDAY(DATE(Noviembre!CalendarioAño,1,20),1),"ddd")</f>
        <v>mar</v>
      </c>
      <c r="W124" s="16" t="str">
        <f>TEXT(WEEKDAY(DATE(Noviembre!CalendarioAño,1,21),1),"ddd")</f>
        <v>mié</v>
      </c>
      <c r="X124" s="16" t="str">
        <f>TEXT(WEEKDAY(DATE(Noviembre!CalendarioAño,1,22),1),"ddd")</f>
        <v>jue</v>
      </c>
      <c r="Y124" s="16" t="str">
        <f>TEXT(WEEKDAY(DATE(Noviembre!CalendarioAño,1,23),1),"ddd")</f>
        <v>vie</v>
      </c>
      <c r="Z124" s="16" t="str">
        <f>TEXT(WEEKDAY(DATE(Noviembre!CalendarioAño,1,24),1),"ddd")</f>
        <v>sáb</v>
      </c>
      <c r="AA124" s="16" t="str">
        <f>TEXT(WEEKDAY(DATE(Noviembre!CalendarioAño,1,25),1),"ddd")</f>
        <v>dom</v>
      </c>
      <c r="AB124" s="16" t="str">
        <f>TEXT(WEEKDAY(DATE(Noviembre!CalendarioAño,1,26),1),"ddd")</f>
        <v>lun</v>
      </c>
      <c r="AC124" s="16" t="str">
        <f>TEXT(WEEKDAY(DATE(Noviembre!CalendarioAño,1,27),1),"ddd")</f>
        <v>mar</v>
      </c>
      <c r="AD124" s="16" t="str">
        <f>TEXT(WEEKDAY(DATE(Noviembre!CalendarioAño,1,28),1),"ddd")</f>
        <v>mié</v>
      </c>
      <c r="AE124" s="16" t="str">
        <f>TEXT(WEEKDAY(DATE(Noviembre!CalendarioAño,1,29),1),"ddd")</f>
        <v>jue</v>
      </c>
      <c r="AF124" s="16" t="str">
        <f>TEXT(WEEKDAY(DATE(Noviembre!CalendarioAño,1,30),1),"ddd")</f>
        <v>vie</v>
      </c>
      <c r="AG124" s="16" t="str">
        <f>TEXT(WEEKDAY(DATE(Noviembre!CalendarioAño,1,31),1),"ddd")</f>
        <v>sáb</v>
      </c>
      <c r="AH124" s="30"/>
      <c r="AI124" s="14"/>
      <c r="AJ124" s="14"/>
    </row>
    <row r="125" ht="30.0" customHeight="1">
      <c r="A125" s="17"/>
      <c r="B125" s="31" t="s">
        <v>14</v>
      </c>
      <c r="C125" s="19" t="s">
        <v>15</v>
      </c>
      <c r="D125" s="19" t="s">
        <v>16</v>
      </c>
      <c r="E125" s="19" t="s">
        <v>17</v>
      </c>
      <c r="F125" s="19" t="s">
        <v>18</v>
      </c>
      <c r="G125" s="19" t="s">
        <v>19</v>
      </c>
      <c r="H125" s="19" t="s">
        <v>20</v>
      </c>
      <c r="I125" s="19" t="s">
        <v>21</v>
      </c>
      <c r="J125" s="19" t="s">
        <v>22</v>
      </c>
      <c r="K125" s="19" t="s">
        <v>23</v>
      </c>
      <c r="L125" s="19" t="s">
        <v>24</v>
      </c>
      <c r="M125" s="19" t="s">
        <v>25</v>
      </c>
      <c r="N125" s="19" t="s">
        <v>26</v>
      </c>
      <c r="O125" s="19" t="s">
        <v>27</v>
      </c>
      <c r="P125" s="19" t="s">
        <v>28</v>
      </c>
      <c r="Q125" s="19" t="s">
        <v>29</v>
      </c>
      <c r="R125" s="19" t="s">
        <v>30</v>
      </c>
      <c r="S125" s="19" t="s">
        <v>31</v>
      </c>
      <c r="T125" s="19" t="s">
        <v>32</v>
      </c>
      <c r="U125" s="19" t="s">
        <v>33</v>
      </c>
      <c r="V125" s="19" t="s">
        <v>34</v>
      </c>
      <c r="W125" s="19" t="s">
        <v>35</v>
      </c>
      <c r="X125" s="19" t="s">
        <v>36</v>
      </c>
      <c r="Y125" s="19" t="s">
        <v>37</v>
      </c>
      <c r="Z125" s="19" t="s">
        <v>38</v>
      </c>
      <c r="AA125" s="19" t="s">
        <v>39</v>
      </c>
      <c r="AB125" s="19" t="s">
        <v>40</v>
      </c>
      <c r="AC125" s="19" t="s">
        <v>41</v>
      </c>
      <c r="AD125" s="19" t="s">
        <v>42</v>
      </c>
      <c r="AE125" s="19" t="s">
        <v>43</v>
      </c>
      <c r="AF125" s="19" t="s">
        <v>44</v>
      </c>
      <c r="AG125" s="19" t="s">
        <v>45</v>
      </c>
      <c r="AH125" s="19" t="s">
        <v>46</v>
      </c>
      <c r="AI125" s="19"/>
      <c r="AJ125" s="19"/>
    </row>
    <row r="126" ht="30.0" customHeight="1">
      <c r="B126" s="40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23"/>
      <c r="AI126" s="23"/>
      <c r="AJ126" s="23"/>
    </row>
    <row r="127" ht="30.0" customHeight="1">
      <c r="B127" s="32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23"/>
      <c r="AI127" s="23"/>
      <c r="AJ127" s="23"/>
    </row>
    <row r="128" ht="30.0" customHeight="1">
      <c r="B128" s="32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23"/>
      <c r="AI128" s="23"/>
      <c r="AJ128" s="23"/>
    </row>
    <row r="129" ht="30.0" customHeight="1">
      <c r="B129" s="32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23"/>
      <c r="AI129" s="23"/>
      <c r="AJ129" s="23"/>
    </row>
    <row r="130" ht="30.0" customHeight="1">
      <c r="B130" s="32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23"/>
      <c r="AI130" s="23"/>
      <c r="AJ130" s="23"/>
    </row>
    <row r="131" ht="30.0" customHeight="1">
      <c r="B131" s="40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23"/>
      <c r="AI131" s="23"/>
      <c r="AJ131" s="23"/>
    </row>
    <row r="132" ht="30.0" customHeight="1">
      <c r="B132" s="32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23"/>
      <c r="AI132" s="23"/>
      <c r="AJ132" s="23"/>
    </row>
    <row r="133" ht="30.0" customHeight="1">
      <c r="B133" s="32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23"/>
      <c r="AI133" s="23"/>
      <c r="AJ133" s="23"/>
    </row>
    <row r="134" ht="30.0" customHeight="1">
      <c r="B134" s="32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23"/>
      <c r="AI134" s="23"/>
      <c r="AJ134" s="23"/>
    </row>
    <row r="135" ht="30.0" customHeight="1">
      <c r="B135" s="32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23"/>
      <c r="AI135" s="23"/>
      <c r="AJ135" s="23"/>
    </row>
    <row r="136" ht="30.0" customHeight="1">
      <c r="B136" s="32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23"/>
      <c r="AI136" s="23"/>
      <c r="AJ136" s="23"/>
    </row>
    <row r="137" ht="30.0" customHeight="1">
      <c r="B137" s="32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23"/>
      <c r="AI137" s="23"/>
      <c r="AJ137" s="23"/>
    </row>
    <row r="138" ht="30.0" customHeight="1">
      <c r="B138" s="32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23"/>
      <c r="AI138" s="23"/>
      <c r="AJ138" s="23"/>
    </row>
    <row r="139" ht="30.0" customHeight="1">
      <c r="B139" s="32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23"/>
      <c r="AI139" s="23"/>
      <c r="AJ139" s="23"/>
    </row>
    <row r="140" ht="30.0" customHeight="1">
      <c r="B140" s="32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23"/>
      <c r="AI140" s="23"/>
      <c r="AJ140" s="23"/>
    </row>
    <row r="141" ht="30.0" customHeight="1">
      <c r="B141" s="32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23"/>
      <c r="AI141" s="23"/>
      <c r="AJ141" s="23"/>
    </row>
    <row r="142" ht="30.0" customHeight="1">
      <c r="B142" s="32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25"/>
      <c r="AI142" s="25"/>
      <c r="AJ142" s="25"/>
    </row>
    <row r="143" ht="30.0" customHeight="1">
      <c r="B143" s="32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25"/>
      <c r="AI143" s="25"/>
      <c r="AJ143" s="25"/>
    </row>
    <row r="144" ht="30.0" customHeight="1">
      <c r="B144" s="32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25"/>
      <c r="AI144" s="25"/>
      <c r="AJ144" s="25"/>
    </row>
    <row r="145" ht="30.0" customHeight="1">
      <c r="B145" s="48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25"/>
      <c r="AI145" s="25"/>
      <c r="AJ145" s="25"/>
    </row>
    <row r="146" ht="30.0" customHeight="1">
      <c r="B146" s="48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</row>
    <row r="147" ht="30.0" customHeight="1">
      <c r="B147" s="48" t="str">
        <f>Noviembre!MonthName&amp;" Total"</f>
        <v>Enero Total</v>
      </c>
      <c r="C147" s="25">
        <f>SUBTOTAL(103,Noviembre!$C$7)</f>
        <v>0</v>
      </c>
      <c r="D147" s="25">
        <f>SUBTOTAL(103,Noviembre!$D$7)</f>
        <v>0</v>
      </c>
      <c r="E147" s="25">
        <f>SUBTOTAL(103,Noviembre!$E$7)</f>
        <v>0</v>
      </c>
      <c r="F147" s="25"/>
      <c r="G147" s="25"/>
      <c r="H147" s="25">
        <f>SUBTOTAL(103,Noviembre!$H$7)</f>
        <v>0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>
        <f>SUBTOTAL(103,Noviembre!$AE$7)</f>
        <v>0</v>
      </c>
      <c r="AF147" s="25">
        <f>SUBTOTAL(103,Noviembre!$AF$7)</f>
        <v>0</v>
      </c>
      <c r="AG147" s="25">
        <f>SUBTOTAL(103,Noviembre!$AG$7)</f>
        <v>0</v>
      </c>
      <c r="AH147" s="25">
        <f>SUM(C147:AG147)</f>
        <v>0</v>
      </c>
      <c r="AI147" s="25"/>
      <c r="AJ147" s="25"/>
    </row>
    <row r="148" ht="30.0" customHeight="1">
      <c r="AH148" s="5"/>
      <c r="AI148" s="5"/>
      <c r="AJ148" s="5"/>
    </row>
    <row r="149" ht="30.0" customHeight="1">
      <c r="B149" s="30" t="s">
        <v>12</v>
      </c>
      <c r="C149" s="27" t="s">
        <v>160</v>
      </c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39">
        <v>2026.0</v>
      </c>
      <c r="AI149" s="15"/>
      <c r="AJ149" s="15"/>
    </row>
    <row r="150" ht="30.0" customHeight="1">
      <c r="B150" s="30"/>
      <c r="C150" s="16" t="str">
        <f>TEXT(WEEKDAY(DATE(Noviembre!CalendarioAño,1,1),1),"ddd")</f>
        <v>jue</v>
      </c>
      <c r="D150" s="16" t="str">
        <f>TEXT(WEEKDAY(DATE(Noviembre!CalendarioAño,1,2),1),"ddd")</f>
        <v>vie</v>
      </c>
      <c r="E150" s="16" t="str">
        <f>TEXT(WEEKDAY(DATE(Noviembre!CalendarioAño,1,3),1),"ddd")</f>
        <v>sáb</v>
      </c>
      <c r="F150" s="16" t="str">
        <f>TEXT(WEEKDAY(DATE(Noviembre!CalendarioAño,1,4),1),"ddd")</f>
        <v>dom</v>
      </c>
      <c r="G150" s="16" t="str">
        <f>TEXT(WEEKDAY(DATE(Noviembre!CalendarioAño,1,5),1),"ddd")</f>
        <v>lun</v>
      </c>
      <c r="H150" s="16" t="str">
        <f>TEXT(WEEKDAY(DATE(Noviembre!CalendarioAño,1,6),1),"ddd")</f>
        <v>mar</v>
      </c>
      <c r="I150" s="16" t="str">
        <f>TEXT(WEEKDAY(DATE(Noviembre!CalendarioAño,1,7),1),"ddd")</f>
        <v>mié</v>
      </c>
      <c r="J150" s="16" t="str">
        <f>TEXT(WEEKDAY(DATE(Noviembre!CalendarioAño,1,8),1),"ddd")</f>
        <v>jue</v>
      </c>
      <c r="K150" s="16" t="str">
        <f>TEXT(WEEKDAY(DATE(Noviembre!CalendarioAño,1,9),1),"ddd")</f>
        <v>vie</v>
      </c>
      <c r="L150" s="16" t="str">
        <f>TEXT(WEEKDAY(DATE(Noviembre!CalendarioAño,1,10),1),"ddd")</f>
        <v>sáb</v>
      </c>
      <c r="M150" s="16" t="str">
        <f>TEXT(WEEKDAY(DATE(Noviembre!CalendarioAño,1,11),1),"ddd")</f>
        <v>dom</v>
      </c>
      <c r="N150" s="16" t="str">
        <f>TEXT(WEEKDAY(DATE(Noviembre!CalendarioAño,1,12),1),"ddd")</f>
        <v>lun</v>
      </c>
      <c r="O150" s="16" t="str">
        <f>TEXT(WEEKDAY(DATE(Noviembre!CalendarioAño,1,13),1),"ddd")</f>
        <v>mar</v>
      </c>
      <c r="P150" s="16" t="str">
        <f>TEXT(WEEKDAY(DATE(Noviembre!CalendarioAño,1,14),1),"ddd")</f>
        <v>mié</v>
      </c>
      <c r="Q150" s="16" t="str">
        <f>TEXT(WEEKDAY(DATE(Noviembre!CalendarioAño,1,15),1),"ddd")</f>
        <v>jue</v>
      </c>
      <c r="R150" s="16" t="str">
        <f>TEXT(WEEKDAY(DATE(Noviembre!CalendarioAño,1,16),1),"ddd")</f>
        <v>vie</v>
      </c>
      <c r="S150" s="16" t="str">
        <f>TEXT(WEEKDAY(DATE(Noviembre!CalendarioAño,1,17),1),"ddd")</f>
        <v>sáb</v>
      </c>
      <c r="T150" s="16" t="str">
        <f>TEXT(WEEKDAY(DATE(Noviembre!CalendarioAño,1,18),1),"ddd")</f>
        <v>dom</v>
      </c>
      <c r="U150" s="16" t="str">
        <f>TEXT(WEEKDAY(DATE(Noviembre!CalendarioAño,1,19),1),"ddd")</f>
        <v>lun</v>
      </c>
      <c r="V150" s="16" t="str">
        <f>TEXT(WEEKDAY(DATE(Noviembre!CalendarioAño,1,20),1),"ddd")</f>
        <v>mar</v>
      </c>
      <c r="W150" s="16" t="str">
        <f>TEXT(WEEKDAY(DATE(Noviembre!CalendarioAño,1,21),1),"ddd")</f>
        <v>mié</v>
      </c>
      <c r="X150" s="16" t="str">
        <f>TEXT(WEEKDAY(DATE(Noviembre!CalendarioAño,1,22),1),"ddd")</f>
        <v>jue</v>
      </c>
      <c r="Y150" s="16" t="str">
        <f>TEXT(WEEKDAY(DATE(Noviembre!CalendarioAño,1,23),1),"ddd")</f>
        <v>vie</v>
      </c>
      <c r="Z150" s="16" t="str">
        <f>TEXT(WEEKDAY(DATE(Noviembre!CalendarioAño,1,24),1),"ddd")</f>
        <v>sáb</v>
      </c>
      <c r="AA150" s="16" t="str">
        <f>TEXT(WEEKDAY(DATE(Noviembre!CalendarioAño,1,25),1),"ddd")</f>
        <v>dom</v>
      </c>
      <c r="AB150" s="16" t="str">
        <f>TEXT(WEEKDAY(DATE(Noviembre!CalendarioAño,1,26),1),"ddd")</f>
        <v>lun</v>
      </c>
      <c r="AC150" s="16" t="str">
        <f>TEXT(WEEKDAY(DATE(Noviembre!CalendarioAño,1,27),1),"ddd")</f>
        <v>mar</v>
      </c>
      <c r="AD150" s="16" t="str">
        <f>TEXT(WEEKDAY(DATE(Noviembre!CalendarioAño,1,28),1),"ddd")</f>
        <v>mié</v>
      </c>
      <c r="AE150" s="16" t="str">
        <f>TEXT(WEEKDAY(DATE(Noviembre!CalendarioAño,1,29),1),"ddd")</f>
        <v>jue</v>
      </c>
      <c r="AF150" s="16" t="str">
        <f>TEXT(WEEKDAY(DATE(Noviembre!CalendarioAño,1,30),1),"ddd")</f>
        <v>vie</v>
      </c>
      <c r="AG150" s="16" t="str">
        <f>TEXT(WEEKDAY(DATE(Noviembre!CalendarioAño,1,31),1),"ddd")</f>
        <v>sáb</v>
      </c>
      <c r="AH150" s="30"/>
      <c r="AI150" s="14"/>
      <c r="AJ150" s="14"/>
    </row>
    <row r="151" ht="30.0" customHeight="1">
      <c r="A151" s="17"/>
      <c r="B151" s="31" t="s">
        <v>14</v>
      </c>
      <c r="C151" s="19" t="s">
        <v>15</v>
      </c>
      <c r="D151" s="19" t="s">
        <v>16</v>
      </c>
      <c r="E151" s="19" t="s">
        <v>17</v>
      </c>
      <c r="F151" s="19" t="s">
        <v>18</v>
      </c>
      <c r="G151" s="19" t="s">
        <v>19</v>
      </c>
      <c r="H151" s="19" t="s">
        <v>20</v>
      </c>
      <c r="I151" s="19" t="s">
        <v>21</v>
      </c>
      <c r="J151" s="19" t="s">
        <v>22</v>
      </c>
      <c r="K151" s="19" t="s">
        <v>23</v>
      </c>
      <c r="L151" s="19" t="s">
        <v>24</v>
      </c>
      <c r="M151" s="19" t="s">
        <v>25</v>
      </c>
      <c r="N151" s="19" t="s">
        <v>26</v>
      </c>
      <c r="O151" s="19" t="s">
        <v>27</v>
      </c>
      <c r="P151" s="19" t="s">
        <v>28</v>
      </c>
      <c r="Q151" s="19" t="s">
        <v>29</v>
      </c>
      <c r="R151" s="19" t="s">
        <v>30</v>
      </c>
      <c r="S151" s="19" t="s">
        <v>31</v>
      </c>
      <c r="T151" s="19" t="s">
        <v>32</v>
      </c>
      <c r="U151" s="19" t="s">
        <v>33</v>
      </c>
      <c r="V151" s="19" t="s">
        <v>34</v>
      </c>
      <c r="W151" s="19" t="s">
        <v>35</v>
      </c>
      <c r="X151" s="19" t="s">
        <v>36</v>
      </c>
      <c r="Y151" s="19" t="s">
        <v>37</v>
      </c>
      <c r="Z151" s="19" t="s">
        <v>38</v>
      </c>
      <c r="AA151" s="19" t="s">
        <v>39</v>
      </c>
      <c r="AB151" s="19" t="s">
        <v>40</v>
      </c>
      <c r="AC151" s="19" t="s">
        <v>41</v>
      </c>
      <c r="AD151" s="19" t="s">
        <v>42</v>
      </c>
      <c r="AE151" s="19" t="s">
        <v>43</v>
      </c>
      <c r="AF151" s="19" t="s">
        <v>44</v>
      </c>
      <c r="AG151" s="19" t="s">
        <v>45</v>
      </c>
      <c r="AH151" s="19" t="s">
        <v>46</v>
      </c>
      <c r="AI151" s="19"/>
      <c r="AJ151" s="19"/>
    </row>
    <row r="152" ht="30.0" customHeight="1">
      <c r="B152" s="32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23"/>
      <c r="AI152" s="23"/>
      <c r="AJ152" s="23"/>
    </row>
    <row r="153" ht="30.0" customHeight="1">
      <c r="B153" s="40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23"/>
      <c r="AI153" s="23"/>
      <c r="AJ153" s="23"/>
    </row>
    <row r="154" ht="30.0" customHeight="1">
      <c r="B154" s="40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23"/>
      <c r="AI154" s="23"/>
      <c r="AJ154" s="23"/>
    </row>
    <row r="155" ht="30.0" customHeight="1">
      <c r="B155" s="32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23"/>
      <c r="AI155" s="23"/>
      <c r="AJ155" s="23"/>
    </row>
    <row r="156" ht="30.0" customHeight="1">
      <c r="B156" s="32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23"/>
      <c r="AI156" s="23"/>
      <c r="AJ156" s="23"/>
    </row>
    <row r="157" ht="30.0" customHeight="1">
      <c r="B157" s="32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23"/>
      <c r="AI157" s="23"/>
      <c r="AJ157" s="23"/>
    </row>
    <row r="158" ht="30.0" customHeight="1">
      <c r="B158" s="32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23"/>
      <c r="AI158" s="23"/>
      <c r="AJ158" s="23"/>
    </row>
    <row r="159" ht="30.0" customHeight="1">
      <c r="B159" s="32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23"/>
      <c r="AI159" s="23"/>
      <c r="AJ159" s="23"/>
    </row>
    <row r="160" ht="30.0" customHeight="1">
      <c r="B160" s="32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23"/>
      <c r="AI160" s="23"/>
      <c r="AJ160" s="23"/>
    </row>
    <row r="161" ht="30.0" customHeight="1">
      <c r="B161" s="32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23"/>
      <c r="AI161" s="23"/>
      <c r="AJ161" s="23"/>
    </row>
    <row r="162" ht="30.0" customHeight="1">
      <c r="B162" s="20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33"/>
      <c r="N162" s="21"/>
      <c r="O162" s="21"/>
      <c r="P162" s="21"/>
      <c r="Q162" s="21"/>
      <c r="R162" s="21"/>
      <c r="S162" s="21"/>
      <c r="T162" s="33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3"/>
      <c r="AI162" s="23"/>
      <c r="AJ162" s="23"/>
    </row>
    <row r="163" ht="30.0" customHeight="1">
      <c r="B163" s="20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33"/>
      <c r="N163" s="21"/>
      <c r="O163" s="21"/>
      <c r="P163" s="21"/>
      <c r="Q163" s="21"/>
      <c r="R163" s="21"/>
      <c r="S163" s="21"/>
      <c r="T163" s="33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3"/>
      <c r="AI163" s="23"/>
      <c r="AJ163" s="23"/>
    </row>
    <row r="164" ht="30.0" customHeight="1">
      <c r="B164" s="48" t="str">
        <f>Noviembre!MonthName&amp;" Total"</f>
        <v>Enero Total</v>
      </c>
      <c r="C164" s="25">
        <f>SUBTOTAL(103,Noviembre!$C$7)</f>
        <v>0</v>
      </c>
      <c r="D164" s="25">
        <f>SUBTOTAL(103,Noviembre!$D$7)</f>
        <v>0</v>
      </c>
      <c r="E164" s="25">
        <f>SUBTOTAL(103,Noviembre!$E$7)</f>
        <v>0</v>
      </c>
      <c r="F164" s="25"/>
      <c r="G164" s="25"/>
      <c r="H164" s="25">
        <f>SUBTOTAL(103,Noviembre!$H$7)</f>
        <v>0</v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>
        <f>SUBTOTAL(103,Noviembre!$Y$7)</f>
        <v>0</v>
      </c>
      <c r="Z164" s="25">
        <f>SUBTOTAL(103,Noviembre!$Z$7)</f>
        <v>0</v>
      </c>
      <c r="AA164" s="25">
        <f>SUBTOTAL(103,Noviembre!$AA$7)</f>
        <v>0</v>
      </c>
      <c r="AB164" s="25">
        <f>SUBTOTAL(103,Noviembre!$AB$7)</f>
        <v>0</v>
      </c>
      <c r="AC164" s="25">
        <f>SUBTOTAL(103,Noviembre!$AC$7)</f>
        <v>0</v>
      </c>
      <c r="AD164" s="25">
        <f>SUBTOTAL(103,Noviembre!$AD$7)</f>
        <v>0</v>
      </c>
      <c r="AE164" s="25">
        <f>SUBTOTAL(103,Noviembre!$AE$7)</f>
        <v>0</v>
      </c>
      <c r="AF164" s="25">
        <f>SUBTOTAL(103,Noviembre!$AF$7)</f>
        <v>0</v>
      </c>
      <c r="AG164" s="25">
        <f>SUBTOTAL(103,Noviembre!$AG$7)</f>
        <v>0</v>
      </c>
      <c r="AH164" s="25">
        <f>SUM(C164:AG164)</f>
        <v>0</v>
      </c>
      <c r="AI164" s="25"/>
      <c r="AJ164" s="25"/>
    </row>
    <row r="165" ht="30.0" customHeight="1">
      <c r="AH165" s="5"/>
      <c r="AI165" s="5"/>
      <c r="AJ165" s="5"/>
    </row>
    <row r="166" ht="30.0" customHeight="1">
      <c r="A166" s="50"/>
      <c r="B166" s="30" t="s">
        <v>12</v>
      </c>
      <c r="C166" s="27" t="s">
        <v>171</v>
      </c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39">
        <v>2026.0</v>
      </c>
      <c r="AI166" s="15"/>
      <c r="AJ166" s="15"/>
    </row>
    <row r="167" ht="30.0" customHeight="1">
      <c r="A167" s="50"/>
      <c r="B167" s="56"/>
      <c r="C167" s="16" t="str">
        <f>TEXT(WEEKDAY(DATE(Noviembre!CalendarioAño,1,1),1),"ddd")</f>
        <v>jue</v>
      </c>
      <c r="D167" s="16" t="str">
        <f>TEXT(WEEKDAY(DATE(Noviembre!CalendarioAño,1,2),1),"ddd")</f>
        <v>vie</v>
      </c>
      <c r="E167" s="16" t="str">
        <f>TEXT(WEEKDAY(DATE(Noviembre!CalendarioAño,1,3),1),"ddd")</f>
        <v>sáb</v>
      </c>
      <c r="F167" s="16" t="str">
        <f>TEXT(WEEKDAY(DATE(Noviembre!CalendarioAño,1,4),1),"ddd")</f>
        <v>dom</v>
      </c>
      <c r="G167" s="16" t="str">
        <f>TEXT(WEEKDAY(DATE(Noviembre!CalendarioAño,1,5),1),"ddd")</f>
        <v>lun</v>
      </c>
      <c r="H167" s="16" t="str">
        <f>TEXT(WEEKDAY(DATE(Noviembre!CalendarioAño,1,6),1),"ddd")</f>
        <v>mar</v>
      </c>
      <c r="I167" s="16" t="str">
        <f>TEXT(WEEKDAY(DATE(Noviembre!CalendarioAño,1,7),1),"ddd")</f>
        <v>mié</v>
      </c>
      <c r="J167" s="16" t="str">
        <f>TEXT(WEEKDAY(DATE(Noviembre!CalendarioAño,1,8),1),"ddd")</f>
        <v>jue</v>
      </c>
      <c r="K167" s="16" t="str">
        <f>TEXT(WEEKDAY(DATE(Noviembre!CalendarioAño,1,9),1),"ddd")</f>
        <v>vie</v>
      </c>
      <c r="L167" s="16" t="str">
        <f>TEXT(WEEKDAY(DATE(Noviembre!CalendarioAño,1,10),1),"ddd")</f>
        <v>sáb</v>
      </c>
      <c r="M167" s="16" t="str">
        <f>TEXT(WEEKDAY(DATE(Noviembre!CalendarioAño,1,11),1),"ddd")</f>
        <v>dom</v>
      </c>
      <c r="N167" s="16" t="str">
        <f>TEXT(WEEKDAY(DATE(Noviembre!CalendarioAño,1,12),1),"ddd")</f>
        <v>lun</v>
      </c>
      <c r="O167" s="16" t="str">
        <f>TEXT(WEEKDAY(DATE(Noviembre!CalendarioAño,1,13),1),"ddd")</f>
        <v>mar</v>
      </c>
      <c r="P167" s="16" t="str">
        <f>TEXT(WEEKDAY(DATE(Noviembre!CalendarioAño,1,14),1),"ddd")</f>
        <v>mié</v>
      </c>
      <c r="Q167" s="16" t="str">
        <f>TEXT(WEEKDAY(DATE(Noviembre!CalendarioAño,1,15),1),"ddd")</f>
        <v>jue</v>
      </c>
      <c r="R167" s="16" t="str">
        <f>TEXT(WEEKDAY(DATE(Noviembre!CalendarioAño,1,16),1),"ddd")</f>
        <v>vie</v>
      </c>
      <c r="S167" s="16" t="str">
        <f>TEXT(WEEKDAY(DATE(Noviembre!CalendarioAño,1,17),1),"ddd")</f>
        <v>sáb</v>
      </c>
      <c r="T167" s="16" t="str">
        <f>TEXT(WEEKDAY(DATE(Noviembre!CalendarioAño,1,18),1),"ddd")</f>
        <v>dom</v>
      </c>
      <c r="U167" s="16" t="str">
        <f>TEXT(WEEKDAY(DATE(Noviembre!CalendarioAño,1,19),1),"ddd")</f>
        <v>lun</v>
      </c>
      <c r="V167" s="16" t="str">
        <f>TEXT(WEEKDAY(DATE(Noviembre!CalendarioAño,1,20),1),"ddd")</f>
        <v>mar</v>
      </c>
      <c r="W167" s="16" t="str">
        <f>TEXT(WEEKDAY(DATE(Noviembre!CalendarioAño,1,21),1),"ddd")</f>
        <v>mié</v>
      </c>
      <c r="X167" s="16" t="str">
        <f>TEXT(WEEKDAY(DATE(Noviembre!CalendarioAño,1,22),1),"ddd")</f>
        <v>jue</v>
      </c>
      <c r="Y167" s="16" t="str">
        <f>TEXT(WEEKDAY(DATE(Noviembre!CalendarioAño,1,23),1),"ddd")</f>
        <v>vie</v>
      </c>
      <c r="Z167" s="16" t="str">
        <f>TEXT(WEEKDAY(DATE(Noviembre!CalendarioAño,1,24),1),"ddd")</f>
        <v>sáb</v>
      </c>
      <c r="AA167" s="16" t="str">
        <f>TEXT(WEEKDAY(DATE(Noviembre!CalendarioAño,1,25),1),"ddd")</f>
        <v>dom</v>
      </c>
      <c r="AB167" s="16" t="str">
        <f>TEXT(WEEKDAY(DATE(Noviembre!CalendarioAño,1,26),1),"ddd")</f>
        <v>lun</v>
      </c>
      <c r="AC167" s="16" t="str">
        <f>TEXT(WEEKDAY(DATE(Noviembre!CalendarioAño,1,27),1),"ddd")</f>
        <v>mar</v>
      </c>
      <c r="AD167" s="16" t="str">
        <f>TEXT(WEEKDAY(DATE(Noviembre!CalendarioAño,1,28),1),"ddd")</f>
        <v>mié</v>
      </c>
      <c r="AE167" s="16" t="str">
        <f>TEXT(WEEKDAY(DATE(Noviembre!CalendarioAño,1,29),1),"ddd")</f>
        <v>jue</v>
      </c>
      <c r="AF167" s="16" t="str">
        <f>TEXT(WEEKDAY(DATE(Noviembre!CalendarioAño,1,30),1),"ddd")</f>
        <v>vie</v>
      </c>
      <c r="AG167" s="16" t="str">
        <f>TEXT(WEEKDAY(DATE(Noviembre!CalendarioAño,1,31),1),"ddd")</f>
        <v>sáb</v>
      </c>
      <c r="AH167" s="57"/>
      <c r="AI167" s="119"/>
      <c r="AJ167" s="119"/>
    </row>
    <row r="168" ht="30.0" customHeight="1">
      <c r="A168" s="18"/>
      <c r="B168" s="31" t="s">
        <v>14</v>
      </c>
      <c r="C168" s="19" t="s">
        <v>15</v>
      </c>
      <c r="D168" s="19" t="s">
        <v>16</v>
      </c>
      <c r="E168" s="19" t="s">
        <v>17</v>
      </c>
      <c r="F168" s="19" t="s">
        <v>18</v>
      </c>
      <c r="G168" s="19" t="s">
        <v>19</v>
      </c>
      <c r="H168" s="19" t="s">
        <v>20</v>
      </c>
      <c r="I168" s="19" t="s">
        <v>21</v>
      </c>
      <c r="J168" s="19" t="s">
        <v>22</v>
      </c>
      <c r="K168" s="19" t="s">
        <v>23</v>
      </c>
      <c r="L168" s="19" t="s">
        <v>24</v>
      </c>
      <c r="M168" s="19" t="s">
        <v>25</v>
      </c>
      <c r="N168" s="19" t="s">
        <v>26</v>
      </c>
      <c r="O168" s="19" t="s">
        <v>27</v>
      </c>
      <c r="P168" s="19" t="s">
        <v>28</v>
      </c>
      <c r="Q168" s="19" t="s">
        <v>29</v>
      </c>
      <c r="R168" s="19" t="s">
        <v>30</v>
      </c>
      <c r="S168" s="19" t="s">
        <v>31</v>
      </c>
      <c r="T168" s="19" t="s">
        <v>32</v>
      </c>
      <c r="U168" s="19" t="s">
        <v>33</v>
      </c>
      <c r="V168" s="19" t="s">
        <v>34</v>
      </c>
      <c r="W168" s="19" t="s">
        <v>35</v>
      </c>
      <c r="X168" s="19" t="s">
        <v>36</v>
      </c>
      <c r="Y168" s="19" t="s">
        <v>37</v>
      </c>
      <c r="Z168" s="19" t="s">
        <v>38</v>
      </c>
      <c r="AA168" s="19" t="s">
        <v>39</v>
      </c>
      <c r="AB168" s="19" t="s">
        <v>40</v>
      </c>
      <c r="AC168" s="19" t="s">
        <v>41</v>
      </c>
      <c r="AD168" s="19" t="s">
        <v>42</v>
      </c>
      <c r="AE168" s="19" t="s">
        <v>43</v>
      </c>
      <c r="AF168" s="19" t="s">
        <v>44</v>
      </c>
      <c r="AG168" s="19" t="s">
        <v>45</v>
      </c>
      <c r="AH168" s="19" t="s">
        <v>46</v>
      </c>
      <c r="AI168" s="19"/>
      <c r="AJ168" s="19"/>
    </row>
    <row r="169" ht="30.0" customHeight="1">
      <c r="A169" s="50"/>
      <c r="B169" s="58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59"/>
      <c r="AI169" s="59"/>
      <c r="AJ169" s="59"/>
    </row>
    <row r="170" ht="30.0" customHeight="1">
      <c r="A170" s="50"/>
      <c r="B170" s="60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59"/>
      <c r="AI170" s="59"/>
      <c r="AJ170" s="59"/>
    </row>
    <row r="171" ht="30.0" customHeight="1">
      <c r="A171" s="50"/>
      <c r="B171" s="58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59"/>
      <c r="AI171" s="59"/>
      <c r="AJ171" s="59"/>
    </row>
    <row r="172" ht="30.0" customHeight="1">
      <c r="A172" s="50"/>
      <c r="B172" s="60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59"/>
      <c r="AI172" s="59"/>
      <c r="AJ172" s="59"/>
    </row>
    <row r="173" ht="30.0" customHeight="1">
      <c r="A173" s="50"/>
      <c r="B173" s="60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59"/>
      <c r="AI173" s="59"/>
      <c r="AJ173" s="59"/>
    </row>
    <row r="174" ht="30.0" customHeight="1">
      <c r="A174" s="50"/>
      <c r="B174" s="58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59"/>
      <c r="AI174" s="59"/>
      <c r="AJ174" s="59"/>
    </row>
    <row r="175" ht="30.0" customHeight="1">
      <c r="A175" s="50"/>
      <c r="B175" s="58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59"/>
      <c r="AI175" s="59"/>
      <c r="AJ175" s="59"/>
    </row>
    <row r="176" ht="30.0" customHeight="1">
      <c r="A176" s="50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59"/>
      <c r="AI176" s="59"/>
      <c r="AJ176" s="59"/>
    </row>
    <row r="177" ht="30.0" customHeight="1">
      <c r="A177" s="50"/>
      <c r="B177" s="62" t="str">
        <f>Noviembre!MonthName&amp;" Total"</f>
        <v>Enero Total</v>
      </c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5"/>
      <c r="AI177" s="65"/>
      <c r="AJ177" s="65"/>
    </row>
    <row r="178" ht="30.0" customHeight="1">
      <c r="B178" s="123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124"/>
      <c r="AI178" s="124"/>
      <c r="AJ178" s="124"/>
    </row>
    <row r="179" ht="30.0" customHeight="1">
      <c r="A179" s="50"/>
      <c r="B179" s="30" t="s">
        <v>12</v>
      </c>
      <c r="C179" s="27" t="s">
        <v>179</v>
      </c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39">
        <v>2026.0</v>
      </c>
      <c r="AI179" s="15"/>
      <c r="AJ179" s="15"/>
    </row>
    <row r="180" ht="30.0" customHeight="1">
      <c r="A180" s="50"/>
      <c r="B180" s="56"/>
      <c r="C180" s="16" t="str">
        <f>TEXT(WEEKDAY(DATE(Noviembre!CalendarioAño,1,1),1),"ddd")</f>
        <v>jue</v>
      </c>
      <c r="D180" s="16" t="str">
        <f>TEXT(WEEKDAY(DATE(Noviembre!CalendarioAño,1,2),1),"ddd")</f>
        <v>vie</v>
      </c>
      <c r="E180" s="16" t="str">
        <f>TEXT(WEEKDAY(DATE(Noviembre!CalendarioAño,1,3),1),"ddd")</f>
        <v>sáb</v>
      </c>
      <c r="F180" s="16" t="str">
        <f>TEXT(WEEKDAY(DATE(Noviembre!CalendarioAño,1,4),1),"ddd")</f>
        <v>dom</v>
      </c>
      <c r="G180" s="16" t="str">
        <f>TEXT(WEEKDAY(DATE(Noviembre!CalendarioAño,1,5),1),"ddd")</f>
        <v>lun</v>
      </c>
      <c r="H180" s="16" t="str">
        <f>TEXT(WEEKDAY(DATE(Noviembre!CalendarioAño,1,6),1),"ddd")</f>
        <v>mar</v>
      </c>
      <c r="I180" s="16" t="str">
        <f>TEXT(WEEKDAY(DATE(Noviembre!CalendarioAño,1,7),1),"ddd")</f>
        <v>mié</v>
      </c>
      <c r="J180" s="16" t="str">
        <f>TEXT(WEEKDAY(DATE(Noviembre!CalendarioAño,1,8),1),"ddd")</f>
        <v>jue</v>
      </c>
      <c r="K180" s="16" t="str">
        <f>TEXT(WEEKDAY(DATE(Noviembre!CalendarioAño,1,9),1),"ddd")</f>
        <v>vie</v>
      </c>
      <c r="L180" s="16" t="str">
        <f>TEXT(WEEKDAY(DATE(Noviembre!CalendarioAño,1,10),1),"ddd")</f>
        <v>sáb</v>
      </c>
      <c r="M180" s="16" t="str">
        <f>TEXT(WEEKDAY(DATE(Noviembre!CalendarioAño,1,11),1),"ddd")</f>
        <v>dom</v>
      </c>
      <c r="N180" s="16" t="str">
        <f>TEXT(WEEKDAY(DATE(Noviembre!CalendarioAño,1,12),1),"ddd")</f>
        <v>lun</v>
      </c>
      <c r="O180" s="16" t="str">
        <f>TEXT(WEEKDAY(DATE(Noviembre!CalendarioAño,1,13),1),"ddd")</f>
        <v>mar</v>
      </c>
      <c r="P180" s="16" t="str">
        <f>TEXT(WEEKDAY(DATE(Noviembre!CalendarioAño,1,14),1),"ddd")</f>
        <v>mié</v>
      </c>
      <c r="Q180" s="16" t="str">
        <f>TEXT(WEEKDAY(DATE(Noviembre!CalendarioAño,1,15),1),"ddd")</f>
        <v>jue</v>
      </c>
      <c r="R180" s="16" t="str">
        <f>TEXT(WEEKDAY(DATE(Noviembre!CalendarioAño,1,16),1),"ddd")</f>
        <v>vie</v>
      </c>
      <c r="S180" s="16" t="str">
        <f>TEXT(WEEKDAY(DATE(Noviembre!CalendarioAño,1,17),1),"ddd")</f>
        <v>sáb</v>
      </c>
      <c r="T180" s="16" t="str">
        <f>TEXT(WEEKDAY(DATE(Noviembre!CalendarioAño,1,18),1),"ddd")</f>
        <v>dom</v>
      </c>
      <c r="U180" s="16" t="str">
        <f>TEXT(WEEKDAY(DATE(Noviembre!CalendarioAño,1,19),1),"ddd")</f>
        <v>lun</v>
      </c>
      <c r="V180" s="16" t="str">
        <f>TEXT(WEEKDAY(DATE(Noviembre!CalendarioAño,1,20),1),"ddd")</f>
        <v>mar</v>
      </c>
      <c r="W180" s="16" t="str">
        <f>TEXT(WEEKDAY(DATE(Noviembre!CalendarioAño,1,21),1),"ddd")</f>
        <v>mié</v>
      </c>
      <c r="X180" s="16" t="str">
        <f>TEXT(WEEKDAY(DATE(Noviembre!CalendarioAño,1,22),1),"ddd")</f>
        <v>jue</v>
      </c>
      <c r="Y180" s="16" t="str">
        <f>TEXT(WEEKDAY(DATE(Noviembre!CalendarioAño,1,23),1),"ddd")</f>
        <v>vie</v>
      </c>
      <c r="Z180" s="16" t="str">
        <f>TEXT(WEEKDAY(DATE(Noviembre!CalendarioAño,1,24),1),"ddd")</f>
        <v>sáb</v>
      </c>
      <c r="AA180" s="16" t="str">
        <f>TEXT(WEEKDAY(DATE(Noviembre!CalendarioAño,1,25),1),"ddd")</f>
        <v>dom</v>
      </c>
      <c r="AB180" s="16" t="str">
        <f>TEXT(WEEKDAY(DATE(Noviembre!CalendarioAño,1,26),1),"ddd")</f>
        <v>lun</v>
      </c>
      <c r="AC180" s="16" t="str">
        <f>TEXT(WEEKDAY(DATE(Noviembre!CalendarioAño,1,27),1),"ddd")</f>
        <v>mar</v>
      </c>
      <c r="AD180" s="16" t="str">
        <f>TEXT(WEEKDAY(DATE(Noviembre!CalendarioAño,1,28),1),"ddd")</f>
        <v>mié</v>
      </c>
      <c r="AE180" s="16" t="str">
        <f>TEXT(WEEKDAY(DATE(Noviembre!CalendarioAño,1,29),1),"ddd")</f>
        <v>jue</v>
      </c>
      <c r="AF180" s="16" t="str">
        <f>TEXT(WEEKDAY(DATE(Noviembre!CalendarioAño,1,30),1),"ddd")</f>
        <v>vie</v>
      </c>
      <c r="AG180" s="16" t="str">
        <f>TEXT(WEEKDAY(DATE(Noviembre!CalendarioAño,1,31),1),"ddd")</f>
        <v>sáb</v>
      </c>
      <c r="AH180" s="57"/>
      <c r="AI180" s="119"/>
      <c r="AJ180" s="119"/>
    </row>
    <row r="181" ht="30.0" customHeight="1">
      <c r="A181" s="18"/>
      <c r="B181" s="31" t="s">
        <v>14</v>
      </c>
      <c r="C181" s="19" t="s">
        <v>15</v>
      </c>
      <c r="D181" s="19" t="s">
        <v>16</v>
      </c>
      <c r="E181" s="19" t="s">
        <v>17</v>
      </c>
      <c r="F181" s="19" t="s">
        <v>18</v>
      </c>
      <c r="G181" s="19" t="s">
        <v>19</v>
      </c>
      <c r="H181" s="19" t="s">
        <v>20</v>
      </c>
      <c r="I181" s="19" t="s">
        <v>21</v>
      </c>
      <c r="J181" s="19" t="s">
        <v>22</v>
      </c>
      <c r="K181" s="19" t="s">
        <v>23</v>
      </c>
      <c r="L181" s="19" t="s">
        <v>24</v>
      </c>
      <c r="M181" s="19" t="s">
        <v>25</v>
      </c>
      <c r="N181" s="19" t="s">
        <v>26</v>
      </c>
      <c r="O181" s="19" t="s">
        <v>27</v>
      </c>
      <c r="P181" s="19" t="s">
        <v>28</v>
      </c>
      <c r="Q181" s="19" t="s">
        <v>29</v>
      </c>
      <c r="R181" s="19" t="s">
        <v>30</v>
      </c>
      <c r="S181" s="19" t="s">
        <v>31</v>
      </c>
      <c r="T181" s="19" t="s">
        <v>32</v>
      </c>
      <c r="U181" s="19" t="s">
        <v>33</v>
      </c>
      <c r="V181" s="19" t="s">
        <v>34</v>
      </c>
      <c r="W181" s="19" t="s">
        <v>35</v>
      </c>
      <c r="X181" s="19" t="s">
        <v>36</v>
      </c>
      <c r="Y181" s="19" t="s">
        <v>37</v>
      </c>
      <c r="Z181" s="19" t="s">
        <v>38</v>
      </c>
      <c r="AA181" s="19" t="s">
        <v>39</v>
      </c>
      <c r="AB181" s="19" t="s">
        <v>40</v>
      </c>
      <c r="AC181" s="19" t="s">
        <v>41</v>
      </c>
      <c r="AD181" s="19" t="s">
        <v>42</v>
      </c>
      <c r="AE181" s="19" t="s">
        <v>43</v>
      </c>
      <c r="AF181" s="19" t="s">
        <v>44</v>
      </c>
      <c r="AG181" s="19" t="s">
        <v>45</v>
      </c>
      <c r="AH181" s="19" t="s">
        <v>46</v>
      </c>
      <c r="AI181" s="19"/>
      <c r="AJ181" s="19"/>
    </row>
    <row r="182" ht="30.0" customHeight="1">
      <c r="A182" s="50"/>
      <c r="B182" s="58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59"/>
      <c r="AI182" s="59"/>
      <c r="AJ182" s="59"/>
    </row>
    <row r="183" ht="30.0" customHeight="1">
      <c r="A183" s="50"/>
      <c r="B183" s="60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59"/>
      <c r="AI183" s="59"/>
      <c r="AJ183" s="59"/>
    </row>
    <row r="184" ht="30.0" customHeight="1">
      <c r="A184" s="50"/>
      <c r="B184" s="58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59"/>
      <c r="AI184" s="59"/>
      <c r="AJ184" s="59"/>
    </row>
    <row r="185" ht="30.0" customHeight="1">
      <c r="A185" s="50"/>
      <c r="B185" s="36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59"/>
      <c r="AI185" s="59"/>
      <c r="AJ185" s="59"/>
    </row>
    <row r="186" ht="30.0" customHeight="1">
      <c r="A186" s="50"/>
      <c r="B186" s="6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59"/>
      <c r="AI186" s="59"/>
      <c r="AJ186" s="59"/>
    </row>
    <row r="187" ht="30.0" customHeight="1">
      <c r="A187" s="50"/>
      <c r="B187" s="62"/>
      <c r="C187" s="63">
        <f>SUBTOTAL(103,Noviembre!$C$7)</f>
        <v>0</v>
      </c>
      <c r="D187" s="63">
        <f>SUBTOTAL(103,Noviembre!$D$7)</f>
        <v>0</v>
      </c>
      <c r="E187" s="63">
        <f>SUBTOTAL(103,Noviembre!$E$7)</f>
        <v>0</v>
      </c>
      <c r="F187" s="63"/>
      <c r="G187" s="63"/>
      <c r="H187" s="63">
        <f>SUBTOTAL(103,Noviembre!$H$7)</f>
        <v>0</v>
      </c>
      <c r="I187" s="63">
        <f>SUBTOTAL(103,Noviembre!$I$7)</f>
        <v>0</v>
      </c>
      <c r="J187" s="63">
        <f>SUBTOTAL(103,Noviembre!$J$7)</f>
        <v>0</v>
      </c>
      <c r="K187" s="63">
        <f>SUBTOTAL(103,Noviembre!$K$7)</f>
        <v>0</v>
      </c>
      <c r="L187" s="63">
        <f>SUBTOTAL(103,Noviembre!$L$7)</f>
        <v>0</v>
      </c>
      <c r="M187" s="63"/>
      <c r="N187" s="63">
        <f>SUBTOTAL(103,Noviembre!$N$7)</f>
        <v>0</v>
      </c>
      <c r="O187" s="63">
        <f>SUBTOTAL(103,Noviembre!$O$7)</f>
        <v>0</v>
      </c>
      <c r="P187" s="63">
        <f>SUBTOTAL(103,Noviembre!$P$7)</f>
        <v>0</v>
      </c>
      <c r="Q187" s="63">
        <f>SUBTOTAL(103,Noviembre!$Q$7)</f>
        <v>0</v>
      </c>
      <c r="R187" s="63">
        <f>SUBTOTAL(103,Noviembre!$R$7)</f>
        <v>0</v>
      </c>
      <c r="S187" s="63">
        <f>SUBTOTAL(103,Noviembre!$S$7)</f>
        <v>0</v>
      </c>
      <c r="T187" s="63">
        <f>SUBTOTAL(103,Noviembre!$T$7)</f>
        <v>0</v>
      </c>
      <c r="U187" s="63">
        <f>SUBTOTAL(103,Noviembre!$U$7)</f>
        <v>0</v>
      </c>
      <c r="V187" s="63"/>
      <c r="W187" s="63">
        <f>SUBTOTAL(103,Noviembre!$W$7)</f>
        <v>0</v>
      </c>
      <c r="X187" s="63">
        <f>SUBTOTAL(103,Noviembre!$X$7)</f>
        <v>0</v>
      </c>
      <c r="Y187" s="63">
        <f>SUBTOTAL(103,Noviembre!$Y$7)</f>
        <v>0</v>
      </c>
      <c r="Z187" s="63">
        <f>SUBTOTAL(103,Noviembre!$Z$7)</f>
        <v>0</v>
      </c>
      <c r="AA187" s="63">
        <f>SUBTOTAL(103,Noviembre!$AA$7)</f>
        <v>0</v>
      </c>
      <c r="AB187" s="63">
        <f>SUBTOTAL(103,Noviembre!$AB$7)</f>
        <v>0</v>
      </c>
      <c r="AC187" s="63">
        <f>SUBTOTAL(103,Noviembre!$AC$7)</f>
        <v>0</v>
      </c>
      <c r="AD187" s="63">
        <f>SUBTOTAL(103,Noviembre!$AD$7)</f>
        <v>0</v>
      </c>
      <c r="AE187" s="63">
        <f>SUBTOTAL(103,Noviembre!$AE$7)</f>
        <v>0</v>
      </c>
      <c r="AF187" s="63">
        <f>SUBTOTAL(103,Noviembre!$AF$7)</f>
        <v>0</v>
      </c>
      <c r="AG187" s="63">
        <f>SUBTOTAL(103,Noviembre!$AG$7)</f>
        <v>0</v>
      </c>
      <c r="AH187" s="65"/>
      <c r="AI187" s="65"/>
      <c r="AJ187" s="65"/>
    </row>
    <row r="188" ht="30.0" customHeight="1">
      <c r="AH188" s="5"/>
      <c r="AI188" s="5"/>
      <c r="AJ188" s="5"/>
    </row>
    <row r="189" ht="30.0" customHeight="1">
      <c r="A189" s="50"/>
      <c r="B189" s="30" t="s">
        <v>12</v>
      </c>
      <c r="C189" s="27" t="s">
        <v>183</v>
      </c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39">
        <v>2026.0</v>
      </c>
      <c r="AI189" s="15"/>
      <c r="AJ189" s="15"/>
    </row>
    <row r="190" ht="30.0" customHeight="1">
      <c r="A190" s="50"/>
      <c r="B190" s="56"/>
      <c r="C190" s="16" t="str">
        <f>TEXT(WEEKDAY(DATE(Noviembre!CalendarioAño,1,1),1),"ddd")</f>
        <v>jue</v>
      </c>
      <c r="D190" s="16" t="str">
        <f>TEXT(WEEKDAY(DATE(Noviembre!CalendarioAño,1,2),1),"ddd")</f>
        <v>vie</v>
      </c>
      <c r="E190" s="16" t="str">
        <f>TEXT(WEEKDAY(DATE(Noviembre!CalendarioAño,1,3),1),"ddd")</f>
        <v>sáb</v>
      </c>
      <c r="F190" s="16" t="str">
        <f>TEXT(WEEKDAY(DATE(Noviembre!CalendarioAño,1,4),1),"ddd")</f>
        <v>dom</v>
      </c>
      <c r="G190" s="16" t="str">
        <f>TEXT(WEEKDAY(DATE(Noviembre!CalendarioAño,1,5),1),"ddd")</f>
        <v>lun</v>
      </c>
      <c r="H190" s="16" t="str">
        <f>TEXT(WEEKDAY(DATE(Noviembre!CalendarioAño,1,6),1),"ddd")</f>
        <v>mar</v>
      </c>
      <c r="I190" s="16" t="str">
        <f>TEXT(WEEKDAY(DATE(Noviembre!CalendarioAño,1,7),1),"ddd")</f>
        <v>mié</v>
      </c>
      <c r="J190" s="16" t="str">
        <f>TEXT(WEEKDAY(DATE(Noviembre!CalendarioAño,1,8),1),"ddd")</f>
        <v>jue</v>
      </c>
      <c r="K190" s="16" t="str">
        <f>TEXT(WEEKDAY(DATE(Noviembre!CalendarioAño,1,9),1),"ddd")</f>
        <v>vie</v>
      </c>
      <c r="L190" s="16" t="str">
        <f>TEXT(WEEKDAY(DATE(Noviembre!CalendarioAño,1,10),1),"ddd")</f>
        <v>sáb</v>
      </c>
      <c r="M190" s="16" t="str">
        <f>TEXT(WEEKDAY(DATE(Noviembre!CalendarioAño,1,11),1),"ddd")</f>
        <v>dom</v>
      </c>
      <c r="N190" s="16" t="str">
        <f>TEXT(WEEKDAY(DATE(Noviembre!CalendarioAño,1,12),1),"ddd")</f>
        <v>lun</v>
      </c>
      <c r="O190" s="16" t="str">
        <f>TEXT(WEEKDAY(DATE(Noviembre!CalendarioAño,1,13),1),"ddd")</f>
        <v>mar</v>
      </c>
      <c r="P190" s="16" t="str">
        <f>TEXT(WEEKDAY(DATE(Noviembre!CalendarioAño,1,14),1),"ddd")</f>
        <v>mié</v>
      </c>
      <c r="Q190" s="16" t="str">
        <f>TEXT(WEEKDAY(DATE(Noviembre!CalendarioAño,1,15),1),"ddd")</f>
        <v>jue</v>
      </c>
      <c r="R190" s="16" t="str">
        <f>TEXT(WEEKDAY(DATE(Noviembre!CalendarioAño,1,16),1),"ddd")</f>
        <v>vie</v>
      </c>
      <c r="S190" s="16" t="str">
        <f>TEXT(WEEKDAY(DATE(Noviembre!CalendarioAño,1,17),1),"ddd")</f>
        <v>sáb</v>
      </c>
      <c r="T190" s="16" t="str">
        <f>TEXT(WEEKDAY(DATE(Noviembre!CalendarioAño,1,18),1),"ddd")</f>
        <v>dom</v>
      </c>
      <c r="U190" s="16" t="str">
        <f>TEXT(WEEKDAY(DATE(Noviembre!CalendarioAño,1,19),1),"ddd")</f>
        <v>lun</v>
      </c>
      <c r="V190" s="16" t="str">
        <f>TEXT(WEEKDAY(DATE(Noviembre!CalendarioAño,1,20),1),"ddd")</f>
        <v>mar</v>
      </c>
      <c r="W190" s="16" t="str">
        <f>TEXT(WEEKDAY(DATE(Noviembre!CalendarioAño,1,21),1),"ddd")</f>
        <v>mié</v>
      </c>
      <c r="X190" s="16" t="str">
        <f>TEXT(WEEKDAY(DATE(Noviembre!CalendarioAño,1,22),1),"ddd")</f>
        <v>jue</v>
      </c>
      <c r="Y190" s="16" t="str">
        <f>TEXT(WEEKDAY(DATE(Noviembre!CalendarioAño,1,23),1),"ddd")</f>
        <v>vie</v>
      </c>
      <c r="Z190" s="16" t="str">
        <f>TEXT(WEEKDAY(DATE(Noviembre!CalendarioAño,1,24),1),"ddd")</f>
        <v>sáb</v>
      </c>
      <c r="AA190" s="16" t="str">
        <f>TEXT(WEEKDAY(DATE(Noviembre!CalendarioAño,1,25),1),"ddd")</f>
        <v>dom</v>
      </c>
      <c r="AB190" s="16" t="str">
        <f>TEXT(WEEKDAY(DATE(Noviembre!CalendarioAño,1,26),1),"ddd")</f>
        <v>lun</v>
      </c>
      <c r="AC190" s="16" t="str">
        <f>TEXT(WEEKDAY(DATE(Noviembre!CalendarioAño,1,27),1),"ddd")</f>
        <v>mar</v>
      </c>
      <c r="AD190" s="16" t="str">
        <f>TEXT(WEEKDAY(DATE(Noviembre!CalendarioAño,1,28),1),"ddd")</f>
        <v>mié</v>
      </c>
      <c r="AE190" s="16" t="str">
        <f>TEXT(WEEKDAY(DATE(Noviembre!CalendarioAño,1,29),1),"ddd")</f>
        <v>jue</v>
      </c>
      <c r="AF190" s="16" t="str">
        <f>TEXT(WEEKDAY(DATE(Noviembre!CalendarioAño,1,30),1),"ddd")</f>
        <v>vie</v>
      </c>
      <c r="AG190" s="16" t="str">
        <f>TEXT(WEEKDAY(DATE(Noviembre!CalendarioAño,1,31),1),"ddd")</f>
        <v>sáb</v>
      </c>
      <c r="AH190" s="57"/>
      <c r="AI190" s="119"/>
      <c r="AJ190" s="119"/>
    </row>
    <row r="191" ht="30.0" customHeight="1">
      <c r="A191" s="18"/>
      <c r="B191" s="66" t="s">
        <v>14</v>
      </c>
      <c r="C191" s="19" t="s">
        <v>15</v>
      </c>
      <c r="D191" s="19" t="s">
        <v>16</v>
      </c>
      <c r="E191" s="19" t="s">
        <v>17</v>
      </c>
      <c r="F191" s="19" t="s">
        <v>18</v>
      </c>
      <c r="G191" s="19" t="s">
        <v>19</v>
      </c>
      <c r="H191" s="19" t="s">
        <v>20</v>
      </c>
      <c r="I191" s="19" t="s">
        <v>21</v>
      </c>
      <c r="J191" s="19" t="s">
        <v>22</v>
      </c>
      <c r="K191" s="19" t="s">
        <v>23</v>
      </c>
      <c r="L191" s="19" t="s">
        <v>24</v>
      </c>
      <c r="M191" s="19" t="s">
        <v>25</v>
      </c>
      <c r="N191" s="19" t="s">
        <v>26</v>
      </c>
      <c r="O191" s="19" t="s">
        <v>27</v>
      </c>
      <c r="P191" s="19" t="s">
        <v>28</v>
      </c>
      <c r="Q191" s="19" t="s">
        <v>29</v>
      </c>
      <c r="R191" s="19" t="s">
        <v>30</v>
      </c>
      <c r="S191" s="19" t="s">
        <v>31</v>
      </c>
      <c r="T191" s="19" t="s">
        <v>32</v>
      </c>
      <c r="U191" s="19" t="s">
        <v>33</v>
      </c>
      <c r="V191" s="19" t="s">
        <v>34</v>
      </c>
      <c r="W191" s="19" t="s">
        <v>35</v>
      </c>
      <c r="X191" s="19" t="s">
        <v>36</v>
      </c>
      <c r="Y191" s="19" t="s">
        <v>37</v>
      </c>
      <c r="Z191" s="19" t="s">
        <v>38</v>
      </c>
      <c r="AA191" s="19" t="s">
        <v>39</v>
      </c>
      <c r="AB191" s="19" t="s">
        <v>40</v>
      </c>
      <c r="AC191" s="19" t="s">
        <v>41</v>
      </c>
      <c r="AD191" s="19" t="s">
        <v>42</v>
      </c>
      <c r="AE191" s="19" t="s">
        <v>43</v>
      </c>
      <c r="AF191" s="19" t="s">
        <v>44</v>
      </c>
      <c r="AG191" s="19" t="s">
        <v>45</v>
      </c>
      <c r="AH191" s="19" t="s">
        <v>46</v>
      </c>
      <c r="AI191" s="19"/>
      <c r="AJ191" s="19"/>
    </row>
    <row r="192" ht="30.0" customHeight="1">
      <c r="A192" s="50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59"/>
      <c r="AI192" s="59"/>
      <c r="AJ192" s="59"/>
    </row>
    <row r="193" ht="30.0" customHeight="1">
      <c r="A193" s="50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7"/>
      <c r="AI193" s="67"/>
      <c r="AJ193" s="67"/>
    </row>
    <row r="194" ht="30.0" customHeight="1">
      <c r="A194" s="50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59"/>
      <c r="AI194" s="59"/>
      <c r="AJ194" s="59"/>
    </row>
    <row r="195" ht="30.0" customHeight="1">
      <c r="A195" s="50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7"/>
      <c r="AI195" s="67"/>
      <c r="AJ195" s="67"/>
    </row>
    <row r="196" ht="30.0" customHeight="1">
      <c r="A196" s="50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59"/>
      <c r="AI196" s="59"/>
      <c r="AJ196" s="59"/>
    </row>
    <row r="197" ht="30.0" customHeight="1">
      <c r="A197" s="50"/>
      <c r="B197" s="62" t="str">
        <f>Noviembre!MonthName&amp;" Total"</f>
        <v>Enero Total</v>
      </c>
      <c r="C197" s="63">
        <f>SUBTOTAL(103,Noviembre!$C$7)</f>
        <v>0</v>
      </c>
      <c r="D197" s="63">
        <f>SUBTOTAL(103,Noviembre!$D$7)</f>
        <v>0</v>
      </c>
      <c r="E197" s="63">
        <f>SUBTOTAL(103,Noviembre!$E$7)</f>
        <v>0</v>
      </c>
      <c r="F197" s="63"/>
      <c r="G197" s="63"/>
      <c r="H197" s="63">
        <f>SUBTOTAL(103,Noviembre!$H$7)</f>
        <v>0</v>
      </c>
      <c r="I197" s="63">
        <f>SUBTOTAL(103,Noviembre!$I$7)</f>
        <v>0</v>
      </c>
      <c r="J197" s="63">
        <f>SUBTOTAL(103,Noviembre!$J$7)</f>
        <v>0</v>
      </c>
      <c r="K197" s="63">
        <f>SUBTOTAL(103,Noviembre!$K$7)</f>
        <v>0</v>
      </c>
      <c r="L197" s="63">
        <f>SUBTOTAL(103,Noviembre!$L$7)</f>
        <v>0</v>
      </c>
      <c r="M197" s="63"/>
      <c r="N197" s="63">
        <f>SUBTOTAL(103,Noviembre!$N$7)</f>
        <v>0</v>
      </c>
      <c r="O197" s="63">
        <f>SUBTOTAL(103,Noviembre!$O$7)</f>
        <v>0</v>
      </c>
      <c r="P197" s="63">
        <f>SUBTOTAL(103,Noviembre!$P$7)</f>
        <v>0</v>
      </c>
      <c r="Q197" s="63">
        <f>SUBTOTAL(103,Noviembre!$Q$7)</f>
        <v>0</v>
      </c>
      <c r="R197" s="63">
        <f>SUBTOTAL(103,Noviembre!$R$7)</f>
        <v>0</v>
      </c>
      <c r="S197" s="63">
        <f>SUBTOTAL(103,Noviembre!$S$7)</f>
        <v>0</v>
      </c>
      <c r="T197" s="63">
        <f>SUBTOTAL(103,Noviembre!$T$7)</f>
        <v>0</v>
      </c>
      <c r="U197" s="63">
        <f>SUBTOTAL(103,Noviembre!$U$7)</f>
        <v>0</v>
      </c>
      <c r="V197" s="63"/>
      <c r="W197" s="63">
        <f>SUBTOTAL(103,Noviembre!$W$7)</f>
        <v>0</v>
      </c>
      <c r="X197" s="63">
        <f>SUBTOTAL(103,Noviembre!$X$7)</f>
        <v>0</v>
      </c>
      <c r="Y197" s="63">
        <f>SUBTOTAL(103,Noviembre!$Y$7)</f>
        <v>0</v>
      </c>
      <c r="Z197" s="63">
        <f>SUBTOTAL(103,Noviembre!$Z$7)</f>
        <v>0</v>
      </c>
      <c r="AA197" s="63">
        <f>SUBTOTAL(103,Noviembre!$AA$7)</f>
        <v>0</v>
      </c>
      <c r="AB197" s="63">
        <f>SUBTOTAL(103,Noviembre!$AB$7)</f>
        <v>0</v>
      </c>
      <c r="AC197" s="63">
        <f>SUBTOTAL(103,Noviembre!$AC$7)</f>
        <v>0</v>
      </c>
      <c r="AD197" s="63">
        <f>SUBTOTAL(103,Noviembre!$AD$7)</f>
        <v>0</v>
      </c>
      <c r="AE197" s="63">
        <f>SUBTOTAL(103,Noviembre!$AE$7)</f>
        <v>0</v>
      </c>
      <c r="AF197" s="63">
        <f>SUBTOTAL(103,Noviembre!$AF$7)</f>
        <v>0</v>
      </c>
      <c r="AG197" s="63">
        <f>SUBTOTAL(103,Noviembre!$AG$7)</f>
        <v>0</v>
      </c>
      <c r="AH197" s="65">
        <f>SUM(C197:AG197)</f>
        <v>0</v>
      </c>
      <c r="AI197" s="65"/>
      <c r="AJ197" s="65"/>
    </row>
    <row r="198" ht="30.0" customHeight="1">
      <c r="AH198" s="5"/>
      <c r="AI198" s="5"/>
      <c r="AJ198" s="5"/>
    </row>
    <row r="199" ht="30.0" customHeight="1">
      <c r="AH199" s="5"/>
      <c r="AI199" s="5"/>
      <c r="AJ199" s="5"/>
    </row>
    <row r="200" ht="30.0" customHeight="1">
      <c r="AH200" s="5"/>
      <c r="AI200" s="5"/>
      <c r="AJ200" s="5"/>
    </row>
    <row r="201" ht="30.0" customHeight="1">
      <c r="AH201" s="5"/>
      <c r="AI201" s="5"/>
      <c r="AJ201" s="5"/>
    </row>
    <row r="202" ht="30.0" customHeight="1">
      <c r="AH202" s="5"/>
      <c r="AI202" s="5"/>
      <c r="AJ202" s="5"/>
    </row>
    <row r="203" ht="30.0" customHeight="1">
      <c r="AH203" s="5"/>
      <c r="AI203" s="5"/>
      <c r="AJ203" s="5"/>
    </row>
    <row r="204" ht="30.0" customHeight="1">
      <c r="AH204" s="5"/>
      <c r="AI204" s="5"/>
      <c r="AJ204" s="5"/>
    </row>
    <row r="205" ht="30.0" customHeight="1">
      <c r="AH205" s="5"/>
      <c r="AI205" s="5"/>
      <c r="AJ205" s="5"/>
    </row>
    <row r="206" ht="30.0" customHeight="1">
      <c r="AH206" s="5"/>
      <c r="AI206" s="5"/>
      <c r="AJ206" s="5"/>
    </row>
    <row r="207" ht="30.0" customHeight="1">
      <c r="AH207" s="5"/>
      <c r="AI207" s="5"/>
      <c r="AJ207" s="5"/>
    </row>
    <row r="208" ht="30.0" customHeight="1">
      <c r="AH208" s="5"/>
      <c r="AI208" s="5"/>
      <c r="AJ208" s="5"/>
    </row>
    <row r="209" ht="30.0" customHeight="1">
      <c r="AH209" s="5"/>
      <c r="AI209" s="5"/>
      <c r="AJ209" s="5"/>
    </row>
    <row r="210" ht="30.0" customHeight="1">
      <c r="AH210" s="5"/>
      <c r="AI210" s="5"/>
      <c r="AJ210" s="5"/>
    </row>
    <row r="211" ht="30.0" customHeight="1">
      <c r="AH211" s="5"/>
      <c r="AI211" s="5"/>
      <c r="AJ211" s="5"/>
    </row>
    <row r="212" ht="30.0" customHeight="1">
      <c r="AH212" s="5"/>
      <c r="AI212" s="5"/>
      <c r="AJ212" s="5"/>
    </row>
    <row r="213" ht="30.0" customHeight="1">
      <c r="AH213" s="5"/>
      <c r="AI213" s="5"/>
      <c r="AJ213" s="5"/>
    </row>
    <row r="214" ht="30.0" customHeight="1">
      <c r="AH214" s="5"/>
      <c r="AI214" s="5"/>
      <c r="AJ214" s="5"/>
    </row>
    <row r="215" ht="30.0" customHeight="1">
      <c r="AH215" s="5"/>
      <c r="AI215" s="5"/>
      <c r="AJ215" s="5"/>
    </row>
    <row r="216" ht="30.0" customHeight="1">
      <c r="AH216" s="5"/>
      <c r="AI216" s="5"/>
      <c r="AJ216" s="5"/>
    </row>
    <row r="217" ht="30.0" customHeight="1">
      <c r="AH217" s="5"/>
      <c r="AI217" s="5"/>
      <c r="AJ217" s="5"/>
    </row>
    <row r="218" ht="30.0" customHeight="1">
      <c r="AH218" s="5"/>
      <c r="AI218" s="5"/>
      <c r="AJ218" s="5"/>
    </row>
    <row r="219" ht="30.0" customHeight="1">
      <c r="AH219" s="5"/>
      <c r="AI219" s="5"/>
      <c r="AJ219" s="5"/>
    </row>
    <row r="220" ht="30.0" customHeight="1">
      <c r="AH220" s="5"/>
      <c r="AI220" s="5"/>
      <c r="AJ220" s="5"/>
    </row>
    <row r="221" ht="30.0" customHeight="1">
      <c r="AH221" s="5"/>
      <c r="AI221" s="5"/>
      <c r="AJ221" s="5"/>
    </row>
    <row r="222" ht="30.0" customHeight="1">
      <c r="AH222" s="5"/>
      <c r="AI222" s="5"/>
      <c r="AJ222" s="5"/>
    </row>
    <row r="223" ht="30.0" customHeight="1">
      <c r="AH223" s="5"/>
      <c r="AI223" s="5"/>
      <c r="AJ223" s="5"/>
    </row>
    <row r="224" ht="30.0" customHeight="1">
      <c r="AH224" s="5"/>
      <c r="AI224" s="5"/>
      <c r="AJ224" s="5"/>
    </row>
    <row r="225" ht="30.0" customHeight="1">
      <c r="AH225" s="5"/>
      <c r="AI225" s="5"/>
      <c r="AJ225" s="5"/>
    </row>
    <row r="226" ht="30.0" customHeight="1">
      <c r="AH226" s="5"/>
      <c r="AI226" s="5"/>
      <c r="AJ226" s="5"/>
    </row>
    <row r="227" ht="30.0" customHeight="1">
      <c r="AH227" s="5"/>
      <c r="AI227" s="5"/>
      <c r="AJ227" s="5"/>
    </row>
    <row r="228" ht="30.0" customHeight="1">
      <c r="AH228" s="5"/>
      <c r="AI228" s="5"/>
      <c r="AJ228" s="5"/>
    </row>
    <row r="229" ht="30.0" customHeight="1">
      <c r="AH229" s="5"/>
      <c r="AI229" s="5"/>
      <c r="AJ229" s="5"/>
    </row>
    <row r="230" ht="30.0" customHeight="1">
      <c r="AH230" s="5"/>
      <c r="AI230" s="5"/>
      <c r="AJ230" s="5"/>
    </row>
    <row r="231" ht="30.0" customHeight="1">
      <c r="AH231" s="5"/>
      <c r="AI231" s="5"/>
      <c r="AJ231" s="5"/>
    </row>
    <row r="232" ht="30.0" customHeight="1">
      <c r="AH232" s="5"/>
      <c r="AI232" s="5"/>
      <c r="AJ232" s="5"/>
    </row>
    <row r="233" ht="30.0" customHeight="1">
      <c r="AH233" s="5"/>
      <c r="AI233" s="5"/>
      <c r="AJ233" s="5"/>
    </row>
    <row r="234" ht="30.0" customHeight="1">
      <c r="AH234" s="5"/>
      <c r="AI234" s="5"/>
      <c r="AJ234" s="5"/>
    </row>
    <row r="235" ht="30.0" customHeight="1">
      <c r="AH235" s="5"/>
      <c r="AI235" s="5"/>
      <c r="AJ235" s="5"/>
    </row>
    <row r="236" ht="30.0" customHeight="1">
      <c r="AH236" s="5"/>
      <c r="AI236" s="5"/>
      <c r="AJ236" s="5"/>
    </row>
    <row r="237" ht="30.0" customHeight="1">
      <c r="AH237" s="5"/>
      <c r="AI237" s="5"/>
      <c r="AJ237" s="5"/>
    </row>
    <row r="238" ht="30.0" customHeight="1">
      <c r="AH238" s="5"/>
      <c r="AI238" s="5"/>
      <c r="AJ238" s="5"/>
    </row>
    <row r="239" ht="30.0" customHeight="1">
      <c r="AH239" s="5"/>
      <c r="AI239" s="5"/>
      <c r="AJ239" s="5"/>
    </row>
    <row r="240" ht="30.0" customHeight="1">
      <c r="AH240" s="5"/>
      <c r="AI240" s="5"/>
      <c r="AJ240" s="5"/>
    </row>
    <row r="241" ht="30.0" customHeight="1">
      <c r="AH241" s="5"/>
      <c r="AI241" s="5"/>
      <c r="AJ241" s="5"/>
    </row>
    <row r="242" ht="30.0" customHeight="1">
      <c r="AH242" s="5"/>
      <c r="AI242" s="5"/>
      <c r="AJ242" s="5"/>
    </row>
    <row r="243" ht="30.0" customHeight="1">
      <c r="AH243" s="5"/>
      <c r="AI243" s="5"/>
      <c r="AJ243" s="5"/>
    </row>
    <row r="244" ht="30.0" customHeight="1">
      <c r="AH244" s="5"/>
      <c r="AI244" s="5"/>
      <c r="AJ244" s="5"/>
    </row>
    <row r="245" ht="30.0" customHeight="1">
      <c r="AH245" s="5"/>
      <c r="AI245" s="5"/>
      <c r="AJ245" s="5"/>
    </row>
    <row r="246" ht="30.0" customHeight="1">
      <c r="AH246" s="5"/>
      <c r="AI246" s="5"/>
      <c r="AJ246" s="5"/>
    </row>
    <row r="247" ht="30.0" customHeight="1">
      <c r="AH247" s="5"/>
      <c r="AI247" s="5"/>
      <c r="AJ247" s="5"/>
    </row>
    <row r="248" ht="30.0" customHeight="1">
      <c r="AH248" s="5"/>
      <c r="AI248" s="5"/>
      <c r="AJ248" s="5"/>
    </row>
    <row r="249" ht="30.0" customHeight="1">
      <c r="AH249" s="5"/>
      <c r="AI249" s="5"/>
      <c r="AJ249" s="5"/>
    </row>
    <row r="250" ht="30.0" customHeight="1">
      <c r="AH250" s="5"/>
      <c r="AI250" s="5"/>
      <c r="AJ250" s="5"/>
    </row>
    <row r="251" ht="30.0" customHeight="1">
      <c r="AH251" s="5"/>
      <c r="AI251" s="5"/>
      <c r="AJ251" s="5"/>
    </row>
    <row r="252" ht="30.0" customHeight="1">
      <c r="AH252" s="5"/>
      <c r="AI252" s="5"/>
      <c r="AJ252" s="5"/>
    </row>
    <row r="253" ht="30.0" customHeight="1">
      <c r="AH253" s="5"/>
      <c r="AI253" s="5"/>
      <c r="AJ253" s="5"/>
    </row>
    <row r="254" ht="30.0" customHeight="1">
      <c r="AH254" s="5"/>
      <c r="AI254" s="5"/>
      <c r="AJ254" s="5"/>
    </row>
    <row r="255" ht="30.0" customHeight="1">
      <c r="AH255" s="5"/>
      <c r="AI255" s="5"/>
      <c r="AJ255" s="5"/>
    </row>
    <row r="256" ht="30.0" customHeight="1">
      <c r="AH256" s="5"/>
      <c r="AI256" s="5"/>
      <c r="AJ256" s="5"/>
    </row>
    <row r="257" ht="30.0" customHeight="1">
      <c r="AH257" s="5"/>
      <c r="AI257" s="5"/>
      <c r="AJ257" s="5"/>
    </row>
    <row r="258" ht="30.0" customHeight="1">
      <c r="AH258" s="5"/>
      <c r="AI258" s="5"/>
      <c r="AJ258" s="5"/>
    </row>
    <row r="259" ht="30.0" customHeight="1">
      <c r="AH259" s="5"/>
      <c r="AI259" s="5"/>
      <c r="AJ259" s="5"/>
    </row>
    <row r="260" ht="30.0" customHeight="1">
      <c r="AH260" s="5"/>
      <c r="AI260" s="5"/>
      <c r="AJ260" s="5"/>
    </row>
    <row r="261" ht="30.0" customHeight="1">
      <c r="AH261" s="5"/>
      <c r="AI261" s="5"/>
      <c r="AJ261" s="5"/>
    </row>
    <row r="262" ht="30.0" customHeight="1">
      <c r="AH262" s="5"/>
      <c r="AI262" s="5"/>
      <c r="AJ262" s="5"/>
    </row>
    <row r="263" ht="30.0" customHeight="1">
      <c r="AH263" s="5"/>
      <c r="AI263" s="5"/>
      <c r="AJ263" s="5"/>
    </row>
    <row r="264" ht="30.0" customHeight="1">
      <c r="AH264" s="5"/>
      <c r="AI264" s="5"/>
      <c r="AJ264" s="5"/>
    </row>
    <row r="265" ht="30.0" customHeight="1">
      <c r="AH265" s="5"/>
      <c r="AI265" s="5"/>
      <c r="AJ265" s="5"/>
    </row>
    <row r="266" ht="30.0" customHeight="1">
      <c r="AH266" s="5"/>
      <c r="AI266" s="5"/>
      <c r="AJ266" s="5"/>
    </row>
    <row r="267" ht="30.0" customHeight="1">
      <c r="AH267" s="5"/>
      <c r="AI267" s="5"/>
      <c r="AJ267" s="5"/>
    </row>
    <row r="268" ht="30.0" customHeight="1">
      <c r="AH268" s="5"/>
      <c r="AI268" s="5"/>
      <c r="AJ268" s="5"/>
    </row>
    <row r="269" ht="30.0" customHeight="1">
      <c r="AH269" s="5"/>
      <c r="AI269" s="5"/>
      <c r="AJ269" s="5"/>
    </row>
    <row r="270" ht="30.0" customHeight="1">
      <c r="AH270" s="5"/>
      <c r="AI270" s="5"/>
      <c r="AJ270" s="5"/>
    </row>
    <row r="271" ht="30.0" customHeight="1">
      <c r="AH271" s="5"/>
      <c r="AI271" s="5"/>
      <c r="AJ271" s="5"/>
    </row>
    <row r="272" ht="30.0" customHeight="1">
      <c r="AH272" s="5"/>
      <c r="AI272" s="5"/>
      <c r="AJ272" s="5"/>
    </row>
    <row r="273" ht="30.0" customHeight="1">
      <c r="AH273" s="5"/>
      <c r="AI273" s="5"/>
      <c r="AJ273" s="5"/>
    </row>
    <row r="274" ht="30.0" customHeight="1">
      <c r="AH274" s="5"/>
      <c r="AI274" s="5"/>
      <c r="AJ274" s="5"/>
    </row>
    <row r="275" ht="30.0" customHeight="1">
      <c r="AH275" s="5"/>
      <c r="AI275" s="5"/>
      <c r="AJ275" s="5"/>
    </row>
    <row r="276" ht="30.0" customHeight="1">
      <c r="AH276" s="5"/>
      <c r="AI276" s="5"/>
      <c r="AJ276" s="5"/>
    </row>
    <row r="277" ht="30.0" customHeight="1">
      <c r="AH277" s="5"/>
      <c r="AI277" s="5"/>
      <c r="AJ277" s="5"/>
    </row>
    <row r="278" ht="30.0" customHeight="1">
      <c r="AH278" s="5"/>
      <c r="AI278" s="5"/>
      <c r="AJ278" s="5"/>
    </row>
    <row r="279" ht="30.0" customHeight="1">
      <c r="AH279" s="5"/>
      <c r="AI279" s="5"/>
      <c r="AJ279" s="5"/>
    </row>
    <row r="280" ht="30.0" customHeight="1">
      <c r="AH280" s="5"/>
      <c r="AI280" s="5"/>
      <c r="AJ280" s="5"/>
    </row>
    <row r="281" ht="30.0" customHeight="1">
      <c r="AH281" s="5"/>
      <c r="AI281" s="5"/>
      <c r="AJ281" s="5"/>
    </row>
    <row r="282" ht="30.0" customHeight="1">
      <c r="AH282" s="5"/>
      <c r="AI282" s="5"/>
      <c r="AJ282" s="5"/>
    </row>
    <row r="283" ht="30.0" customHeight="1">
      <c r="AH283" s="5"/>
      <c r="AI283" s="5"/>
      <c r="AJ283" s="5"/>
    </row>
    <row r="284" ht="30.0" customHeight="1">
      <c r="AH284" s="5"/>
      <c r="AI284" s="5"/>
      <c r="AJ284" s="5"/>
    </row>
    <row r="285" ht="30.0" customHeight="1">
      <c r="AH285" s="5"/>
      <c r="AI285" s="5"/>
      <c r="AJ285" s="5"/>
    </row>
    <row r="286" ht="30.0" customHeight="1">
      <c r="AH286" s="5"/>
      <c r="AI286" s="5"/>
      <c r="AJ286" s="5"/>
    </row>
    <row r="287" ht="30.0" customHeight="1">
      <c r="AH287" s="5"/>
      <c r="AI287" s="5"/>
      <c r="AJ287" s="5"/>
    </row>
    <row r="288" ht="30.0" customHeight="1">
      <c r="AH288" s="5"/>
      <c r="AI288" s="5"/>
      <c r="AJ288" s="5"/>
    </row>
    <row r="289" ht="30.0" customHeight="1">
      <c r="AH289" s="5"/>
      <c r="AI289" s="5"/>
      <c r="AJ289" s="5"/>
    </row>
    <row r="290" ht="30.0" customHeight="1">
      <c r="AH290" s="5"/>
      <c r="AI290" s="5"/>
      <c r="AJ290" s="5"/>
    </row>
    <row r="291" ht="30.0" customHeight="1">
      <c r="AH291" s="5"/>
      <c r="AI291" s="5"/>
      <c r="AJ291" s="5"/>
    </row>
    <row r="292" ht="30.0" customHeight="1">
      <c r="AH292" s="5"/>
      <c r="AI292" s="5"/>
      <c r="AJ292" s="5"/>
    </row>
    <row r="293" ht="30.0" customHeight="1">
      <c r="AH293" s="5"/>
      <c r="AI293" s="5"/>
      <c r="AJ293" s="5"/>
    </row>
    <row r="294" ht="30.0" customHeight="1">
      <c r="AH294" s="5"/>
      <c r="AI294" s="5"/>
      <c r="AJ294" s="5"/>
    </row>
    <row r="295" ht="30.0" customHeight="1">
      <c r="AH295" s="5"/>
      <c r="AI295" s="5"/>
      <c r="AJ295" s="5"/>
    </row>
    <row r="296" ht="30.0" customHeight="1">
      <c r="AH296" s="5"/>
      <c r="AI296" s="5"/>
      <c r="AJ296" s="5"/>
    </row>
    <row r="297" ht="30.0" customHeight="1">
      <c r="AH297" s="5"/>
      <c r="AI297" s="5"/>
      <c r="AJ297" s="5"/>
    </row>
    <row r="298" ht="30.0" customHeight="1">
      <c r="AH298" s="5"/>
      <c r="AI298" s="5"/>
      <c r="AJ298" s="5"/>
    </row>
    <row r="299" ht="30.0" customHeight="1">
      <c r="AH299" s="5"/>
      <c r="AI299" s="5"/>
      <c r="AJ299" s="5"/>
    </row>
    <row r="300" ht="30.0" customHeight="1">
      <c r="AH300" s="5"/>
      <c r="AI300" s="5"/>
      <c r="AJ300" s="5"/>
    </row>
    <row r="301" ht="30.0" customHeight="1">
      <c r="AH301" s="5"/>
      <c r="AI301" s="5"/>
      <c r="AJ301" s="5"/>
    </row>
    <row r="302" ht="30.0" customHeight="1">
      <c r="AH302" s="5"/>
      <c r="AI302" s="5"/>
      <c r="AJ302" s="5"/>
    </row>
    <row r="303" ht="30.0" customHeight="1">
      <c r="AH303" s="5"/>
      <c r="AI303" s="5"/>
      <c r="AJ303" s="5"/>
    </row>
    <row r="304" ht="30.0" customHeight="1">
      <c r="AH304" s="5"/>
      <c r="AI304" s="5"/>
      <c r="AJ304" s="5"/>
    </row>
    <row r="305" ht="30.0" customHeight="1">
      <c r="AH305" s="5"/>
      <c r="AI305" s="5"/>
      <c r="AJ305" s="5"/>
    </row>
    <row r="306" ht="30.0" customHeight="1">
      <c r="AH306" s="5"/>
      <c r="AI306" s="5"/>
      <c r="AJ306" s="5"/>
    </row>
    <row r="307" ht="30.0" customHeight="1">
      <c r="AH307" s="5"/>
      <c r="AI307" s="5"/>
      <c r="AJ307" s="5"/>
    </row>
    <row r="308" ht="30.0" customHeight="1">
      <c r="AH308" s="5"/>
      <c r="AI308" s="5"/>
      <c r="AJ308" s="5"/>
    </row>
    <row r="309" ht="30.0" customHeight="1">
      <c r="AH309" s="5"/>
      <c r="AI309" s="5"/>
      <c r="AJ309" s="5"/>
    </row>
    <row r="310" ht="30.0" customHeight="1">
      <c r="AH310" s="5"/>
      <c r="AI310" s="5"/>
      <c r="AJ310" s="5"/>
    </row>
    <row r="311" ht="30.0" customHeight="1">
      <c r="AH311" s="5"/>
      <c r="AI311" s="5"/>
      <c r="AJ311" s="5"/>
    </row>
    <row r="312" ht="30.0" customHeight="1">
      <c r="AH312" s="5"/>
      <c r="AI312" s="5"/>
      <c r="AJ312" s="5"/>
    </row>
    <row r="313" ht="30.0" customHeight="1">
      <c r="AH313" s="5"/>
      <c r="AI313" s="5"/>
      <c r="AJ313" s="5"/>
    </row>
    <row r="314" ht="30.0" customHeight="1">
      <c r="AH314" s="5"/>
      <c r="AI314" s="5"/>
      <c r="AJ314" s="5"/>
    </row>
    <row r="315" ht="30.0" customHeight="1">
      <c r="AH315" s="5"/>
      <c r="AI315" s="5"/>
      <c r="AJ315" s="5"/>
    </row>
    <row r="316" ht="30.0" customHeight="1">
      <c r="AH316" s="5"/>
      <c r="AI316" s="5"/>
      <c r="AJ316" s="5"/>
    </row>
    <row r="317" ht="30.0" customHeight="1">
      <c r="AH317" s="5"/>
      <c r="AI317" s="5"/>
      <c r="AJ317" s="5"/>
    </row>
    <row r="318" ht="30.0" customHeight="1">
      <c r="AH318" s="5"/>
      <c r="AI318" s="5"/>
      <c r="AJ318" s="5"/>
    </row>
    <row r="319" ht="30.0" customHeight="1">
      <c r="AH319" s="5"/>
      <c r="AI319" s="5"/>
      <c r="AJ319" s="5"/>
    </row>
    <row r="320" ht="30.0" customHeight="1">
      <c r="AH320" s="5"/>
      <c r="AI320" s="5"/>
      <c r="AJ320" s="5"/>
    </row>
    <row r="321" ht="30.0" customHeight="1">
      <c r="AH321" s="5"/>
      <c r="AI321" s="5"/>
      <c r="AJ321" s="5"/>
    </row>
    <row r="322" ht="30.0" customHeight="1">
      <c r="AH322" s="5"/>
      <c r="AI322" s="5"/>
      <c r="AJ322" s="5"/>
    </row>
    <row r="323" ht="30.0" customHeight="1">
      <c r="AH323" s="5"/>
      <c r="AI323" s="5"/>
      <c r="AJ323" s="5"/>
    </row>
    <row r="324" ht="30.0" customHeight="1">
      <c r="AH324" s="5"/>
      <c r="AI324" s="5"/>
      <c r="AJ324" s="5"/>
    </row>
    <row r="325" ht="30.0" customHeight="1">
      <c r="AH325" s="5"/>
      <c r="AI325" s="5"/>
      <c r="AJ325" s="5"/>
    </row>
    <row r="326" ht="30.0" customHeight="1">
      <c r="AH326" s="5"/>
      <c r="AI326" s="5"/>
      <c r="AJ326" s="5"/>
    </row>
    <row r="327" ht="30.0" customHeight="1">
      <c r="AH327" s="5"/>
      <c r="AI327" s="5"/>
      <c r="AJ327" s="5"/>
    </row>
    <row r="328" ht="30.0" customHeight="1">
      <c r="AH328" s="5"/>
      <c r="AI328" s="5"/>
      <c r="AJ328" s="5"/>
    </row>
    <row r="329" ht="30.0" customHeight="1">
      <c r="AH329" s="5"/>
      <c r="AI329" s="5"/>
      <c r="AJ329" s="5"/>
    </row>
    <row r="330" ht="30.0" customHeight="1">
      <c r="AH330" s="5"/>
      <c r="AI330" s="5"/>
      <c r="AJ330" s="5"/>
    </row>
    <row r="331" ht="30.0" customHeight="1">
      <c r="AH331" s="5"/>
      <c r="AI331" s="5"/>
      <c r="AJ331" s="5"/>
    </row>
    <row r="332" ht="30.0" customHeight="1">
      <c r="AH332" s="5"/>
      <c r="AI332" s="5"/>
      <c r="AJ332" s="5"/>
    </row>
    <row r="333" ht="30.0" customHeight="1">
      <c r="AH333" s="5"/>
      <c r="AI333" s="5"/>
      <c r="AJ333" s="5"/>
    </row>
    <row r="334" ht="30.0" customHeight="1">
      <c r="AH334" s="5"/>
      <c r="AI334" s="5"/>
      <c r="AJ334" s="5"/>
    </row>
    <row r="335" ht="30.0" customHeight="1">
      <c r="AH335" s="5"/>
      <c r="AI335" s="5"/>
      <c r="AJ335" s="5"/>
    </row>
    <row r="336" ht="30.0" customHeight="1">
      <c r="AH336" s="5"/>
      <c r="AI336" s="5"/>
      <c r="AJ336" s="5"/>
    </row>
    <row r="337" ht="30.0" customHeight="1">
      <c r="AH337" s="5"/>
      <c r="AI337" s="5"/>
      <c r="AJ337" s="5"/>
    </row>
    <row r="338" ht="30.0" customHeight="1">
      <c r="AH338" s="5"/>
      <c r="AI338" s="5"/>
      <c r="AJ338" s="5"/>
    </row>
    <row r="339" ht="30.0" customHeight="1">
      <c r="AH339" s="5"/>
      <c r="AI339" s="5"/>
      <c r="AJ339" s="5"/>
    </row>
    <row r="340" ht="30.0" customHeight="1">
      <c r="AH340" s="5"/>
      <c r="AI340" s="5"/>
      <c r="AJ340" s="5"/>
    </row>
    <row r="341" ht="30.0" customHeight="1">
      <c r="AH341" s="5"/>
      <c r="AI341" s="5"/>
      <c r="AJ341" s="5"/>
    </row>
    <row r="342" ht="30.0" customHeight="1">
      <c r="AH342" s="5"/>
      <c r="AI342" s="5"/>
      <c r="AJ342" s="5"/>
    </row>
    <row r="343" ht="30.0" customHeight="1">
      <c r="AH343" s="5"/>
      <c r="AI343" s="5"/>
      <c r="AJ343" s="5"/>
    </row>
    <row r="344" ht="30.0" customHeight="1">
      <c r="AH344" s="5"/>
      <c r="AI344" s="5"/>
      <c r="AJ344" s="5"/>
    </row>
    <row r="345" ht="30.0" customHeight="1">
      <c r="AH345" s="5"/>
      <c r="AI345" s="5"/>
      <c r="AJ345" s="5"/>
    </row>
    <row r="346" ht="30.0" customHeight="1">
      <c r="AH346" s="5"/>
      <c r="AI346" s="5"/>
      <c r="AJ346" s="5"/>
    </row>
    <row r="347" ht="30.0" customHeight="1">
      <c r="AH347" s="5"/>
      <c r="AI347" s="5"/>
      <c r="AJ347" s="5"/>
    </row>
    <row r="348" ht="30.0" customHeight="1">
      <c r="AH348" s="5"/>
      <c r="AI348" s="5"/>
      <c r="AJ348" s="5"/>
    </row>
    <row r="349" ht="30.0" customHeight="1">
      <c r="AH349" s="5"/>
      <c r="AI349" s="5"/>
      <c r="AJ349" s="5"/>
    </row>
    <row r="350" ht="30.0" customHeight="1">
      <c r="AH350" s="5"/>
      <c r="AI350" s="5"/>
      <c r="AJ350" s="5"/>
    </row>
    <row r="351" ht="30.0" customHeight="1">
      <c r="AH351" s="5"/>
      <c r="AI351" s="5"/>
      <c r="AJ351" s="5"/>
    </row>
    <row r="352" ht="30.0" customHeight="1">
      <c r="AH352" s="5"/>
      <c r="AI352" s="5"/>
      <c r="AJ352" s="5"/>
    </row>
    <row r="353" ht="30.0" customHeight="1">
      <c r="AH353" s="5"/>
      <c r="AI353" s="5"/>
      <c r="AJ353" s="5"/>
    </row>
    <row r="354" ht="30.0" customHeight="1">
      <c r="AH354" s="5"/>
      <c r="AI354" s="5"/>
      <c r="AJ354" s="5"/>
    </row>
    <row r="355" ht="30.0" customHeight="1">
      <c r="AH355" s="5"/>
      <c r="AI355" s="5"/>
      <c r="AJ355" s="5"/>
    </row>
    <row r="356" ht="30.0" customHeight="1">
      <c r="AH356" s="5"/>
      <c r="AI356" s="5"/>
      <c r="AJ356" s="5"/>
    </row>
    <row r="357" ht="30.0" customHeight="1">
      <c r="AH357" s="5"/>
      <c r="AI357" s="5"/>
      <c r="AJ357" s="5"/>
    </row>
    <row r="358" ht="30.0" customHeight="1">
      <c r="AH358" s="5"/>
      <c r="AI358" s="5"/>
      <c r="AJ358" s="5"/>
    </row>
    <row r="359" ht="30.0" customHeight="1">
      <c r="AH359" s="5"/>
      <c r="AI359" s="5"/>
      <c r="AJ359" s="5"/>
    </row>
    <row r="360" ht="30.0" customHeight="1">
      <c r="AH360" s="5"/>
      <c r="AI360" s="5"/>
      <c r="AJ360" s="5"/>
    </row>
    <row r="361" ht="30.0" customHeight="1">
      <c r="AH361" s="5"/>
      <c r="AI361" s="5"/>
      <c r="AJ361" s="5"/>
    </row>
    <row r="362" ht="30.0" customHeight="1">
      <c r="AH362" s="5"/>
      <c r="AI362" s="5"/>
      <c r="AJ362" s="5"/>
    </row>
    <row r="363" ht="30.0" customHeight="1">
      <c r="AH363" s="5"/>
      <c r="AI363" s="5"/>
      <c r="AJ363" s="5"/>
    </row>
    <row r="364" ht="30.0" customHeight="1">
      <c r="AH364" s="5"/>
      <c r="AI364" s="5"/>
      <c r="AJ364" s="5"/>
    </row>
    <row r="365" ht="30.0" customHeight="1">
      <c r="AH365" s="5"/>
      <c r="AI365" s="5"/>
      <c r="AJ365" s="5"/>
    </row>
    <row r="366" ht="30.0" customHeight="1">
      <c r="AH366" s="5"/>
      <c r="AI366" s="5"/>
      <c r="AJ366" s="5"/>
    </row>
    <row r="367" ht="30.0" customHeight="1">
      <c r="AH367" s="5"/>
      <c r="AI367" s="5"/>
      <c r="AJ367" s="5"/>
    </row>
    <row r="368" ht="30.0" customHeight="1">
      <c r="AH368" s="5"/>
      <c r="AI368" s="5"/>
      <c r="AJ368" s="5"/>
    </row>
    <row r="369" ht="30.0" customHeight="1">
      <c r="AH369" s="5"/>
      <c r="AI369" s="5"/>
      <c r="AJ369" s="5"/>
    </row>
    <row r="370" ht="30.0" customHeight="1">
      <c r="AH370" s="5"/>
      <c r="AI370" s="5"/>
      <c r="AJ370" s="5"/>
    </row>
    <row r="371" ht="30.0" customHeight="1">
      <c r="AH371" s="5"/>
      <c r="AI371" s="5"/>
      <c r="AJ371" s="5"/>
    </row>
    <row r="372" ht="30.0" customHeight="1">
      <c r="AH372" s="5"/>
      <c r="AI372" s="5"/>
      <c r="AJ372" s="5"/>
    </row>
    <row r="373" ht="30.0" customHeight="1">
      <c r="AH373" s="5"/>
      <c r="AI373" s="5"/>
      <c r="AJ373" s="5"/>
    </row>
    <row r="374" ht="30.0" customHeight="1">
      <c r="AH374" s="5"/>
      <c r="AI374" s="5"/>
      <c r="AJ374" s="5"/>
    </row>
    <row r="375" ht="30.0" customHeight="1">
      <c r="AH375" s="5"/>
      <c r="AI375" s="5"/>
      <c r="AJ375" s="5"/>
    </row>
    <row r="376" ht="30.0" customHeight="1">
      <c r="AH376" s="5"/>
      <c r="AI376" s="5"/>
      <c r="AJ376" s="5"/>
    </row>
    <row r="377" ht="30.0" customHeight="1">
      <c r="AH377" s="5"/>
      <c r="AI377" s="5"/>
      <c r="AJ377" s="5"/>
    </row>
    <row r="378" ht="30.0" customHeight="1">
      <c r="AH378" s="5"/>
      <c r="AI378" s="5"/>
      <c r="AJ378" s="5"/>
    </row>
    <row r="379" ht="30.0" customHeight="1">
      <c r="AH379" s="5"/>
      <c r="AI379" s="5"/>
      <c r="AJ379" s="5"/>
    </row>
    <row r="380" ht="30.0" customHeight="1">
      <c r="AH380" s="5"/>
      <c r="AI380" s="5"/>
      <c r="AJ380" s="5"/>
    </row>
    <row r="381" ht="30.0" customHeight="1">
      <c r="AH381" s="5"/>
      <c r="AI381" s="5"/>
      <c r="AJ381" s="5"/>
    </row>
    <row r="382" ht="30.0" customHeight="1">
      <c r="AH382" s="5"/>
      <c r="AI382" s="5"/>
      <c r="AJ382" s="5"/>
    </row>
    <row r="383" ht="30.0" customHeight="1">
      <c r="AH383" s="5"/>
      <c r="AI383" s="5"/>
      <c r="AJ383" s="5"/>
    </row>
    <row r="384" ht="30.0" customHeight="1">
      <c r="AH384" s="5"/>
      <c r="AI384" s="5"/>
      <c r="AJ384" s="5"/>
    </row>
    <row r="385" ht="30.0" customHeight="1">
      <c r="AH385" s="5"/>
      <c r="AI385" s="5"/>
      <c r="AJ385" s="5"/>
    </row>
    <row r="386" ht="30.0" customHeight="1">
      <c r="AH386" s="5"/>
      <c r="AI386" s="5"/>
      <c r="AJ386" s="5"/>
    </row>
    <row r="387" ht="30.0" customHeight="1">
      <c r="AH387" s="5"/>
      <c r="AI387" s="5"/>
      <c r="AJ387" s="5"/>
    </row>
    <row r="388" ht="30.0" customHeight="1">
      <c r="AH388" s="5"/>
      <c r="AI388" s="5"/>
      <c r="AJ388" s="5"/>
    </row>
    <row r="389" ht="30.0" customHeight="1">
      <c r="AH389" s="5"/>
      <c r="AI389" s="5"/>
      <c r="AJ389" s="5"/>
    </row>
    <row r="390" ht="30.0" customHeight="1">
      <c r="AH390" s="5"/>
      <c r="AI390" s="5"/>
      <c r="AJ390" s="5"/>
    </row>
    <row r="391" ht="30.0" customHeight="1">
      <c r="AH391" s="5"/>
      <c r="AI391" s="5"/>
      <c r="AJ391" s="5"/>
    </row>
    <row r="392" ht="30.0" customHeight="1">
      <c r="AH392" s="5"/>
      <c r="AI392" s="5"/>
      <c r="AJ392" s="5"/>
    </row>
    <row r="393" ht="30.0" customHeight="1">
      <c r="AH393" s="5"/>
      <c r="AI393" s="5"/>
      <c r="AJ393" s="5"/>
    </row>
    <row r="394" ht="30.0" customHeight="1">
      <c r="AH394" s="5"/>
      <c r="AI394" s="5"/>
      <c r="AJ394" s="5"/>
    </row>
    <row r="395" ht="30.0" customHeight="1">
      <c r="AH395" s="5"/>
      <c r="AI395" s="5"/>
      <c r="AJ395" s="5"/>
    </row>
    <row r="396" ht="30.0" customHeight="1">
      <c r="AH396" s="5"/>
      <c r="AI396" s="5"/>
      <c r="AJ396" s="5"/>
    </row>
    <row r="397" ht="30.0" customHeight="1">
      <c r="AH397" s="5"/>
      <c r="AI397" s="5"/>
      <c r="AJ397" s="5"/>
    </row>
    <row r="398" ht="30.0" customHeight="1">
      <c r="AH398" s="5"/>
      <c r="AI398" s="5"/>
      <c r="AJ398" s="5"/>
    </row>
    <row r="399" ht="30.0" customHeight="1">
      <c r="AH399" s="5"/>
      <c r="AI399" s="5"/>
      <c r="AJ399" s="5"/>
    </row>
    <row r="400" ht="30.0" customHeight="1">
      <c r="AH400" s="5"/>
      <c r="AI400" s="5"/>
      <c r="AJ400" s="5"/>
    </row>
    <row r="401" ht="30.0" customHeight="1">
      <c r="AH401" s="5"/>
      <c r="AI401" s="5"/>
      <c r="AJ401" s="5"/>
    </row>
    <row r="402" ht="30.0" customHeight="1">
      <c r="AH402" s="5"/>
      <c r="AI402" s="5"/>
      <c r="AJ402" s="5"/>
    </row>
    <row r="403" ht="30.0" customHeight="1">
      <c r="AH403" s="5"/>
      <c r="AI403" s="5"/>
      <c r="AJ403" s="5"/>
    </row>
    <row r="404" ht="30.0" customHeight="1">
      <c r="AH404" s="5"/>
      <c r="AI404" s="5"/>
      <c r="AJ404" s="5"/>
    </row>
    <row r="405" ht="30.0" customHeight="1">
      <c r="AH405" s="5"/>
      <c r="AI405" s="5"/>
      <c r="AJ405" s="5"/>
    </row>
    <row r="406" ht="30.0" customHeight="1">
      <c r="AH406" s="5"/>
      <c r="AI406" s="5"/>
      <c r="AJ406" s="5"/>
    </row>
    <row r="407" ht="30.0" customHeight="1">
      <c r="AH407" s="5"/>
      <c r="AI407" s="5"/>
      <c r="AJ407" s="5"/>
    </row>
    <row r="408" ht="30.0" customHeight="1">
      <c r="AH408" s="5"/>
      <c r="AI408" s="5"/>
      <c r="AJ408" s="5"/>
    </row>
    <row r="409" ht="30.0" customHeight="1">
      <c r="AH409" s="5"/>
      <c r="AI409" s="5"/>
      <c r="AJ409" s="5"/>
    </row>
    <row r="410" ht="30.0" customHeight="1">
      <c r="AH410" s="5"/>
      <c r="AI410" s="5"/>
      <c r="AJ410" s="5"/>
    </row>
    <row r="411" ht="30.0" customHeight="1">
      <c r="AH411" s="5"/>
      <c r="AI411" s="5"/>
      <c r="AJ411" s="5"/>
    </row>
    <row r="412" ht="30.0" customHeight="1">
      <c r="AH412" s="5"/>
      <c r="AI412" s="5"/>
      <c r="AJ412" s="5"/>
    </row>
    <row r="413" ht="30.0" customHeight="1">
      <c r="AH413" s="5"/>
      <c r="AI413" s="5"/>
      <c r="AJ413" s="5"/>
    </row>
    <row r="414" ht="30.0" customHeight="1">
      <c r="AH414" s="5"/>
      <c r="AI414" s="5"/>
      <c r="AJ414" s="5"/>
    </row>
    <row r="415" ht="30.0" customHeight="1">
      <c r="AH415" s="5"/>
      <c r="AI415" s="5"/>
      <c r="AJ415" s="5"/>
    </row>
    <row r="416" ht="30.0" customHeight="1">
      <c r="AH416" s="5"/>
      <c r="AI416" s="5"/>
      <c r="AJ416" s="5"/>
    </row>
    <row r="417" ht="30.0" customHeight="1">
      <c r="AH417" s="5"/>
      <c r="AI417" s="5"/>
      <c r="AJ417" s="5"/>
    </row>
    <row r="418" ht="30.0" customHeight="1">
      <c r="AH418" s="5"/>
      <c r="AI418" s="5"/>
      <c r="AJ418" s="5"/>
    </row>
    <row r="419" ht="30.0" customHeight="1">
      <c r="AH419" s="5"/>
      <c r="AI419" s="5"/>
      <c r="AJ419" s="5"/>
    </row>
    <row r="420" ht="30.0" customHeight="1">
      <c r="AH420" s="5"/>
      <c r="AI420" s="5"/>
      <c r="AJ420" s="5"/>
    </row>
    <row r="421" ht="30.0" customHeight="1">
      <c r="AH421" s="5"/>
      <c r="AI421" s="5"/>
      <c r="AJ421" s="5"/>
    </row>
    <row r="422" ht="30.0" customHeight="1">
      <c r="AH422" s="5"/>
      <c r="AI422" s="5"/>
      <c r="AJ422" s="5"/>
    </row>
    <row r="423" ht="30.0" customHeight="1">
      <c r="AH423" s="5"/>
      <c r="AI423" s="5"/>
      <c r="AJ423" s="5"/>
    </row>
    <row r="424" ht="30.0" customHeight="1">
      <c r="AH424" s="5"/>
      <c r="AI424" s="5"/>
      <c r="AJ424" s="5"/>
    </row>
    <row r="425" ht="30.0" customHeight="1">
      <c r="AH425" s="5"/>
      <c r="AI425" s="5"/>
      <c r="AJ425" s="5"/>
    </row>
    <row r="426" ht="30.0" customHeight="1">
      <c r="AH426" s="5"/>
      <c r="AI426" s="5"/>
      <c r="AJ426" s="5"/>
    </row>
    <row r="427" ht="30.0" customHeight="1">
      <c r="AH427" s="5"/>
      <c r="AI427" s="5"/>
      <c r="AJ427" s="5"/>
    </row>
    <row r="428" ht="30.0" customHeight="1">
      <c r="AH428" s="5"/>
      <c r="AI428" s="5"/>
      <c r="AJ428" s="5"/>
    </row>
    <row r="429" ht="30.0" customHeight="1">
      <c r="AH429" s="5"/>
      <c r="AI429" s="5"/>
      <c r="AJ429" s="5"/>
    </row>
    <row r="430" ht="30.0" customHeight="1">
      <c r="AH430" s="5"/>
      <c r="AI430" s="5"/>
      <c r="AJ430" s="5"/>
    </row>
    <row r="431" ht="30.0" customHeight="1">
      <c r="AH431" s="5"/>
      <c r="AI431" s="5"/>
      <c r="AJ431" s="5"/>
    </row>
    <row r="432" ht="30.0" customHeight="1">
      <c r="AH432" s="5"/>
      <c r="AI432" s="5"/>
      <c r="AJ432" s="5"/>
    </row>
    <row r="433" ht="30.0" customHeight="1">
      <c r="AH433" s="5"/>
      <c r="AI433" s="5"/>
      <c r="AJ433" s="5"/>
    </row>
    <row r="434" ht="30.0" customHeight="1">
      <c r="AH434" s="5"/>
      <c r="AI434" s="5"/>
      <c r="AJ434" s="5"/>
    </row>
    <row r="435" ht="30.0" customHeight="1">
      <c r="AH435" s="5"/>
      <c r="AI435" s="5"/>
      <c r="AJ435" s="5"/>
    </row>
    <row r="436" ht="30.0" customHeight="1">
      <c r="AH436" s="5"/>
      <c r="AI436" s="5"/>
      <c r="AJ436" s="5"/>
    </row>
    <row r="437" ht="30.0" customHeight="1">
      <c r="AH437" s="5"/>
      <c r="AI437" s="5"/>
      <c r="AJ437" s="5"/>
    </row>
    <row r="438" ht="30.0" customHeight="1">
      <c r="AH438" s="5"/>
      <c r="AI438" s="5"/>
      <c r="AJ438" s="5"/>
    </row>
    <row r="439" ht="30.0" customHeight="1">
      <c r="AH439" s="5"/>
      <c r="AI439" s="5"/>
      <c r="AJ439" s="5"/>
    </row>
    <row r="440" ht="30.0" customHeight="1">
      <c r="AH440" s="5"/>
      <c r="AI440" s="5"/>
      <c r="AJ440" s="5"/>
    </row>
    <row r="441" ht="30.0" customHeight="1">
      <c r="AH441" s="5"/>
      <c r="AI441" s="5"/>
      <c r="AJ441" s="5"/>
    </row>
    <row r="442" ht="30.0" customHeight="1">
      <c r="AH442" s="5"/>
      <c r="AI442" s="5"/>
      <c r="AJ442" s="5"/>
    </row>
    <row r="443" ht="30.0" customHeight="1">
      <c r="AH443" s="5"/>
      <c r="AI443" s="5"/>
      <c r="AJ443" s="5"/>
    </row>
    <row r="444" ht="30.0" customHeight="1">
      <c r="AH444" s="5"/>
      <c r="AI444" s="5"/>
      <c r="AJ444" s="5"/>
    </row>
    <row r="445" ht="30.0" customHeight="1">
      <c r="AH445" s="5"/>
      <c r="AI445" s="5"/>
      <c r="AJ445" s="5"/>
    </row>
    <row r="446" ht="30.0" customHeight="1">
      <c r="AH446" s="5"/>
      <c r="AI446" s="5"/>
      <c r="AJ446" s="5"/>
    </row>
    <row r="447" ht="30.0" customHeight="1">
      <c r="AH447" s="5"/>
      <c r="AI447" s="5"/>
      <c r="AJ447" s="5"/>
    </row>
    <row r="448" ht="30.0" customHeight="1">
      <c r="AH448" s="5"/>
      <c r="AI448" s="5"/>
      <c r="AJ448" s="5"/>
    </row>
    <row r="449" ht="30.0" customHeight="1">
      <c r="AH449" s="5"/>
      <c r="AI449" s="5"/>
      <c r="AJ449" s="5"/>
    </row>
    <row r="450" ht="30.0" customHeight="1">
      <c r="AH450" s="5"/>
      <c r="AI450" s="5"/>
      <c r="AJ450" s="5"/>
    </row>
    <row r="451" ht="30.0" customHeight="1">
      <c r="AH451" s="5"/>
      <c r="AI451" s="5"/>
      <c r="AJ451" s="5"/>
    </row>
    <row r="452" ht="30.0" customHeight="1">
      <c r="AH452" s="5"/>
      <c r="AI452" s="5"/>
      <c r="AJ452" s="5"/>
    </row>
    <row r="453" ht="30.0" customHeight="1">
      <c r="AH453" s="5"/>
      <c r="AI453" s="5"/>
      <c r="AJ453" s="5"/>
    </row>
    <row r="454" ht="30.0" customHeight="1">
      <c r="AH454" s="5"/>
      <c r="AI454" s="5"/>
      <c r="AJ454" s="5"/>
    </row>
    <row r="455" ht="30.0" customHeight="1">
      <c r="AH455" s="5"/>
      <c r="AI455" s="5"/>
      <c r="AJ455" s="5"/>
    </row>
    <row r="456" ht="30.0" customHeight="1">
      <c r="AH456" s="5"/>
      <c r="AI456" s="5"/>
      <c r="AJ456" s="5"/>
    </row>
    <row r="457" ht="30.0" customHeight="1">
      <c r="AH457" s="5"/>
      <c r="AI457" s="5"/>
      <c r="AJ457" s="5"/>
    </row>
    <row r="458" ht="30.0" customHeight="1">
      <c r="AH458" s="5"/>
      <c r="AI458" s="5"/>
      <c r="AJ458" s="5"/>
    </row>
    <row r="459" ht="30.0" customHeight="1">
      <c r="AH459" s="5"/>
      <c r="AI459" s="5"/>
      <c r="AJ459" s="5"/>
    </row>
    <row r="460" ht="30.0" customHeight="1">
      <c r="AH460" s="5"/>
      <c r="AI460" s="5"/>
      <c r="AJ460" s="5"/>
    </row>
    <row r="461" ht="30.0" customHeight="1">
      <c r="AH461" s="5"/>
      <c r="AI461" s="5"/>
      <c r="AJ461" s="5"/>
    </row>
    <row r="462" ht="30.0" customHeight="1">
      <c r="AH462" s="5"/>
      <c r="AI462" s="5"/>
      <c r="AJ462" s="5"/>
    </row>
    <row r="463" ht="30.0" customHeight="1">
      <c r="AH463" s="5"/>
      <c r="AI463" s="5"/>
      <c r="AJ463" s="5"/>
    </row>
    <row r="464" ht="30.0" customHeight="1">
      <c r="AH464" s="5"/>
      <c r="AI464" s="5"/>
      <c r="AJ464" s="5"/>
    </row>
    <row r="465" ht="30.0" customHeight="1">
      <c r="AH465" s="5"/>
      <c r="AI465" s="5"/>
      <c r="AJ465" s="5"/>
    </row>
    <row r="466" ht="30.0" customHeight="1">
      <c r="AH466" s="5"/>
      <c r="AI466" s="5"/>
      <c r="AJ466" s="5"/>
    </row>
    <row r="467" ht="30.0" customHeight="1">
      <c r="AH467" s="5"/>
      <c r="AI467" s="5"/>
      <c r="AJ467" s="5"/>
    </row>
    <row r="468" ht="30.0" customHeight="1">
      <c r="AH468" s="5"/>
      <c r="AI468" s="5"/>
      <c r="AJ468" s="5"/>
    </row>
    <row r="469" ht="30.0" customHeight="1">
      <c r="AH469" s="5"/>
      <c r="AI469" s="5"/>
      <c r="AJ469" s="5"/>
    </row>
    <row r="470" ht="30.0" customHeight="1">
      <c r="AH470" s="5"/>
      <c r="AI470" s="5"/>
      <c r="AJ470" s="5"/>
    </row>
    <row r="471" ht="30.0" customHeight="1">
      <c r="AH471" s="5"/>
      <c r="AI471" s="5"/>
      <c r="AJ471" s="5"/>
    </row>
    <row r="472" ht="30.0" customHeight="1">
      <c r="AH472" s="5"/>
      <c r="AI472" s="5"/>
      <c r="AJ472" s="5"/>
    </row>
    <row r="473" ht="30.0" customHeight="1">
      <c r="AH473" s="5"/>
      <c r="AI473" s="5"/>
      <c r="AJ473" s="5"/>
    </row>
    <row r="474" ht="30.0" customHeight="1">
      <c r="AH474" s="5"/>
      <c r="AI474" s="5"/>
      <c r="AJ474" s="5"/>
    </row>
    <row r="475" ht="30.0" customHeight="1">
      <c r="AH475" s="5"/>
      <c r="AI475" s="5"/>
      <c r="AJ475" s="5"/>
    </row>
    <row r="476" ht="30.0" customHeight="1">
      <c r="AH476" s="5"/>
      <c r="AI476" s="5"/>
      <c r="AJ476" s="5"/>
    </row>
    <row r="477" ht="30.0" customHeight="1">
      <c r="AH477" s="5"/>
      <c r="AI477" s="5"/>
      <c r="AJ477" s="5"/>
    </row>
    <row r="478" ht="30.0" customHeight="1">
      <c r="AH478" s="5"/>
      <c r="AI478" s="5"/>
      <c r="AJ478" s="5"/>
    </row>
    <row r="479" ht="30.0" customHeight="1">
      <c r="AH479" s="5"/>
      <c r="AI479" s="5"/>
      <c r="AJ479" s="5"/>
    </row>
    <row r="480" ht="30.0" customHeight="1">
      <c r="AH480" s="5"/>
      <c r="AI480" s="5"/>
      <c r="AJ480" s="5"/>
    </row>
    <row r="481" ht="30.0" customHeight="1">
      <c r="AH481" s="5"/>
      <c r="AI481" s="5"/>
      <c r="AJ481" s="5"/>
    </row>
    <row r="482" ht="30.0" customHeight="1">
      <c r="AH482" s="5"/>
      <c r="AI482" s="5"/>
      <c r="AJ482" s="5"/>
    </row>
    <row r="483" ht="30.0" customHeight="1">
      <c r="AH483" s="5"/>
      <c r="AI483" s="5"/>
      <c r="AJ483" s="5"/>
    </row>
    <row r="484" ht="30.0" customHeight="1">
      <c r="AH484" s="5"/>
      <c r="AI484" s="5"/>
      <c r="AJ484" s="5"/>
    </row>
    <row r="485" ht="30.0" customHeight="1">
      <c r="AH485" s="5"/>
      <c r="AI485" s="5"/>
      <c r="AJ485" s="5"/>
    </row>
    <row r="486" ht="30.0" customHeight="1">
      <c r="AH486" s="5"/>
      <c r="AI486" s="5"/>
      <c r="AJ486" s="5"/>
    </row>
    <row r="487" ht="30.0" customHeight="1">
      <c r="AH487" s="5"/>
      <c r="AI487" s="5"/>
      <c r="AJ487" s="5"/>
    </row>
    <row r="488" ht="30.0" customHeight="1">
      <c r="AH488" s="5"/>
      <c r="AI488" s="5"/>
      <c r="AJ488" s="5"/>
    </row>
    <row r="489" ht="30.0" customHeight="1">
      <c r="AH489" s="5"/>
      <c r="AI489" s="5"/>
      <c r="AJ489" s="5"/>
    </row>
    <row r="490" ht="30.0" customHeight="1">
      <c r="AH490" s="5"/>
      <c r="AI490" s="5"/>
      <c r="AJ490" s="5"/>
    </row>
    <row r="491" ht="30.0" customHeight="1">
      <c r="AH491" s="5"/>
      <c r="AI491" s="5"/>
      <c r="AJ491" s="5"/>
    </row>
    <row r="492" ht="30.0" customHeight="1">
      <c r="AH492" s="5"/>
      <c r="AI492" s="5"/>
      <c r="AJ492" s="5"/>
    </row>
    <row r="493" ht="30.0" customHeight="1">
      <c r="AH493" s="5"/>
      <c r="AI493" s="5"/>
      <c r="AJ493" s="5"/>
    </row>
    <row r="494" ht="30.0" customHeight="1">
      <c r="AH494" s="5"/>
      <c r="AI494" s="5"/>
      <c r="AJ494" s="5"/>
    </row>
    <row r="495" ht="30.0" customHeight="1">
      <c r="AH495" s="5"/>
      <c r="AI495" s="5"/>
      <c r="AJ495" s="5"/>
    </row>
    <row r="496" ht="30.0" customHeight="1">
      <c r="AH496" s="5"/>
      <c r="AI496" s="5"/>
      <c r="AJ496" s="5"/>
    </row>
    <row r="497" ht="30.0" customHeight="1">
      <c r="AH497" s="5"/>
      <c r="AI497" s="5"/>
      <c r="AJ497" s="5"/>
    </row>
    <row r="498" ht="30.0" customHeight="1">
      <c r="AH498" s="5"/>
      <c r="AI498" s="5"/>
      <c r="AJ498" s="5"/>
    </row>
    <row r="499" ht="30.0" customHeight="1">
      <c r="AH499" s="5"/>
      <c r="AI499" s="5"/>
      <c r="AJ499" s="5"/>
    </row>
    <row r="500" ht="30.0" customHeight="1">
      <c r="AH500" s="5"/>
      <c r="AI500" s="5"/>
      <c r="AJ500" s="5"/>
    </row>
    <row r="501" ht="30.0" customHeight="1">
      <c r="AH501" s="5"/>
      <c r="AI501" s="5"/>
      <c r="AJ501" s="5"/>
    </row>
    <row r="502" ht="30.0" customHeight="1">
      <c r="AH502" s="5"/>
      <c r="AI502" s="5"/>
      <c r="AJ502" s="5"/>
    </row>
    <row r="503" ht="30.0" customHeight="1">
      <c r="AH503" s="5"/>
      <c r="AI503" s="5"/>
      <c r="AJ503" s="5"/>
    </row>
    <row r="504" ht="30.0" customHeight="1">
      <c r="AH504" s="5"/>
      <c r="AI504" s="5"/>
      <c r="AJ504" s="5"/>
    </row>
    <row r="505" ht="30.0" customHeight="1">
      <c r="AH505" s="5"/>
      <c r="AI505" s="5"/>
      <c r="AJ505" s="5"/>
    </row>
    <row r="506" ht="30.0" customHeight="1">
      <c r="AH506" s="5"/>
      <c r="AI506" s="5"/>
      <c r="AJ506" s="5"/>
    </row>
    <row r="507" ht="30.0" customHeight="1">
      <c r="AH507" s="5"/>
      <c r="AI507" s="5"/>
      <c r="AJ507" s="5"/>
    </row>
    <row r="508" ht="30.0" customHeight="1">
      <c r="AH508" s="5"/>
      <c r="AI508" s="5"/>
      <c r="AJ508" s="5"/>
    </row>
    <row r="509" ht="30.0" customHeight="1">
      <c r="AH509" s="5"/>
      <c r="AI509" s="5"/>
      <c r="AJ509" s="5"/>
    </row>
    <row r="510" ht="30.0" customHeight="1">
      <c r="AH510" s="5"/>
      <c r="AI510" s="5"/>
      <c r="AJ510" s="5"/>
    </row>
    <row r="511" ht="30.0" customHeight="1">
      <c r="AH511" s="5"/>
      <c r="AI511" s="5"/>
      <c r="AJ511" s="5"/>
    </row>
    <row r="512" ht="30.0" customHeight="1">
      <c r="AH512" s="5"/>
      <c r="AI512" s="5"/>
      <c r="AJ512" s="5"/>
    </row>
    <row r="513" ht="30.0" customHeight="1">
      <c r="AH513" s="5"/>
      <c r="AI513" s="5"/>
      <c r="AJ513" s="5"/>
    </row>
    <row r="514" ht="30.0" customHeight="1">
      <c r="AH514" s="5"/>
      <c r="AI514" s="5"/>
      <c r="AJ514" s="5"/>
    </row>
    <row r="515" ht="30.0" customHeight="1">
      <c r="AH515" s="5"/>
      <c r="AI515" s="5"/>
      <c r="AJ515" s="5"/>
    </row>
    <row r="516" ht="30.0" customHeight="1">
      <c r="AH516" s="5"/>
      <c r="AI516" s="5"/>
      <c r="AJ516" s="5"/>
    </row>
    <row r="517" ht="30.0" customHeight="1">
      <c r="AH517" s="5"/>
      <c r="AI517" s="5"/>
      <c r="AJ517" s="5"/>
    </row>
    <row r="518" ht="30.0" customHeight="1">
      <c r="AH518" s="5"/>
      <c r="AI518" s="5"/>
      <c r="AJ518" s="5"/>
    </row>
    <row r="519" ht="30.0" customHeight="1">
      <c r="AH519" s="5"/>
      <c r="AI519" s="5"/>
      <c r="AJ519" s="5"/>
    </row>
    <row r="520" ht="30.0" customHeight="1">
      <c r="AH520" s="5"/>
      <c r="AI520" s="5"/>
      <c r="AJ520" s="5"/>
    </row>
    <row r="521" ht="30.0" customHeight="1">
      <c r="AH521" s="5"/>
      <c r="AI521" s="5"/>
      <c r="AJ521" s="5"/>
    </row>
    <row r="522" ht="30.0" customHeight="1">
      <c r="AH522" s="5"/>
      <c r="AI522" s="5"/>
      <c r="AJ522" s="5"/>
    </row>
    <row r="523" ht="30.0" customHeight="1">
      <c r="AH523" s="5"/>
      <c r="AI523" s="5"/>
      <c r="AJ523" s="5"/>
    </row>
    <row r="524" ht="30.0" customHeight="1">
      <c r="AH524" s="5"/>
      <c r="AI524" s="5"/>
      <c r="AJ524" s="5"/>
    </row>
    <row r="525" ht="30.0" customHeight="1">
      <c r="AH525" s="5"/>
      <c r="AI525" s="5"/>
      <c r="AJ525" s="5"/>
    </row>
    <row r="526" ht="30.0" customHeight="1">
      <c r="AH526" s="5"/>
      <c r="AI526" s="5"/>
      <c r="AJ526" s="5"/>
    </row>
    <row r="527" ht="30.0" customHeight="1">
      <c r="AH527" s="5"/>
      <c r="AI527" s="5"/>
      <c r="AJ527" s="5"/>
    </row>
    <row r="528" ht="30.0" customHeight="1">
      <c r="AH528" s="5"/>
      <c r="AI528" s="5"/>
      <c r="AJ528" s="5"/>
    </row>
    <row r="529" ht="30.0" customHeight="1">
      <c r="AH529" s="5"/>
      <c r="AI529" s="5"/>
      <c r="AJ529" s="5"/>
    </row>
    <row r="530" ht="30.0" customHeight="1">
      <c r="AH530" s="5"/>
      <c r="AI530" s="5"/>
      <c r="AJ530" s="5"/>
    </row>
    <row r="531" ht="30.0" customHeight="1">
      <c r="AH531" s="5"/>
      <c r="AI531" s="5"/>
      <c r="AJ531" s="5"/>
    </row>
    <row r="532" ht="30.0" customHeight="1">
      <c r="AH532" s="5"/>
      <c r="AI532" s="5"/>
      <c r="AJ532" s="5"/>
    </row>
    <row r="533" ht="30.0" customHeight="1">
      <c r="AH533" s="5"/>
      <c r="AI533" s="5"/>
      <c r="AJ533" s="5"/>
    </row>
    <row r="534" ht="30.0" customHeight="1">
      <c r="AH534" s="5"/>
      <c r="AI534" s="5"/>
      <c r="AJ534" s="5"/>
    </row>
    <row r="535" ht="30.0" customHeight="1">
      <c r="AH535" s="5"/>
      <c r="AI535" s="5"/>
      <c r="AJ535" s="5"/>
    </row>
    <row r="536" ht="30.0" customHeight="1">
      <c r="AH536" s="5"/>
      <c r="AI536" s="5"/>
      <c r="AJ536" s="5"/>
    </row>
    <row r="537" ht="30.0" customHeight="1">
      <c r="AH537" s="5"/>
      <c r="AI537" s="5"/>
      <c r="AJ537" s="5"/>
    </row>
    <row r="538" ht="30.0" customHeight="1">
      <c r="AH538" s="5"/>
      <c r="AI538" s="5"/>
      <c r="AJ538" s="5"/>
    </row>
    <row r="539" ht="30.0" customHeight="1">
      <c r="AH539" s="5"/>
      <c r="AI539" s="5"/>
      <c r="AJ539" s="5"/>
    </row>
    <row r="540" ht="30.0" customHeight="1">
      <c r="AH540" s="5"/>
      <c r="AI540" s="5"/>
      <c r="AJ540" s="5"/>
    </row>
    <row r="541" ht="30.0" customHeight="1">
      <c r="AH541" s="5"/>
      <c r="AI541" s="5"/>
      <c r="AJ541" s="5"/>
    </row>
    <row r="542" ht="30.0" customHeight="1">
      <c r="AH542" s="5"/>
      <c r="AI542" s="5"/>
      <c r="AJ542" s="5"/>
    </row>
    <row r="543" ht="30.0" customHeight="1">
      <c r="AH543" s="5"/>
      <c r="AI543" s="5"/>
      <c r="AJ543" s="5"/>
    </row>
    <row r="544" ht="30.0" customHeight="1">
      <c r="AH544" s="5"/>
      <c r="AI544" s="5"/>
      <c r="AJ544" s="5"/>
    </row>
    <row r="545" ht="30.0" customHeight="1">
      <c r="AH545" s="5"/>
      <c r="AI545" s="5"/>
      <c r="AJ545" s="5"/>
    </row>
    <row r="546" ht="30.0" customHeight="1">
      <c r="AH546" s="5"/>
      <c r="AI546" s="5"/>
      <c r="AJ546" s="5"/>
    </row>
    <row r="547" ht="30.0" customHeight="1">
      <c r="AH547" s="5"/>
      <c r="AI547" s="5"/>
      <c r="AJ547" s="5"/>
    </row>
    <row r="548" ht="30.0" customHeight="1">
      <c r="AH548" s="5"/>
      <c r="AI548" s="5"/>
      <c r="AJ548" s="5"/>
    </row>
    <row r="549" ht="30.0" customHeight="1">
      <c r="AH549" s="5"/>
      <c r="AI549" s="5"/>
      <c r="AJ549" s="5"/>
    </row>
    <row r="550" ht="30.0" customHeight="1">
      <c r="AH550" s="5"/>
      <c r="AI550" s="5"/>
      <c r="AJ550" s="5"/>
    </row>
    <row r="551" ht="30.0" customHeight="1">
      <c r="AH551" s="5"/>
      <c r="AI551" s="5"/>
      <c r="AJ551" s="5"/>
    </row>
    <row r="552" ht="30.0" customHeight="1">
      <c r="AH552" s="5"/>
      <c r="AI552" s="5"/>
      <c r="AJ552" s="5"/>
    </row>
    <row r="553" ht="30.0" customHeight="1">
      <c r="AH553" s="5"/>
      <c r="AI553" s="5"/>
      <c r="AJ553" s="5"/>
    </row>
    <row r="554" ht="30.0" customHeight="1">
      <c r="AH554" s="5"/>
      <c r="AI554" s="5"/>
      <c r="AJ554" s="5"/>
    </row>
    <row r="555" ht="30.0" customHeight="1">
      <c r="AH555" s="5"/>
      <c r="AI555" s="5"/>
      <c r="AJ555" s="5"/>
    </row>
    <row r="556" ht="30.0" customHeight="1">
      <c r="AH556" s="5"/>
      <c r="AI556" s="5"/>
      <c r="AJ556" s="5"/>
    </row>
    <row r="557" ht="30.0" customHeight="1">
      <c r="AH557" s="5"/>
      <c r="AI557" s="5"/>
      <c r="AJ557" s="5"/>
    </row>
    <row r="558" ht="30.0" customHeight="1">
      <c r="AH558" s="5"/>
      <c r="AI558" s="5"/>
      <c r="AJ558" s="5"/>
    </row>
    <row r="559" ht="30.0" customHeight="1">
      <c r="AH559" s="5"/>
      <c r="AI559" s="5"/>
      <c r="AJ559" s="5"/>
    </row>
    <row r="560" ht="30.0" customHeight="1">
      <c r="AH560" s="5"/>
      <c r="AI560" s="5"/>
      <c r="AJ560" s="5"/>
    </row>
    <row r="561" ht="30.0" customHeight="1">
      <c r="AH561" s="5"/>
      <c r="AI561" s="5"/>
      <c r="AJ561" s="5"/>
    </row>
    <row r="562" ht="30.0" customHeight="1">
      <c r="AH562" s="5"/>
      <c r="AI562" s="5"/>
      <c r="AJ562" s="5"/>
    </row>
    <row r="563" ht="30.0" customHeight="1">
      <c r="AH563" s="5"/>
      <c r="AI563" s="5"/>
      <c r="AJ563" s="5"/>
    </row>
    <row r="564" ht="30.0" customHeight="1">
      <c r="AH564" s="5"/>
      <c r="AI564" s="5"/>
      <c r="AJ564" s="5"/>
    </row>
    <row r="565" ht="30.0" customHeight="1">
      <c r="AH565" s="5"/>
      <c r="AI565" s="5"/>
      <c r="AJ565" s="5"/>
    </row>
    <row r="566" ht="30.0" customHeight="1">
      <c r="AH566" s="5"/>
      <c r="AI566" s="5"/>
      <c r="AJ566" s="5"/>
    </row>
    <row r="567" ht="30.0" customHeight="1">
      <c r="AH567" s="5"/>
      <c r="AI567" s="5"/>
      <c r="AJ567" s="5"/>
    </row>
    <row r="568" ht="30.0" customHeight="1">
      <c r="AH568" s="5"/>
      <c r="AI568" s="5"/>
      <c r="AJ568" s="5"/>
    </row>
    <row r="569" ht="30.0" customHeight="1">
      <c r="AH569" s="5"/>
      <c r="AI569" s="5"/>
      <c r="AJ569" s="5"/>
    </row>
    <row r="570" ht="30.0" customHeight="1">
      <c r="AH570" s="5"/>
      <c r="AI570" s="5"/>
      <c r="AJ570" s="5"/>
    </row>
    <row r="571" ht="30.0" customHeight="1">
      <c r="AH571" s="5"/>
      <c r="AI571" s="5"/>
      <c r="AJ571" s="5"/>
    </row>
    <row r="572" ht="30.0" customHeight="1">
      <c r="AH572" s="5"/>
      <c r="AI572" s="5"/>
      <c r="AJ572" s="5"/>
    </row>
    <row r="573" ht="30.0" customHeight="1">
      <c r="AH573" s="5"/>
      <c r="AI573" s="5"/>
      <c r="AJ573" s="5"/>
    </row>
    <row r="574" ht="30.0" customHeight="1">
      <c r="AH574" s="5"/>
      <c r="AI574" s="5"/>
      <c r="AJ574" s="5"/>
    </row>
    <row r="575" ht="30.0" customHeight="1">
      <c r="AH575" s="5"/>
      <c r="AI575" s="5"/>
      <c r="AJ575" s="5"/>
    </row>
    <row r="576" ht="30.0" customHeight="1">
      <c r="AH576" s="5"/>
      <c r="AI576" s="5"/>
      <c r="AJ576" s="5"/>
    </row>
    <row r="577" ht="30.0" customHeight="1">
      <c r="AH577" s="5"/>
      <c r="AI577" s="5"/>
      <c r="AJ577" s="5"/>
    </row>
    <row r="578" ht="30.0" customHeight="1">
      <c r="AH578" s="5"/>
      <c r="AI578" s="5"/>
      <c r="AJ578" s="5"/>
    </row>
    <row r="579" ht="30.0" customHeight="1">
      <c r="AH579" s="5"/>
      <c r="AI579" s="5"/>
      <c r="AJ579" s="5"/>
    </row>
    <row r="580" ht="30.0" customHeight="1">
      <c r="AH580" s="5"/>
      <c r="AI580" s="5"/>
      <c r="AJ580" s="5"/>
    </row>
    <row r="581" ht="30.0" customHeight="1">
      <c r="AH581" s="5"/>
      <c r="AI581" s="5"/>
      <c r="AJ581" s="5"/>
    </row>
    <row r="582" ht="30.0" customHeight="1">
      <c r="AH582" s="5"/>
      <c r="AI582" s="5"/>
      <c r="AJ582" s="5"/>
    </row>
    <row r="583" ht="30.0" customHeight="1">
      <c r="AH583" s="5"/>
      <c r="AI583" s="5"/>
      <c r="AJ583" s="5"/>
    </row>
    <row r="584" ht="30.0" customHeight="1">
      <c r="AH584" s="5"/>
      <c r="AI584" s="5"/>
      <c r="AJ584" s="5"/>
    </row>
    <row r="585" ht="30.0" customHeight="1">
      <c r="AH585" s="5"/>
      <c r="AI585" s="5"/>
      <c r="AJ585" s="5"/>
    </row>
    <row r="586" ht="30.0" customHeight="1">
      <c r="AH586" s="5"/>
      <c r="AI586" s="5"/>
      <c r="AJ586" s="5"/>
    </row>
    <row r="587" ht="30.0" customHeight="1">
      <c r="AH587" s="5"/>
      <c r="AI587" s="5"/>
      <c r="AJ587" s="5"/>
    </row>
    <row r="588" ht="30.0" customHeight="1">
      <c r="AH588" s="5"/>
      <c r="AI588" s="5"/>
      <c r="AJ588" s="5"/>
    </row>
    <row r="589" ht="30.0" customHeight="1">
      <c r="AH589" s="5"/>
      <c r="AI589" s="5"/>
      <c r="AJ589" s="5"/>
    </row>
    <row r="590" ht="30.0" customHeight="1">
      <c r="AH590" s="5"/>
      <c r="AI590" s="5"/>
      <c r="AJ590" s="5"/>
    </row>
    <row r="591" ht="30.0" customHeight="1">
      <c r="AH591" s="5"/>
      <c r="AI591" s="5"/>
      <c r="AJ591" s="5"/>
    </row>
    <row r="592" ht="30.0" customHeight="1">
      <c r="AH592" s="5"/>
      <c r="AI592" s="5"/>
      <c r="AJ592" s="5"/>
    </row>
    <row r="593" ht="30.0" customHeight="1">
      <c r="AH593" s="5"/>
      <c r="AI593" s="5"/>
      <c r="AJ593" s="5"/>
    </row>
    <row r="594" ht="30.0" customHeight="1">
      <c r="AH594" s="5"/>
      <c r="AI594" s="5"/>
      <c r="AJ594" s="5"/>
    </row>
    <row r="595" ht="30.0" customHeight="1">
      <c r="AH595" s="5"/>
      <c r="AI595" s="5"/>
      <c r="AJ595" s="5"/>
    </row>
    <row r="596" ht="30.0" customHeight="1">
      <c r="AH596" s="5"/>
      <c r="AI596" s="5"/>
      <c r="AJ596" s="5"/>
    </row>
    <row r="597" ht="30.0" customHeight="1">
      <c r="AH597" s="5"/>
      <c r="AI597" s="5"/>
      <c r="AJ597" s="5"/>
    </row>
    <row r="598" ht="30.0" customHeight="1">
      <c r="AH598" s="5"/>
      <c r="AI598" s="5"/>
      <c r="AJ598" s="5"/>
    </row>
    <row r="599" ht="30.0" customHeight="1">
      <c r="AH599" s="5"/>
      <c r="AI599" s="5"/>
      <c r="AJ599" s="5"/>
    </row>
    <row r="600" ht="30.0" customHeight="1">
      <c r="AH600" s="5"/>
      <c r="AI600" s="5"/>
      <c r="AJ600" s="5"/>
    </row>
    <row r="601" ht="30.0" customHeight="1">
      <c r="AH601" s="5"/>
      <c r="AI601" s="5"/>
      <c r="AJ601" s="5"/>
    </row>
    <row r="602" ht="30.0" customHeight="1">
      <c r="AH602" s="5"/>
      <c r="AI602" s="5"/>
      <c r="AJ602" s="5"/>
    </row>
    <row r="603" ht="30.0" customHeight="1">
      <c r="AH603" s="5"/>
      <c r="AI603" s="5"/>
      <c r="AJ603" s="5"/>
    </row>
    <row r="604" ht="30.0" customHeight="1">
      <c r="AH604" s="5"/>
      <c r="AI604" s="5"/>
      <c r="AJ604" s="5"/>
    </row>
    <row r="605" ht="30.0" customHeight="1">
      <c r="AH605" s="5"/>
      <c r="AI605" s="5"/>
      <c r="AJ605" s="5"/>
    </row>
    <row r="606" ht="30.0" customHeight="1">
      <c r="AH606" s="5"/>
      <c r="AI606" s="5"/>
      <c r="AJ606" s="5"/>
    </row>
    <row r="607" ht="30.0" customHeight="1">
      <c r="AH607" s="5"/>
      <c r="AI607" s="5"/>
      <c r="AJ607" s="5"/>
    </row>
    <row r="608" ht="30.0" customHeight="1">
      <c r="AH608" s="5"/>
      <c r="AI608" s="5"/>
      <c r="AJ608" s="5"/>
    </row>
    <row r="609" ht="30.0" customHeight="1">
      <c r="AH609" s="5"/>
      <c r="AI609" s="5"/>
      <c r="AJ609" s="5"/>
    </row>
    <row r="610" ht="30.0" customHeight="1">
      <c r="AH610" s="5"/>
      <c r="AI610" s="5"/>
      <c r="AJ610" s="5"/>
    </row>
    <row r="611" ht="30.0" customHeight="1">
      <c r="AH611" s="5"/>
      <c r="AI611" s="5"/>
      <c r="AJ611" s="5"/>
    </row>
    <row r="612" ht="30.0" customHeight="1">
      <c r="AH612" s="5"/>
      <c r="AI612" s="5"/>
      <c r="AJ612" s="5"/>
    </row>
    <row r="613" ht="30.0" customHeight="1">
      <c r="AH613" s="5"/>
      <c r="AI613" s="5"/>
      <c r="AJ613" s="5"/>
    </row>
    <row r="614" ht="30.0" customHeight="1">
      <c r="AH614" s="5"/>
      <c r="AI614" s="5"/>
      <c r="AJ614" s="5"/>
    </row>
    <row r="615" ht="30.0" customHeight="1">
      <c r="AH615" s="5"/>
      <c r="AI615" s="5"/>
      <c r="AJ615" s="5"/>
    </row>
    <row r="616" ht="30.0" customHeight="1">
      <c r="AH616" s="5"/>
      <c r="AI616" s="5"/>
      <c r="AJ616" s="5"/>
    </row>
    <row r="617" ht="30.0" customHeight="1">
      <c r="AH617" s="5"/>
      <c r="AI617" s="5"/>
      <c r="AJ617" s="5"/>
    </row>
    <row r="618" ht="30.0" customHeight="1">
      <c r="AH618" s="5"/>
      <c r="AI618" s="5"/>
      <c r="AJ618" s="5"/>
    </row>
    <row r="619" ht="30.0" customHeight="1">
      <c r="AH619" s="5"/>
      <c r="AI619" s="5"/>
      <c r="AJ619" s="5"/>
    </row>
    <row r="620" ht="30.0" customHeight="1">
      <c r="AH620" s="5"/>
      <c r="AI620" s="5"/>
      <c r="AJ620" s="5"/>
    </row>
    <row r="621" ht="30.0" customHeight="1">
      <c r="AH621" s="5"/>
      <c r="AI621" s="5"/>
      <c r="AJ621" s="5"/>
    </row>
    <row r="622" ht="30.0" customHeight="1">
      <c r="AH622" s="5"/>
      <c r="AI622" s="5"/>
      <c r="AJ622" s="5"/>
    </row>
    <row r="623" ht="30.0" customHeight="1">
      <c r="AH623" s="5"/>
      <c r="AI623" s="5"/>
      <c r="AJ623" s="5"/>
    </row>
    <row r="624" ht="30.0" customHeight="1">
      <c r="AH624" s="5"/>
      <c r="AI624" s="5"/>
      <c r="AJ624" s="5"/>
    </row>
    <row r="625" ht="30.0" customHeight="1">
      <c r="AH625" s="5"/>
      <c r="AI625" s="5"/>
      <c r="AJ625" s="5"/>
    </row>
    <row r="626" ht="30.0" customHeight="1">
      <c r="AH626" s="5"/>
      <c r="AI626" s="5"/>
      <c r="AJ626" s="5"/>
    </row>
    <row r="627" ht="30.0" customHeight="1">
      <c r="AH627" s="5"/>
      <c r="AI627" s="5"/>
      <c r="AJ627" s="5"/>
    </row>
    <row r="628" ht="30.0" customHeight="1">
      <c r="AH628" s="5"/>
      <c r="AI628" s="5"/>
      <c r="AJ628" s="5"/>
    </row>
    <row r="629" ht="30.0" customHeight="1">
      <c r="AH629" s="5"/>
      <c r="AI629" s="5"/>
      <c r="AJ629" s="5"/>
    </row>
    <row r="630" ht="30.0" customHeight="1">
      <c r="AH630" s="5"/>
      <c r="AI630" s="5"/>
      <c r="AJ630" s="5"/>
    </row>
    <row r="631" ht="30.0" customHeight="1">
      <c r="AH631" s="5"/>
      <c r="AI631" s="5"/>
      <c r="AJ631" s="5"/>
    </row>
    <row r="632" ht="30.0" customHeight="1">
      <c r="AH632" s="5"/>
      <c r="AI632" s="5"/>
      <c r="AJ632" s="5"/>
    </row>
    <row r="633" ht="30.0" customHeight="1">
      <c r="AH633" s="5"/>
      <c r="AI633" s="5"/>
      <c r="AJ633" s="5"/>
    </row>
    <row r="634" ht="30.0" customHeight="1">
      <c r="AH634" s="5"/>
      <c r="AI634" s="5"/>
      <c r="AJ634" s="5"/>
    </row>
    <row r="635" ht="30.0" customHeight="1">
      <c r="AH635" s="5"/>
      <c r="AI635" s="5"/>
      <c r="AJ635" s="5"/>
    </row>
    <row r="636" ht="30.0" customHeight="1">
      <c r="AH636" s="5"/>
      <c r="AI636" s="5"/>
      <c r="AJ636" s="5"/>
    </row>
    <row r="637" ht="30.0" customHeight="1">
      <c r="AH637" s="5"/>
      <c r="AI637" s="5"/>
      <c r="AJ637" s="5"/>
    </row>
    <row r="638" ht="30.0" customHeight="1">
      <c r="AH638" s="5"/>
      <c r="AI638" s="5"/>
      <c r="AJ638" s="5"/>
    </row>
    <row r="639" ht="30.0" customHeight="1">
      <c r="AH639" s="5"/>
      <c r="AI639" s="5"/>
      <c r="AJ639" s="5"/>
    </row>
    <row r="640" ht="30.0" customHeight="1">
      <c r="AH640" s="5"/>
      <c r="AI640" s="5"/>
      <c r="AJ640" s="5"/>
    </row>
    <row r="641" ht="30.0" customHeight="1">
      <c r="AH641" s="5"/>
      <c r="AI641" s="5"/>
      <c r="AJ641" s="5"/>
    </row>
    <row r="642" ht="30.0" customHeight="1">
      <c r="AH642" s="5"/>
      <c r="AI642" s="5"/>
      <c r="AJ642" s="5"/>
    </row>
    <row r="643" ht="30.0" customHeight="1">
      <c r="AH643" s="5"/>
      <c r="AI643" s="5"/>
      <c r="AJ643" s="5"/>
    </row>
    <row r="644" ht="30.0" customHeight="1">
      <c r="AH644" s="5"/>
      <c r="AI644" s="5"/>
      <c r="AJ644" s="5"/>
    </row>
    <row r="645" ht="30.0" customHeight="1">
      <c r="AH645" s="5"/>
      <c r="AI645" s="5"/>
      <c r="AJ645" s="5"/>
    </row>
    <row r="646" ht="30.0" customHeight="1">
      <c r="AH646" s="5"/>
      <c r="AI646" s="5"/>
      <c r="AJ646" s="5"/>
    </row>
    <row r="647" ht="30.0" customHeight="1">
      <c r="AH647" s="5"/>
      <c r="AI647" s="5"/>
      <c r="AJ647" s="5"/>
    </row>
    <row r="648" ht="30.0" customHeight="1">
      <c r="AH648" s="5"/>
      <c r="AI648" s="5"/>
      <c r="AJ648" s="5"/>
    </row>
    <row r="649" ht="30.0" customHeight="1">
      <c r="AH649" s="5"/>
      <c r="AI649" s="5"/>
      <c r="AJ649" s="5"/>
    </row>
    <row r="650" ht="30.0" customHeight="1">
      <c r="AH650" s="5"/>
      <c r="AI650" s="5"/>
      <c r="AJ650" s="5"/>
    </row>
    <row r="651" ht="30.0" customHeight="1">
      <c r="AH651" s="5"/>
      <c r="AI651" s="5"/>
      <c r="AJ651" s="5"/>
    </row>
    <row r="652" ht="30.0" customHeight="1">
      <c r="AH652" s="5"/>
      <c r="AI652" s="5"/>
      <c r="AJ652" s="5"/>
    </row>
    <row r="653" ht="30.0" customHeight="1">
      <c r="AH653" s="5"/>
      <c r="AI653" s="5"/>
      <c r="AJ653" s="5"/>
    </row>
    <row r="654" ht="30.0" customHeight="1">
      <c r="AH654" s="5"/>
      <c r="AI654" s="5"/>
      <c r="AJ654" s="5"/>
    </row>
    <row r="655" ht="30.0" customHeight="1">
      <c r="AH655" s="5"/>
      <c r="AI655" s="5"/>
      <c r="AJ655" s="5"/>
    </row>
    <row r="656" ht="30.0" customHeight="1">
      <c r="AH656" s="5"/>
      <c r="AI656" s="5"/>
      <c r="AJ656" s="5"/>
    </row>
    <row r="657" ht="30.0" customHeight="1">
      <c r="AH657" s="5"/>
      <c r="AI657" s="5"/>
      <c r="AJ657" s="5"/>
    </row>
    <row r="658" ht="30.0" customHeight="1">
      <c r="AH658" s="5"/>
      <c r="AI658" s="5"/>
      <c r="AJ658" s="5"/>
    </row>
    <row r="659" ht="30.0" customHeight="1">
      <c r="AH659" s="5"/>
      <c r="AI659" s="5"/>
      <c r="AJ659" s="5"/>
    </row>
    <row r="660" ht="30.0" customHeight="1">
      <c r="AH660" s="5"/>
      <c r="AI660" s="5"/>
      <c r="AJ660" s="5"/>
    </row>
    <row r="661" ht="30.0" customHeight="1">
      <c r="AH661" s="5"/>
      <c r="AI661" s="5"/>
      <c r="AJ661" s="5"/>
    </row>
    <row r="662" ht="30.0" customHeight="1">
      <c r="AH662" s="5"/>
      <c r="AI662" s="5"/>
      <c r="AJ662" s="5"/>
    </row>
    <row r="663" ht="30.0" customHeight="1">
      <c r="AH663" s="5"/>
      <c r="AI663" s="5"/>
      <c r="AJ663" s="5"/>
    </row>
    <row r="664" ht="30.0" customHeight="1">
      <c r="AH664" s="5"/>
      <c r="AI664" s="5"/>
      <c r="AJ664" s="5"/>
    </row>
    <row r="665" ht="30.0" customHeight="1">
      <c r="AH665" s="5"/>
      <c r="AI665" s="5"/>
      <c r="AJ665" s="5"/>
    </row>
    <row r="666" ht="30.0" customHeight="1">
      <c r="AH666" s="5"/>
      <c r="AI666" s="5"/>
      <c r="AJ666" s="5"/>
    </row>
    <row r="667" ht="30.0" customHeight="1">
      <c r="AH667" s="5"/>
      <c r="AI667" s="5"/>
      <c r="AJ667" s="5"/>
    </row>
    <row r="668" ht="30.0" customHeight="1">
      <c r="AH668" s="5"/>
      <c r="AI668" s="5"/>
      <c r="AJ668" s="5"/>
    </row>
    <row r="669" ht="30.0" customHeight="1">
      <c r="AH669" s="5"/>
      <c r="AI669" s="5"/>
      <c r="AJ669" s="5"/>
    </row>
    <row r="670" ht="30.0" customHeight="1">
      <c r="AH670" s="5"/>
      <c r="AI670" s="5"/>
      <c r="AJ670" s="5"/>
    </row>
    <row r="671" ht="30.0" customHeight="1">
      <c r="AH671" s="5"/>
      <c r="AI671" s="5"/>
      <c r="AJ671" s="5"/>
    </row>
    <row r="672" ht="30.0" customHeight="1">
      <c r="AH672" s="5"/>
      <c r="AI672" s="5"/>
      <c r="AJ672" s="5"/>
    </row>
    <row r="673" ht="30.0" customHeight="1">
      <c r="AH673" s="5"/>
      <c r="AI673" s="5"/>
      <c r="AJ673" s="5"/>
    </row>
    <row r="674" ht="30.0" customHeight="1">
      <c r="AH674" s="5"/>
      <c r="AI674" s="5"/>
      <c r="AJ674" s="5"/>
    </row>
    <row r="675" ht="30.0" customHeight="1">
      <c r="AH675" s="5"/>
      <c r="AI675" s="5"/>
      <c r="AJ675" s="5"/>
    </row>
    <row r="676" ht="30.0" customHeight="1">
      <c r="AH676" s="5"/>
      <c r="AI676" s="5"/>
      <c r="AJ676" s="5"/>
    </row>
    <row r="677" ht="30.0" customHeight="1">
      <c r="AH677" s="5"/>
      <c r="AI677" s="5"/>
      <c r="AJ677" s="5"/>
    </row>
    <row r="678" ht="30.0" customHeight="1">
      <c r="AH678" s="5"/>
      <c r="AI678" s="5"/>
      <c r="AJ678" s="5"/>
    </row>
    <row r="679" ht="30.0" customHeight="1">
      <c r="AH679" s="5"/>
      <c r="AI679" s="5"/>
      <c r="AJ679" s="5"/>
    </row>
    <row r="680" ht="30.0" customHeight="1">
      <c r="AH680" s="5"/>
      <c r="AI680" s="5"/>
      <c r="AJ680" s="5"/>
    </row>
    <row r="681" ht="30.0" customHeight="1">
      <c r="AH681" s="5"/>
      <c r="AI681" s="5"/>
      <c r="AJ681" s="5"/>
    </row>
    <row r="682" ht="30.0" customHeight="1">
      <c r="AH682" s="5"/>
      <c r="AI682" s="5"/>
      <c r="AJ682" s="5"/>
    </row>
    <row r="683" ht="30.0" customHeight="1">
      <c r="AH683" s="5"/>
      <c r="AI683" s="5"/>
      <c r="AJ683" s="5"/>
    </row>
    <row r="684" ht="30.0" customHeight="1">
      <c r="AH684" s="5"/>
      <c r="AI684" s="5"/>
      <c r="AJ684" s="5"/>
    </row>
    <row r="685" ht="30.0" customHeight="1">
      <c r="AH685" s="5"/>
      <c r="AI685" s="5"/>
      <c r="AJ685" s="5"/>
    </row>
    <row r="686" ht="30.0" customHeight="1">
      <c r="AH686" s="5"/>
      <c r="AI686" s="5"/>
      <c r="AJ686" s="5"/>
    </row>
    <row r="687" ht="30.0" customHeight="1">
      <c r="AH687" s="5"/>
      <c r="AI687" s="5"/>
      <c r="AJ687" s="5"/>
    </row>
    <row r="688" ht="30.0" customHeight="1">
      <c r="AH688" s="5"/>
      <c r="AI688" s="5"/>
      <c r="AJ688" s="5"/>
    </row>
    <row r="689" ht="30.0" customHeight="1">
      <c r="AH689" s="5"/>
      <c r="AI689" s="5"/>
      <c r="AJ689" s="5"/>
    </row>
    <row r="690" ht="30.0" customHeight="1">
      <c r="AH690" s="5"/>
      <c r="AI690" s="5"/>
      <c r="AJ690" s="5"/>
    </row>
    <row r="691" ht="30.0" customHeight="1">
      <c r="AH691" s="5"/>
      <c r="AI691" s="5"/>
      <c r="AJ691" s="5"/>
    </row>
    <row r="692" ht="30.0" customHeight="1">
      <c r="AH692" s="5"/>
      <c r="AI692" s="5"/>
      <c r="AJ692" s="5"/>
    </row>
    <row r="693" ht="30.0" customHeight="1">
      <c r="AH693" s="5"/>
      <c r="AI693" s="5"/>
      <c r="AJ693" s="5"/>
    </row>
    <row r="694" ht="30.0" customHeight="1">
      <c r="AH694" s="5"/>
      <c r="AI694" s="5"/>
      <c r="AJ694" s="5"/>
    </row>
    <row r="695" ht="30.0" customHeight="1">
      <c r="AH695" s="5"/>
      <c r="AI695" s="5"/>
      <c r="AJ695" s="5"/>
    </row>
    <row r="696" ht="30.0" customHeight="1">
      <c r="AH696" s="5"/>
      <c r="AI696" s="5"/>
      <c r="AJ696" s="5"/>
    </row>
    <row r="697" ht="30.0" customHeight="1">
      <c r="AH697" s="5"/>
      <c r="AI697" s="5"/>
      <c r="AJ697" s="5"/>
    </row>
    <row r="698" ht="30.0" customHeight="1">
      <c r="AH698" s="5"/>
      <c r="AI698" s="5"/>
      <c r="AJ698" s="5"/>
    </row>
    <row r="699" ht="30.0" customHeight="1">
      <c r="AH699" s="5"/>
      <c r="AI699" s="5"/>
      <c r="AJ699" s="5"/>
    </row>
    <row r="700" ht="30.0" customHeight="1">
      <c r="AH700" s="5"/>
      <c r="AI700" s="5"/>
      <c r="AJ700" s="5"/>
    </row>
    <row r="701" ht="30.0" customHeight="1">
      <c r="AH701" s="5"/>
      <c r="AI701" s="5"/>
      <c r="AJ701" s="5"/>
    </row>
    <row r="702" ht="30.0" customHeight="1">
      <c r="AH702" s="5"/>
      <c r="AI702" s="5"/>
      <c r="AJ702" s="5"/>
    </row>
    <row r="703" ht="30.0" customHeight="1">
      <c r="AH703" s="5"/>
      <c r="AI703" s="5"/>
      <c r="AJ703" s="5"/>
    </row>
    <row r="704" ht="30.0" customHeight="1">
      <c r="AH704" s="5"/>
      <c r="AI704" s="5"/>
      <c r="AJ704" s="5"/>
    </row>
    <row r="705" ht="30.0" customHeight="1">
      <c r="AH705" s="5"/>
      <c r="AI705" s="5"/>
      <c r="AJ705" s="5"/>
    </row>
    <row r="706" ht="30.0" customHeight="1">
      <c r="AH706" s="5"/>
      <c r="AI706" s="5"/>
      <c r="AJ706" s="5"/>
    </row>
    <row r="707" ht="30.0" customHeight="1">
      <c r="AH707" s="5"/>
      <c r="AI707" s="5"/>
      <c r="AJ707" s="5"/>
    </row>
    <row r="708" ht="30.0" customHeight="1">
      <c r="AH708" s="5"/>
      <c r="AI708" s="5"/>
      <c r="AJ708" s="5"/>
    </row>
    <row r="709" ht="30.0" customHeight="1">
      <c r="AH709" s="5"/>
      <c r="AI709" s="5"/>
      <c r="AJ709" s="5"/>
    </row>
    <row r="710" ht="30.0" customHeight="1">
      <c r="AH710" s="5"/>
      <c r="AI710" s="5"/>
      <c r="AJ710" s="5"/>
    </row>
    <row r="711" ht="30.0" customHeight="1">
      <c r="AH711" s="5"/>
      <c r="AI711" s="5"/>
      <c r="AJ711" s="5"/>
    </row>
    <row r="712" ht="30.0" customHeight="1">
      <c r="AH712" s="5"/>
      <c r="AI712" s="5"/>
      <c r="AJ712" s="5"/>
    </row>
    <row r="713" ht="30.0" customHeight="1">
      <c r="AH713" s="5"/>
      <c r="AI713" s="5"/>
      <c r="AJ713" s="5"/>
    </row>
    <row r="714" ht="30.0" customHeight="1">
      <c r="AH714" s="5"/>
      <c r="AI714" s="5"/>
      <c r="AJ714" s="5"/>
    </row>
    <row r="715" ht="30.0" customHeight="1">
      <c r="AH715" s="5"/>
      <c r="AI715" s="5"/>
      <c r="AJ715" s="5"/>
    </row>
    <row r="716" ht="30.0" customHeight="1">
      <c r="AH716" s="5"/>
      <c r="AI716" s="5"/>
      <c r="AJ716" s="5"/>
    </row>
    <row r="717" ht="30.0" customHeight="1">
      <c r="AH717" s="5"/>
      <c r="AI717" s="5"/>
      <c r="AJ717" s="5"/>
    </row>
    <row r="718" ht="30.0" customHeight="1">
      <c r="AH718" s="5"/>
      <c r="AI718" s="5"/>
      <c r="AJ718" s="5"/>
    </row>
    <row r="719" ht="30.0" customHeight="1">
      <c r="AH719" s="5"/>
      <c r="AI719" s="5"/>
      <c r="AJ719" s="5"/>
    </row>
    <row r="720" ht="30.0" customHeight="1">
      <c r="AH720" s="5"/>
      <c r="AI720" s="5"/>
      <c r="AJ720" s="5"/>
    </row>
    <row r="721" ht="30.0" customHeight="1">
      <c r="AH721" s="5"/>
      <c r="AI721" s="5"/>
      <c r="AJ721" s="5"/>
    </row>
    <row r="722" ht="30.0" customHeight="1">
      <c r="AH722" s="5"/>
      <c r="AI722" s="5"/>
      <c r="AJ722" s="5"/>
    </row>
    <row r="723" ht="30.0" customHeight="1">
      <c r="AH723" s="5"/>
      <c r="AI723" s="5"/>
      <c r="AJ723" s="5"/>
    </row>
    <row r="724" ht="30.0" customHeight="1">
      <c r="AH724" s="5"/>
      <c r="AI724" s="5"/>
      <c r="AJ724" s="5"/>
    </row>
    <row r="725" ht="30.0" customHeight="1">
      <c r="AH725" s="5"/>
      <c r="AI725" s="5"/>
      <c r="AJ725" s="5"/>
    </row>
    <row r="726" ht="30.0" customHeight="1">
      <c r="AH726" s="5"/>
      <c r="AI726" s="5"/>
      <c r="AJ726" s="5"/>
    </row>
    <row r="727" ht="30.0" customHeight="1">
      <c r="AH727" s="5"/>
      <c r="AI727" s="5"/>
      <c r="AJ727" s="5"/>
    </row>
    <row r="728" ht="30.0" customHeight="1">
      <c r="AH728" s="5"/>
      <c r="AI728" s="5"/>
      <c r="AJ728" s="5"/>
    </row>
    <row r="729" ht="30.0" customHeight="1">
      <c r="AH729" s="5"/>
      <c r="AI729" s="5"/>
      <c r="AJ729" s="5"/>
    </row>
    <row r="730" ht="30.0" customHeight="1">
      <c r="AH730" s="5"/>
      <c r="AI730" s="5"/>
      <c r="AJ730" s="5"/>
    </row>
    <row r="731" ht="30.0" customHeight="1">
      <c r="AH731" s="5"/>
      <c r="AI731" s="5"/>
      <c r="AJ731" s="5"/>
    </row>
    <row r="732" ht="30.0" customHeight="1">
      <c r="AH732" s="5"/>
      <c r="AI732" s="5"/>
      <c r="AJ732" s="5"/>
    </row>
    <row r="733" ht="30.0" customHeight="1">
      <c r="AH733" s="5"/>
      <c r="AI733" s="5"/>
      <c r="AJ733" s="5"/>
    </row>
    <row r="734" ht="30.0" customHeight="1">
      <c r="AH734" s="5"/>
      <c r="AI734" s="5"/>
      <c r="AJ734" s="5"/>
    </row>
    <row r="735" ht="30.0" customHeight="1">
      <c r="AH735" s="5"/>
      <c r="AI735" s="5"/>
      <c r="AJ735" s="5"/>
    </row>
    <row r="736" ht="30.0" customHeight="1">
      <c r="AH736" s="5"/>
      <c r="AI736" s="5"/>
      <c r="AJ736" s="5"/>
    </row>
    <row r="737" ht="30.0" customHeight="1">
      <c r="AH737" s="5"/>
      <c r="AI737" s="5"/>
      <c r="AJ737" s="5"/>
    </row>
    <row r="738" ht="30.0" customHeight="1">
      <c r="AH738" s="5"/>
      <c r="AI738" s="5"/>
      <c r="AJ738" s="5"/>
    </row>
    <row r="739" ht="30.0" customHeight="1">
      <c r="AH739" s="5"/>
      <c r="AI739" s="5"/>
      <c r="AJ739" s="5"/>
    </row>
    <row r="740" ht="30.0" customHeight="1">
      <c r="AH740" s="5"/>
      <c r="AI740" s="5"/>
      <c r="AJ740" s="5"/>
    </row>
    <row r="741" ht="30.0" customHeight="1">
      <c r="AH741" s="5"/>
      <c r="AI741" s="5"/>
      <c r="AJ741" s="5"/>
    </row>
    <row r="742" ht="30.0" customHeight="1">
      <c r="AH742" s="5"/>
      <c r="AI742" s="5"/>
      <c r="AJ742" s="5"/>
    </row>
    <row r="743" ht="30.0" customHeight="1">
      <c r="AH743" s="5"/>
      <c r="AI743" s="5"/>
      <c r="AJ743" s="5"/>
    </row>
    <row r="744" ht="30.0" customHeight="1">
      <c r="AH744" s="5"/>
      <c r="AI744" s="5"/>
      <c r="AJ744" s="5"/>
    </row>
    <row r="745" ht="30.0" customHeight="1">
      <c r="AH745" s="5"/>
      <c r="AI745" s="5"/>
      <c r="AJ745" s="5"/>
    </row>
    <row r="746" ht="30.0" customHeight="1">
      <c r="AH746" s="5"/>
      <c r="AI746" s="5"/>
      <c r="AJ746" s="5"/>
    </row>
    <row r="747" ht="30.0" customHeight="1">
      <c r="AH747" s="5"/>
      <c r="AI747" s="5"/>
      <c r="AJ747" s="5"/>
    </row>
    <row r="748" ht="30.0" customHeight="1">
      <c r="AH748" s="5"/>
      <c r="AI748" s="5"/>
      <c r="AJ748" s="5"/>
    </row>
    <row r="749" ht="30.0" customHeight="1">
      <c r="AH749" s="5"/>
      <c r="AI749" s="5"/>
      <c r="AJ749" s="5"/>
    </row>
    <row r="750" ht="30.0" customHeight="1">
      <c r="AH750" s="5"/>
      <c r="AI750" s="5"/>
      <c r="AJ750" s="5"/>
    </row>
    <row r="751" ht="30.0" customHeight="1">
      <c r="AH751" s="5"/>
      <c r="AI751" s="5"/>
      <c r="AJ751" s="5"/>
    </row>
    <row r="752" ht="30.0" customHeight="1">
      <c r="AH752" s="5"/>
      <c r="AI752" s="5"/>
      <c r="AJ752" s="5"/>
    </row>
    <row r="753" ht="30.0" customHeight="1">
      <c r="AH753" s="5"/>
      <c r="AI753" s="5"/>
      <c r="AJ753" s="5"/>
    </row>
    <row r="754" ht="30.0" customHeight="1">
      <c r="AH754" s="5"/>
      <c r="AI754" s="5"/>
      <c r="AJ754" s="5"/>
    </row>
    <row r="755" ht="30.0" customHeight="1">
      <c r="AH755" s="5"/>
      <c r="AI755" s="5"/>
      <c r="AJ755" s="5"/>
    </row>
    <row r="756" ht="30.0" customHeight="1">
      <c r="AH756" s="5"/>
      <c r="AI756" s="5"/>
      <c r="AJ756" s="5"/>
    </row>
    <row r="757" ht="30.0" customHeight="1">
      <c r="AH757" s="5"/>
      <c r="AI757" s="5"/>
      <c r="AJ757" s="5"/>
    </row>
    <row r="758" ht="30.0" customHeight="1">
      <c r="AH758" s="5"/>
      <c r="AI758" s="5"/>
      <c r="AJ758" s="5"/>
    </row>
    <row r="759" ht="30.0" customHeight="1">
      <c r="AH759" s="5"/>
      <c r="AI759" s="5"/>
      <c r="AJ759" s="5"/>
    </row>
    <row r="760" ht="30.0" customHeight="1">
      <c r="AH760" s="5"/>
      <c r="AI760" s="5"/>
      <c r="AJ760" s="5"/>
    </row>
    <row r="761" ht="30.0" customHeight="1">
      <c r="AH761" s="5"/>
      <c r="AI761" s="5"/>
      <c r="AJ761" s="5"/>
    </row>
    <row r="762" ht="30.0" customHeight="1">
      <c r="AH762" s="5"/>
      <c r="AI762" s="5"/>
      <c r="AJ762" s="5"/>
    </row>
    <row r="763" ht="30.0" customHeight="1">
      <c r="AH763" s="5"/>
      <c r="AI763" s="5"/>
      <c r="AJ763" s="5"/>
    </row>
    <row r="764" ht="30.0" customHeight="1">
      <c r="AH764" s="5"/>
      <c r="AI764" s="5"/>
      <c r="AJ764" s="5"/>
    </row>
    <row r="765" ht="30.0" customHeight="1">
      <c r="AH765" s="5"/>
      <c r="AI765" s="5"/>
      <c r="AJ765" s="5"/>
    </row>
    <row r="766" ht="30.0" customHeight="1">
      <c r="AH766" s="5"/>
      <c r="AI766" s="5"/>
      <c r="AJ766" s="5"/>
    </row>
    <row r="767" ht="30.0" customHeight="1">
      <c r="AH767" s="5"/>
      <c r="AI767" s="5"/>
      <c r="AJ767" s="5"/>
    </row>
    <row r="768" ht="30.0" customHeight="1">
      <c r="AH768" s="5"/>
      <c r="AI768" s="5"/>
      <c r="AJ768" s="5"/>
    </row>
    <row r="769" ht="30.0" customHeight="1">
      <c r="AH769" s="5"/>
      <c r="AI769" s="5"/>
      <c r="AJ769" s="5"/>
    </row>
    <row r="770" ht="30.0" customHeight="1">
      <c r="AH770" s="5"/>
      <c r="AI770" s="5"/>
      <c r="AJ770" s="5"/>
    </row>
    <row r="771" ht="30.0" customHeight="1">
      <c r="AH771" s="5"/>
      <c r="AI771" s="5"/>
      <c r="AJ771" s="5"/>
    </row>
    <row r="772" ht="30.0" customHeight="1">
      <c r="AH772" s="5"/>
      <c r="AI772" s="5"/>
      <c r="AJ772" s="5"/>
    </row>
    <row r="773" ht="30.0" customHeight="1">
      <c r="AH773" s="5"/>
      <c r="AI773" s="5"/>
      <c r="AJ773" s="5"/>
    </row>
    <row r="774" ht="30.0" customHeight="1">
      <c r="AH774" s="5"/>
      <c r="AI774" s="5"/>
      <c r="AJ774" s="5"/>
    </row>
    <row r="775" ht="30.0" customHeight="1">
      <c r="AH775" s="5"/>
      <c r="AI775" s="5"/>
      <c r="AJ775" s="5"/>
    </row>
    <row r="776" ht="30.0" customHeight="1">
      <c r="AH776" s="5"/>
      <c r="AI776" s="5"/>
      <c r="AJ776" s="5"/>
    </row>
    <row r="777" ht="30.0" customHeight="1">
      <c r="AH777" s="5"/>
      <c r="AI777" s="5"/>
      <c r="AJ777" s="5"/>
    </row>
    <row r="778" ht="30.0" customHeight="1">
      <c r="AH778" s="5"/>
      <c r="AI778" s="5"/>
      <c r="AJ778" s="5"/>
    </row>
    <row r="779" ht="30.0" customHeight="1">
      <c r="AH779" s="5"/>
      <c r="AI779" s="5"/>
      <c r="AJ779" s="5"/>
    </row>
    <row r="780" ht="30.0" customHeight="1">
      <c r="AH780" s="5"/>
      <c r="AI780" s="5"/>
      <c r="AJ780" s="5"/>
    </row>
    <row r="781" ht="30.0" customHeight="1">
      <c r="AH781" s="5"/>
      <c r="AI781" s="5"/>
      <c r="AJ781" s="5"/>
    </row>
    <row r="782" ht="30.0" customHeight="1">
      <c r="AH782" s="5"/>
      <c r="AI782" s="5"/>
      <c r="AJ782" s="5"/>
    </row>
    <row r="783" ht="30.0" customHeight="1">
      <c r="AH783" s="5"/>
      <c r="AI783" s="5"/>
      <c r="AJ783" s="5"/>
    </row>
    <row r="784" ht="30.0" customHeight="1">
      <c r="AH784" s="5"/>
      <c r="AI784" s="5"/>
      <c r="AJ784" s="5"/>
    </row>
    <row r="785" ht="30.0" customHeight="1">
      <c r="AH785" s="5"/>
      <c r="AI785" s="5"/>
      <c r="AJ785" s="5"/>
    </row>
    <row r="786" ht="30.0" customHeight="1">
      <c r="AH786" s="5"/>
      <c r="AI786" s="5"/>
      <c r="AJ786" s="5"/>
    </row>
    <row r="787" ht="30.0" customHeight="1">
      <c r="AH787" s="5"/>
      <c r="AI787" s="5"/>
      <c r="AJ787" s="5"/>
    </row>
    <row r="788" ht="30.0" customHeight="1">
      <c r="AH788" s="5"/>
      <c r="AI788" s="5"/>
      <c r="AJ788" s="5"/>
    </row>
    <row r="789" ht="30.0" customHeight="1">
      <c r="AH789" s="5"/>
      <c r="AI789" s="5"/>
      <c r="AJ789" s="5"/>
    </row>
    <row r="790" ht="30.0" customHeight="1">
      <c r="AH790" s="5"/>
      <c r="AI790" s="5"/>
      <c r="AJ790" s="5"/>
    </row>
    <row r="791" ht="30.0" customHeight="1">
      <c r="AH791" s="5"/>
      <c r="AI791" s="5"/>
      <c r="AJ791" s="5"/>
    </row>
    <row r="792" ht="30.0" customHeight="1">
      <c r="AH792" s="5"/>
      <c r="AI792" s="5"/>
      <c r="AJ792" s="5"/>
    </row>
    <row r="793" ht="30.0" customHeight="1">
      <c r="AH793" s="5"/>
      <c r="AI793" s="5"/>
      <c r="AJ793" s="5"/>
    </row>
    <row r="794" ht="30.0" customHeight="1">
      <c r="AH794" s="5"/>
      <c r="AI794" s="5"/>
      <c r="AJ794" s="5"/>
    </row>
    <row r="795" ht="30.0" customHeight="1">
      <c r="AH795" s="5"/>
      <c r="AI795" s="5"/>
      <c r="AJ795" s="5"/>
    </row>
    <row r="796" ht="30.0" customHeight="1">
      <c r="AH796" s="5"/>
      <c r="AI796" s="5"/>
      <c r="AJ796" s="5"/>
    </row>
    <row r="797" ht="30.0" customHeight="1">
      <c r="AH797" s="5"/>
      <c r="AI797" s="5"/>
      <c r="AJ797" s="5"/>
    </row>
    <row r="798" ht="30.0" customHeight="1">
      <c r="AH798" s="5"/>
      <c r="AI798" s="5"/>
      <c r="AJ798" s="5"/>
    </row>
    <row r="799" ht="30.0" customHeight="1">
      <c r="AH799" s="5"/>
      <c r="AI799" s="5"/>
      <c r="AJ799" s="5"/>
    </row>
    <row r="800" ht="30.0" customHeight="1">
      <c r="AH800" s="5"/>
      <c r="AI800" s="5"/>
      <c r="AJ800" s="5"/>
    </row>
    <row r="801" ht="30.0" customHeight="1">
      <c r="AH801" s="5"/>
      <c r="AI801" s="5"/>
      <c r="AJ801" s="5"/>
    </row>
    <row r="802" ht="30.0" customHeight="1">
      <c r="AH802" s="5"/>
      <c r="AI802" s="5"/>
      <c r="AJ802" s="5"/>
    </row>
    <row r="803" ht="30.0" customHeight="1">
      <c r="AH803" s="5"/>
      <c r="AI803" s="5"/>
      <c r="AJ803" s="5"/>
    </row>
    <row r="804" ht="30.0" customHeight="1">
      <c r="AH804" s="5"/>
      <c r="AI804" s="5"/>
      <c r="AJ804" s="5"/>
    </row>
    <row r="805" ht="30.0" customHeight="1">
      <c r="AH805" s="5"/>
      <c r="AI805" s="5"/>
      <c r="AJ805" s="5"/>
    </row>
    <row r="806" ht="30.0" customHeight="1">
      <c r="AH806" s="5"/>
      <c r="AI806" s="5"/>
      <c r="AJ806" s="5"/>
    </row>
    <row r="807" ht="30.0" customHeight="1">
      <c r="AH807" s="5"/>
      <c r="AI807" s="5"/>
      <c r="AJ807" s="5"/>
    </row>
    <row r="808" ht="30.0" customHeight="1">
      <c r="AH808" s="5"/>
      <c r="AI808" s="5"/>
      <c r="AJ808" s="5"/>
    </row>
    <row r="809" ht="30.0" customHeight="1">
      <c r="AH809" s="5"/>
      <c r="AI809" s="5"/>
      <c r="AJ809" s="5"/>
    </row>
    <row r="810" ht="30.0" customHeight="1">
      <c r="AH810" s="5"/>
      <c r="AI810" s="5"/>
      <c r="AJ810" s="5"/>
    </row>
    <row r="811" ht="30.0" customHeight="1">
      <c r="AH811" s="5"/>
      <c r="AI811" s="5"/>
      <c r="AJ811" s="5"/>
    </row>
    <row r="812" ht="30.0" customHeight="1">
      <c r="AH812" s="5"/>
      <c r="AI812" s="5"/>
      <c r="AJ812" s="5"/>
    </row>
    <row r="813" ht="30.0" customHeight="1">
      <c r="AH813" s="5"/>
      <c r="AI813" s="5"/>
      <c r="AJ813" s="5"/>
    </row>
    <row r="814" ht="30.0" customHeight="1">
      <c r="AH814" s="5"/>
      <c r="AI814" s="5"/>
      <c r="AJ814" s="5"/>
    </row>
    <row r="815" ht="30.0" customHeight="1">
      <c r="AH815" s="5"/>
      <c r="AI815" s="5"/>
      <c r="AJ815" s="5"/>
    </row>
    <row r="816" ht="30.0" customHeight="1">
      <c r="AH816" s="5"/>
      <c r="AI816" s="5"/>
      <c r="AJ816" s="5"/>
    </row>
    <row r="817" ht="30.0" customHeight="1">
      <c r="AH817" s="5"/>
      <c r="AI817" s="5"/>
      <c r="AJ817" s="5"/>
    </row>
    <row r="818" ht="30.0" customHeight="1">
      <c r="AH818" s="5"/>
      <c r="AI818" s="5"/>
      <c r="AJ818" s="5"/>
    </row>
    <row r="819" ht="30.0" customHeight="1">
      <c r="AH819" s="5"/>
      <c r="AI819" s="5"/>
      <c r="AJ819" s="5"/>
    </row>
    <row r="820" ht="30.0" customHeight="1">
      <c r="AH820" s="5"/>
      <c r="AI820" s="5"/>
      <c r="AJ820" s="5"/>
    </row>
    <row r="821" ht="30.0" customHeight="1">
      <c r="AH821" s="5"/>
      <c r="AI821" s="5"/>
      <c r="AJ821" s="5"/>
    </row>
    <row r="822" ht="30.0" customHeight="1">
      <c r="AH822" s="5"/>
      <c r="AI822" s="5"/>
      <c r="AJ822" s="5"/>
    </row>
    <row r="823" ht="30.0" customHeight="1">
      <c r="AH823" s="5"/>
      <c r="AI823" s="5"/>
      <c r="AJ823" s="5"/>
    </row>
    <row r="824" ht="30.0" customHeight="1">
      <c r="AH824" s="5"/>
      <c r="AI824" s="5"/>
      <c r="AJ824" s="5"/>
    </row>
    <row r="825" ht="30.0" customHeight="1">
      <c r="AH825" s="5"/>
      <c r="AI825" s="5"/>
      <c r="AJ825" s="5"/>
    </row>
    <row r="826" ht="30.0" customHeight="1">
      <c r="AH826" s="5"/>
      <c r="AI826" s="5"/>
      <c r="AJ826" s="5"/>
    </row>
    <row r="827" ht="30.0" customHeight="1">
      <c r="AH827" s="5"/>
      <c r="AI827" s="5"/>
      <c r="AJ827" s="5"/>
    </row>
    <row r="828" ht="30.0" customHeight="1">
      <c r="AH828" s="5"/>
      <c r="AI828" s="5"/>
      <c r="AJ828" s="5"/>
    </row>
    <row r="829" ht="30.0" customHeight="1">
      <c r="AH829" s="5"/>
      <c r="AI829" s="5"/>
      <c r="AJ829" s="5"/>
    </row>
    <row r="830" ht="30.0" customHeight="1">
      <c r="AH830" s="5"/>
      <c r="AI830" s="5"/>
      <c r="AJ830" s="5"/>
    </row>
    <row r="831" ht="30.0" customHeight="1">
      <c r="AH831" s="5"/>
      <c r="AI831" s="5"/>
      <c r="AJ831" s="5"/>
    </row>
    <row r="832" ht="30.0" customHeight="1">
      <c r="AH832" s="5"/>
      <c r="AI832" s="5"/>
      <c r="AJ832" s="5"/>
    </row>
    <row r="833" ht="30.0" customHeight="1">
      <c r="AH833" s="5"/>
      <c r="AI833" s="5"/>
      <c r="AJ833" s="5"/>
    </row>
    <row r="834" ht="30.0" customHeight="1">
      <c r="AH834" s="5"/>
      <c r="AI834" s="5"/>
      <c r="AJ834" s="5"/>
    </row>
    <row r="835" ht="30.0" customHeight="1">
      <c r="AH835" s="5"/>
      <c r="AI835" s="5"/>
      <c r="AJ835" s="5"/>
    </row>
    <row r="836" ht="30.0" customHeight="1">
      <c r="AH836" s="5"/>
      <c r="AI836" s="5"/>
      <c r="AJ836" s="5"/>
    </row>
    <row r="837" ht="30.0" customHeight="1">
      <c r="AH837" s="5"/>
      <c r="AI837" s="5"/>
      <c r="AJ837" s="5"/>
    </row>
    <row r="838" ht="30.0" customHeight="1">
      <c r="AH838" s="5"/>
      <c r="AI838" s="5"/>
      <c r="AJ838" s="5"/>
    </row>
    <row r="839" ht="30.0" customHeight="1">
      <c r="AH839" s="5"/>
      <c r="AI839" s="5"/>
      <c r="AJ839" s="5"/>
    </row>
    <row r="840" ht="30.0" customHeight="1">
      <c r="AH840" s="5"/>
      <c r="AI840" s="5"/>
      <c r="AJ840" s="5"/>
    </row>
    <row r="841" ht="30.0" customHeight="1">
      <c r="AH841" s="5"/>
      <c r="AI841" s="5"/>
      <c r="AJ841" s="5"/>
    </row>
    <row r="842" ht="30.0" customHeight="1">
      <c r="AH842" s="5"/>
      <c r="AI842" s="5"/>
      <c r="AJ842" s="5"/>
    </row>
    <row r="843" ht="30.0" customHeight="1">
      <c r="AH843" s="5"/>
      <c r="AI843" s="5"/>
      <c r="AJ843" s="5"/>
    </row>
    <row r="844" ht="30.0" customHeight="1">
      <c r="AH844" s="5"/>
      <c r="AI844" s="5"/>
      <c r="AJ844" s="5"/>
    </row>
    <row r="845" ht="30.0" customHeight="1">
      <c r="AH845" s="5"/>
      <c r="AI845" s="5"/>
      <c r="AJ845" s="5"/>
    </row>
    <row r="846" ht="30.0" customHeight="1">
      <c r="AH846" s="5"/>
      <c r="AI846" s="5"/>
      <c r="AJ846" s="5"/>
    </row>
    <row r="847" ht="30.0" customHeight="1">
      <c r="AH847" s="5"/>
      <c r="AI847" s="5"/>
      <c r="AJ847" s="5"/>
    </row>
    <row r="848" ht="30.0" customHeight="1">
      <c r="AH848" s="5"/>
      <c r="AI848" s="5"/>
      <c r="AJ848" s="5"/>
    </row>
    <row r="849" ht="30.0" customHeight="1">
      <c r="AH849" s="5"/>
      <c r="AI849" s="5"/>
      <c r="AJ849" s="5"/>
    </row>
    <row r="850" ht="30.0" customHeight="1">
      <c r="AH850" s="5"/>
      <c r="AI850" s="5"/>
      <c r="AJ850" s="5"/>
    </row>
    <row r="851" ht="30.0" customHeight="1">
      <c r="AH851" s="5"/>
      <c r="AI851" s="5"/>
      <c r="AJ851" s="5"/>
    </row>
    <row r="852" ht="30.0" customHeight="1">
      <c r="AH852" s="5"/>
      <c r="AI852" s="5"/>
      <c r="AJ852" s="5"/>
    </row>
    <row r="853" ht="30.0" customHeight="1">
      <c r="AH853" s="5"/>
      <c r="AI853" s="5"/>
      <c r="AJ853" s="5"/>
    </row>
    <row r="854" ht="30.0" customHeight="1">
      <c r="AH854" s="5"/>
      <c r="AI854" s="5"/>
      <c r="AJ854" s="5"/>
    </row>
    <row r="855" ht="30.0" customHeight="1">
      <c r="AH855" s="5"/>
      <c r="AI855" s="5"/>
      <c r="AJ855" s="5"/>
    </row>
    <row r="856" ht="30.0" customHeight="1">
      <c r="AH856" s="5"/>
      <c r="AI856" s="5"/>
      <c r="AJ856" s="5"/>
    </row>
    <row r="857" ht="30.0" customHeight="1">
      <c r="AH857" s="5"/>
      <c r="AI857" s="5"/>
      <c r="AJ857" s="5"/>
    </row>
    <row r="858" ht="30.0" customHeight="1">
      <c r="AH858" s="5"/>
      <c r="AI858" s="5"/>
      <c r="AJ858" s="5"/>
    </row>
    <row r="859" ht="30.0" customHeight="1">
      <c r="AH859" s="5"/>
      <c r="AI859" s="5"/>
      <c r="AJ859" s="5"/>
    </row>
    <row r="860" ht="30.0" customHeight="1">
      <c r="AH860" s="5"/>
      <c r="AI860" s="5"/>
      <c r="AJ860" s="5"/>
    </row>
    <row r="861" ht="30.0" customHeight="1">
      <c r="AH861" s="5"/>
      <c r="AI861" s="5"/>
      <c r="AJ861" s="5"/>
    </row>
    <row r="862" ht="30.0" customHeight="1">
      <c r="AH862" s="5"/>
      <c r="AI862" s="5"/>
      <c r="AJ862" s="5"/>
    </row>
    <row r="863" ht="30.0" customHeight="1">
      <c r="AH863" s="5"/>
      <c r="AI863" s="5"/>
      <c r="AJ863" s="5"/>
    </row>
    <row r="864" ht="30.0" customHeight="1">
      <c r="AH864" s="5"/>
      <c r="AI864" s="5"/>
      <c r="AJ864" s="5"/>
    </row>
    <row r="865" ht="30.0" customHeight="1">
      <c r="AH865" s="5"/>
      <c r="AI865" s="5"/>
      <c r="AJ865" s="5"/>
    </row>
    <row r="866" ht="30.0" customHeight="1">
      <c r="AH866" s="5"/>
      <c r="AI866" s="5"/>
      <c r="AJ866" s="5"/>
    </row>
    <row r="867" ht="30.0" customHeight="1">
      <c r="AH867" s="5"/>
      <c r="AI867" s="5"/>
      <c r="AJ867" s="5"/>
    </row>
    <row r="868" ht="30.0" customHeight="1">
      <c r="AH868" s="5"/>
      <c r="AI868" s="5"/>
      <c r="AJ868" s="5"/>
    </row>
    <row r="869" ht="30.0" customHeight="1">
      <c r="AH869" s="5"/>
      <c r="AI869" s="5"/>
      <c r="AJ869" s="5"/>
    </row>
    <row r="870" ht="30.0" customHeight="1">
      <c r="AH870" s="5"/>
      <c r="AI870" s="5"/>
      <c r="AJ870" s="5"/>
    </row>
    <row r="871" ht="30.0" customHeight="1">
      <c r="AH871" s="5"/>
      <c r="AI871" s="5"/>
      <c r="AJ871" s="5"/>
    </row>
    <row r="872" ht="30.0" customHeight="1">
      <c r="AH872" s="5"/>
      <c r="AI872" s="5"/>
      <c r="AJ872" s="5"/>
    </row>
    <row r="873" ht="30.0" customHeight="1">
      <c r="AH873" s="5"/>
      <c r="AI873" s="5"/>
      <c r="AJ873" s="5"/>
    </row>
    <row r="874" ht="30.0" customHeight="1">
      <c r="AH874" s="5"/>
      <c r="AI874" s="5"/>
      <c r="AJ874" s="5"/>
    </row>
    <row r="875" ht="30.0" customHeight="1">
      <c r="AH875" s="5"/>
      <c r="AI875" s="5"/>
      <c r="AJ875" s="5"/>
    </row>
    <row r="876" ht="30.0" customHeight="1">
      <c r="AH876" s="5"/>
      <c r="AI876" s="5"/>
      <c r="AJ876" s="5"/>
    </row>
    <row r="877" ht="30.0" customHeight="1">
      <c r="AH877" s="5"/>
      <c r="AI877" s="5"/>
      <c r="AJ877" s="5"/>
    </row>
    <row r="878" ht="30.0" customHeight="1">
      <c r="AH878" s="5"/>
      <c r="AI878" s="5"/>
      <c r="AJ878" s="5"/>
    </row>
    <row r="879" ht="30.0" customHeight="1">
      <c r="AH879" s="5"/>
      <c r="AI879" s="5"/>
      <c r="AJ879" s="5"/>
    </row>
    <row r="880" ht="30.0" customHeight="1">
      <c r="AH880" s="5"/>
      <c r="AI880" s="5"/>
      <c r="AJ880" s="5"/>
    </row>
    <row r="881" ht="30.0" customHeight="1">
      <c r="AH881" s="5"/>
      <c r="AI881" s="5"/>
      <c r="AJ881" s="5"/>
    </row>
    <row r="882" ht="30.0" customHeight="1">
      <c r="AH882" s="5"/>
      <c r="AI882" s="5"/>
      <c r="AJ882" s="5"/>
    </row>
    <row r="883" ht="30.0" customHeight="1">
      <c r="AH883" s="5"/>
      <c r="AI883" s="5"/>
      <c r="AJ883" s="5"/>
    </row>
    <row r="884" ht="30.0" customHeight="1">
      <c r="AH884" s="5"/>
      <c r="AI884" s="5"/>
      <c r="AJ884" s="5"/>
    </row>
    <row r="885" ht="30.0" customHeight="1">
      <c r="AH885" s="5"/>
      <c r="AI885" s="5"/>
      <c r="AJ885" s="5"/>
    </row>
    <row r="886" ht="30.0" customHeight="1">
      <c r="AH886" s="5"/>
      <c r="AI886" s="5"/>
      <c r="AJ886" s="5"/>
    </row>
    <row r="887" ht="30.0" customHeight="1">
      <c r="AH887" s="5"/>
      <c r="AI887" s="5"/>
      <c r="AJ887" s="5"/>
    </row>
    <row r="888" ht="30.0" customHeight="1">
      <c r="AH888" s="5"/>
      <c r="AI888" s="5"/>
      <c r="AJ888" s="5"/>
    </row>
    <row r="889" ht="30.0" customHeight="1">
      <c r="AH889" s="5"/>
      <c r="AI889" s="5"/>
      <c r="AJ889" s="5"/>
    </row>
    <row r="890" ht="30.0" customHeight="1">
      <c r="AH890" s="5"/>
      <c r="AI890" s="5"/>
      <c r="AJ890" s="5"/>
    </row>
    <row r="891" ht="30.0" customHeight="1">
      <c r="AH891" s="5"/>
      <c r="AI891" s="5"/>
      <c r="AJ891" s="5"/>
    </row>
    <row r="892" ht="30.0" customHeight="1">
      <c r="AH892" s="5"/>
      <c r="AI892" s="5"/>
      <c r="AJ892" s="5"/>
    </row>
    <row r="893" ht="30.0" customHeight="1">
      <c r="AH893" s="5"/>
      <c r="AI893" s="5"/>
      <c r="AJ893" s="5"/>
    </row>
    <row r="894" ht="30.0" customHeight="1">
      <c r="AH894" s="5"/>
      <c r="AI894" s="5"/>
      <c r="AJ894" s="5"/>
    </row>
    <row r="895" ht="30.0" customHeight="1">
      <c r="AH895" s="5"/>
      <c r="AI895" s="5"/>
      <c r="AJ895" s="5"/>
    </row>
    <row r="896" ht="30.0" customHeight="1">
      <c r="AH896" s="5"/>
      <c r="AI896" s="5"/>
      <c r="AJ896" s="5"/>
    </row>
    <row r="897" ht="30.0" customHeight="1">
      <c r="AH897" s="5"/>
      <c r="AI897" s="5"/>
      <c r="AJ897" s="5"/>
    </row>
    <row r="898" ht="30.0" customHeight="1">
      <c r="AH898" s="5"/>
      <c r="AI898" s="5"/>
      <c r="AJ898" s="5"/>
    </row>
    <row r="899" ht="30.0" customHeight="1">
      <c r="AH899" s="5"/>
      <c r="AI899" s="5"/>
      <c r="AJ899" s="5"/>
    </row>
    <row r="900" ht="30.0" customHeight="1">
      <c r="AH900" s="5"/>
      <c r="AI900" s="5"/>
      <c r="AJ900" s="5"/>
    </row>
    <row r="901" ht="30.0" customHeight="1">
      <c r="AH901" s="5"/>
      <c r="AI901" s="5"/>
      <c r="AJ901" s="5"/>
    </row>
    <row r="902" ht="30.0" customHeight="1">
      <c r="AH902" s="5"/>
      <c r="AI902" s="5"/>
      <c r="AJ902" s="5"/>
    </row>
    <row r="903" ht="30.0" customHeight="1">
      <c r="AH903" s="5"/>
      <c r="AI903" s="5"/>
      <c r="AJ903" s="5"/>
    </row>
    <row r="904" ht="30.0" customHeight="1">
      <c r="AH904" s="5"/>
      <c r="AI904" s="5"/>
      <c r="AJ904" s="5"/>
    </row>
    <row r="905" ht="30.0" customHeight="1">
      <c r="AH905" s="5"/>
      <c r="AI905" s="5"/>
      <c r="AJ905" s="5"/>
    </row>
    <row r="906" ht="30.0" customHeight="1">
      <c r="AH906" s="5"/>
      <c r="AI906" s="5"/>
      <c r="AJ906" s="5"/>
    </row>
    <row r="907" ht="30.0" customHeight="1">
      <c r="AH907" s="5"/>
      <c r="AI907" s="5"/>
      <c r="AJ907" s="5"/>
    </row>
    <row r="908" ht="30.0" customHeight="1">
      <c r="AH908" s="5"/>
      <c r="AI908" s="5"/>
      <c r="AJ908" s="5"/>
    </row>
    <row r="909" ht="30.0" customHeight="1">
      <c r="AH909" s="5"/>
      <c r="AI909" s="5"/>
      <c r="AJ909" s="5"/>
    </row>
    <row r="910" ht="30.0" customHeight="1">
      <c r="AH910" s="5"/>
      <c r="AI910" s="5"/>
      <c r="AJ910" s="5"/>
    </row>
    <row r="911" ht="30.0" customHeight="1">
      <c r="AH911" s="5"/>
      <c r="AI911" s="5"/>
      <c r="AJ911" s="5"/>
    </row>
    <row r="912" ht="30.0" customHeight="1">
      <c r="AH912" s="5"/>
      <c r="AI912" s="5"/>
      <c r="AJ912" s="5"/>
    </row>
    <row r="913" ht="30.0" customHeight="1">
      <c r="AH913" s="5"/>
      <c r="AI913" s="5"/>
      <c r="AJ913" s="5"/>
    </row>
    <row r="914" ht="30.0" customHeight="1">
      <c r="AH914" s="5"/>
      <c r="AI914" s="5"/>
      <c r="AJ914" s="5"/>
    </row>
    <row r="915" ht="30.0" customHeight="1">
      <c r="AH915" s="5"/>
      <c r="AI915" s="5"/>
      <c r="AJ915" s="5"/>
    </row>
    <row r="916" ht="30.0" customHeight="1">
      <c r="AH916" s="5"/>
      <c r="AI916" s="5"/>
      <c r="AJ916" s="5"/>
    </row>
    <row r="917" ht="30.0" customHeight="1">
      <c r="AH917" s="5"/>
      <c r="AI917" s="5"/>
      <c r="AJ917" s="5"/>
    </row>
    <row r="918" ht="30.0" customHeight="1">
      <c r="AH918" s="5"/>
      <c r="AI918" s="5"/>
      <c r="AJ918" s="5"/>
    </row>
    <row r="919" ht="30.0" customHeight="1">
      <c r="AH919" s="5"/>
      <c r="AI919" s="5"/>
      <c r="AJ919" s="5"/>
    </row>
    <row r="920" ht="30.0" customHeight="1">
      <c r="AH920" s="5"/>
      <c r="AI920" s="5"/>
      <c r="AJ920" s="5"/>
    </row>
    <row r="921" ht="30.0" customHeight="1">
      <c r="AH921" s="5"/>
      <c r="AI921" s="5"/>
      <c r="AJ921" s="5"/>
    </row>
    <row r="922" ht="30.0" customHeight="1">
      <c r="AH922" s="5"/>
      <c r="AI922" s="5"/>
      <c r="AJ922" s="5"/>
    </row>
    <row r="923" ht="30.0" customHeight="1">
      <c r="AH923" s="5"/>
      <c r="AI923" s="5"/>
      <c r="AJ923" s="5"/>
    </row>
    <row r="924" ht="30.0" customHeight="1">
      <c r="AH924" s="5"/>
      <c r="AI924" s="5"/>
      <c r="AJ924" s="5"/>
    </row>
    <row r="925" ht="30.0" customHeight="1">
      <c r="AH925" s="5"/>
      <c r="AI925" s="5"/>
      <c r="AJ925" s="5"/>
    </row>
    <row r="926" ht="30.0" customHeight="1">
      <c r="AH926" s="5"/>
      <c r="AI926" s="5"/>
      <c r="AJ926" s="5"/>
    </row>
    <row r="927" ht="30.0" customHeight="1">
      <c r="AH927" s="5"/>
      <c r="AI927" s="5"/>
      <c r="AJ927" s="5"/>
    </row>
    <row r="928" ht="30.0" customHeight="1">
      <c r="AH928" s="5"/>
      <c r="AI928" s="5"/>
      <c r="AJ928" s="5"/>
    </row>
    <row r="929" ht="30.0" customHeight="1">
      <c r="AH929" s="5"/>
      <c r="AI929" s="5"/>
      <c r="AJ929" s="5"/>
    </row>
    <row r="930" ht="30.0" customHeight="1">
      <c r="AH930" s="5"/>
      <c r="AI930" s="5"/>
      <c r="AJ930" s="5"/>
    </row>
    <row r="931" ht="30.0" customHeight="1">
      <c r="AH931" s="5"/>
      <c r="AI931" s="5"/>
      <c r="AJ931" s="5"/>
    </row>
    <row r="932" ht="30.0" customHeight="1">
      <c r="AH932" s="5"/>
      <c r="AI932" s="5"/>
      <c r="AJ932" s="5"/>
    </row>
    <row r="933" ht="30.0" customHeight="1">
      <c r="AH933" s="5"/>
      <c r="AI933" s="5"/>
      <c r="AJ933" s="5"/>
    </row>
    <row r="934" ht="30.0" customHeight="1">
      <c r="AH934" s="5"/>
      <c r="AI934" s="5"/>
      <c r="AJ934" s="5"/>
    </row>
    <row r="935" ht="30.0" customHeight="1">
      <c r="AH935" s="5"/>
      <c r="AI935" s="5"/>
      <c r="AJ935" s="5"/>
    </row>
    <row r="936" ht="30.0" customHeight="1">
      <c r="AH936" s="5"/>
      <c r="AI936" s="5"/>
      <c r="AJ936" s="5"/>
    </row>
    <row r="937" ht="30.0" customHeight="1">
      <c r="AH937" s="5"/>
      <c r="AI937" s="5"/>
      <c r="AJ937" s="5"/>
    </row>
    <row r="938" ht="30.0" customHeight="1">
      <c r="AH938" s="5"/>
      <c r="AI938" s="5"/>
      <c r="AJ938" s="5"/>
    </row>
    <row r="939" ht="30.0" customHeight="1">
      <c r="AH939" s="5"/>
      <c r="AI939" s="5"/>
      <c r="AJ939" s="5"/>
    </row>
    <row r="940" ht="30.0" customHeight="1">
      <c r="AH940" s="5"/>
      <c r="AI940" s="5"/>
      <c r="AJ940" s="5"/>
    </row>
    <row r="941" ht="30.0" customHeight="1">
      <c r="AH941" s="5"/>
      <c r="AI941" s="5"/>
      <c r="AJ941" s="5"/>
    </row>
    <row r="942" ht="30.0" customHeight="1">
      <c r="AH942" s="5"/>
      <c r="AI942" s="5"/>
      <c r="AJ942" s="5"/>
    </row>
    <row r="943" ht="30.0" customHeight="1">
      <c r="AH943" s="5"/>
      <c r="AI943" s="5"/>
      <c r="AJ943" s="5"/>
    </row>
    <row r="944" ht="30.0" customHeight="1">
      <c r="AH944" s="5"/>
      <c r="AI944" s="5"/>
      <c r="AJ944" s="5"/>
    </row>
    <row r="945" ht="30.0" customHeight="1">
      <c r="AH945" s="5"/>
      <c r="AI945" s="5"/>
      <c r="AJ945" s="5"/>
    </row>
    <row r="946" ht="30.0" customHeight="1">
      <c r="AH946" s="5"/>
      <c r="AI946" s="5"/>
      <c r="AJ946" s="5"/>
    </row>
    <row r="947" ht="30.0" customHeight="1">
      <c r="AH947" s="5"/>
      <c r="AI947" s="5"/>
      <c r="AJ947" s="5"/>
    </row>
    <row r="948" ht="30.0" customHeight="1">
      <c r="AH948" s="5"/>
      <c r="AI948" s="5"/>
      <c r="AJ948" s="5"/>
    </row>
    <row r="949" ht="30.0" customHeight="1">
      <c r="AH949" s="5"/>
      <c r="AI949" s="5"/>
      <c r="AJ949" s="5"/>
    </row>
    <row r="950" ht="30.0" customHeight="1">
      <c r="AH950" s="5"/>
      <c r="AI950" s="5"/>
      <c r="AJ950" s="5"/>
    </row>
    <row r="951" ht="30.0" customHeight="1">
      <c r="AH951" s="5"/>
      <c r="AI951" s="5"/>
      <c r="AJ951" s="5"/>
    </row>
    <row r="952" ht="30.0" customHeight="1">
      <c r="AH952" s="5"/>
      <c r="AI952" s="5"/>
      <c r="AJ952" s="5"/>
    </row>
    <row r="953" ht="30.0" customHeight="1">
      <c r="AH953" s="5"/>
      <c r="AI953" s="5"/>
      <c r="AJ953" s="5"/>
    </row>
    <row r="954" ht="30.0" customHeight="1">
      <c r="AH954" s="5"/>
      <c r="AI954" s="5"/>
      <c r="AJ954" s="5"/>
    </row>
    <row r="955" ht="30.0" customHeight="1">
      <c r="AH955" s="5"/>
      <c r="AI955" s="5"/>
      <c r="AJ955" s="5"/>
    </row>
    <row r="956" ht="30.0" customHeight="1">
      <c r="AH956" s="5"/>
      <c r="AI956" s="5"/>
      <c r="AJ956" s="5"/>
    </row>
    <row r="957" ht="30.0" customHeight="1">
      <c r="AH957" s="5"/>
      <c r="AI957" s="5"/>
      <c r="AJ957" s="5"/>
    </row>
    <row r="958" ht="30.0" customHeight="1">
      <c r="AH958" s="5"/>
      <c r="AI958" s="5"/>
      <c r="AJ958" s="5"/>
    </row>
    <row r="959" ht="30.0" customHeight="1">
      <c r="AH959" s="5"/>
      <c r="AI959" s="5"/>
      <c r="AJ959" s="5"/>
    </row>
    <row r="960" ht="30.0" customHeight="1">
      <c r="AH960" s="5"/>
      <c r="AI960" s="5"/>
      <c r="AJ960" s="5"/>
    </row>
    <row r="961" ht="30.0" customHeight="1">
      <c r="AH961" s="5"/>
      <c r="AI961" s="5"/>
      <c r="AJ961" s="5"/>
    </row>
    <row r="962" ht="30.0" customHeight="1">
      <c r="AH962" s="5"/>
      <c r="AI962" s="5"/>
      <c r="AJ962" s="5"/>
    </row>
    <row r="963" ht="30.0" customHeight="1">
      <c r="AH963" s="5"/>
      <c r="AI963" s="5"/>
      <c r="AJ963" s="5"/>
    </row>
    <row r="964" ht="30.0" customHeight="1">
      <c r="AH964" s="5"/>
      <c r="AI964" s="5"/>
      <c r="AJ964" s="5"/>
    </row>
    <row r="965" ht="30.0" customHeight="1">
      <c r="AH965" s="5"/>
      <c r="AI965" s="5"/>
      <c r="AJ965" s="5"/>
    </row>
    <row r="966" ht="30.0" customHeight="1">
      <c r="AH966" s="5"/>
      <c r="AI966" s="5"/>
      <c r="AJ966" s="5"/>
    </row>
    <row r="967" ht="30.0" customHeight="1">
      <c r="AH967" s="5"/>
      <c r="AI967" s="5"/>
      <c r="AJ967" s="5"/>
    </row>
    <row r="968" ht="30.0" customHeight="1">
      <c r="AH968" s="5"/>
      <c r="AI968" s="5"/>
      <c r="AJ968" s="5"/>
    </row>
    <row r="969" ht="30.0" customHeight="1">
      <c r="AH969" s="5"/>
      <c r="AI969" s="5"/>
      <c r="AJ969" s="5"/>
    </row>
    <row r="970" ht="30.0" customHeight="1">
      <c r="AH970" s="5"/>
      <c r="AI970" s="5"/>
      <c r="AJ970" s="5"/>
    </row>
    <row r="971" ht="30.0" customHeight="1">
      <c r="AH971" s="5"/>
      <c r="AI971" s="5"/>
      <c r="AJ971" s="5"/>
    </row>
    <row r="972" ht="30.0" customHeight="1">
      <c r="AH972" s="5"/>
      <c r="AI972" s="5"/>
      <c r="AJ972" s="5"/>
    </row>
    <row r="973" ht="30.0" customHeight="1">
      <c r="AH973" s="5"/>
      <c r="AI973" s="5"/>
      <c r="AJ973" s="5"/>
    </row>
    <row r="974" ht="30.0" customHeight="1">
      <c r="AH974" s="5"/>
      <c r="AI974" s="5"/>
      <c r="AJ974" s="5"/>
    </row>
    <row r="975" ht="30.0" customHeight="1">
      <c r="AH975" s="5"/>
      <c r="AI975" s="5"/>
      <c r="AJ975" s="5"/>
    </row>
    <row r="976" ht="30.0" customHeight="1">
      <c r="AH976" s="5"/>
      <c r="AI976" s="5"/>
      <c r="AJ976" s="5"/>
    </row>
    <row r="977" ht="30.0" customHeight="1">
      <c r="AH977" s="5"/>
      <c r="AI977" s="5"/>
      <c r="AJ977" s="5"/>
    </row>
    <row r="978" ht="30.0" customHeight="1">
      <c r="AH978" s="5"/>
      <c r="AI978" s="5"/>
      <c r="AJ978" s="5"/>
    </row>
    <row r="979" ht="30.0" customHeight="1">
      <c r="AH979" s="5"/>
      <c r="AI979" s="5"/>
      <c r="AJ979" s="5"/>
    </row>
    <row r="980" ht="30.0" customHeight="1">
      <c r="AH980" s="5"/>
      <c r="AI980" s="5"/>
      <c r="AJ980" s="5"/>
    </row>
    <row r="981" ht="30.0" customHeight="1">
      <c r="AH981" s="5"/>
      <c r="AI981" s="5"/>
      <c r="AJ981" s="5"/>
    </row>
    <row r="982" ht="30.0" customHeight="1">
      <c r="AH982" s="5"/>
      <c r="AI982" s="5"/>
      <c r="AJ982" s="5"/>
    </row>
    <row r="983" ht="30.0" customHeight="1">
      <c r="AH983" s="5"/>
      <c r="AI983" s="5"/>
      <c r="AJ983" s="5"/>
    </row>
    <row r="984" ht="30.0" customHeight="1">
      <c r="AH984" s="5"/>
      <c r="AI984" s="5"/>
      <c r="AJ984" s="5"/>
    </row>
    <row r="985" ht="30.0" customHeight="1">
      <c r="AH985" s="5"/>
      <c r="AI985" s="5"/>
      <c r="AJ985" s="5"/>
    </row>
    <row r="986" ht="30.0" customHeight="1">
      <c r="AH986" s="5"/>
      <c r="AI986" s="5"/>
      <c r="AJ986" s="5"/>
    </row>
    <row r="987" ht="30.0" customHeight="1">
      <c r="AH987" s="5"/>
      <c r="AI987" s="5"/>
      <c r="AJ987" s="5"/>
    </row>
    <row r="988" ht="30.0" customHeight="1">
      <c r="AH988" s="5"/>
      <c r="AI988" s="5"/>
      <c r="AJ988" s="5"/>
    </row>
    <row r="989" ht="30.0" customHeight="1">
      <c r="AH989" s="5"/>
      <c r="AI989" s="5"/>
      <c r="AJ989" s="5"/>
    </row>
    <row r="990" ht="30.0" customHeight="1">
      <c r="AH990" s="5"/>
      <c r="AI990" s="5"/>
      <c r="AJ990" s="5"/>
    </row>
    <row r="991" ht="30.0" customHeight="1">
      <c r="AH991" s="5"/>
      <c r="AI991" s="5"/>
      <c r="AJ991" s="5"/>
    </row>
    <row r="992" ht="30.0" customHeight="1">
      <c r="AH992" s="5"/>
      <c r="AI992" s="5"/>
      <c r="AJ992" s="5"/>
    </row>
    <row r="993" ht="30.0" customHeight="1">
      <c r="AH993" s="5"/>
      <c r="AI993" s="5"/>
      <c r="AJ993" s="5"/>
    </row>
    <row r="994" ht="30.0" customHeight="1">
      <c r="AH994" s="5"/>
      <c r="AI994" s="5"/>
      <c r="AJ994" s="5"/>
    </row>
    <row r="995" ht="30.0" customHeight="1">
      <c r="AH995" s="5"/>
      <c r="AI995" s="5"/>
      <c r="AJ995" s="5"/>
    </row>
    <row r="996" ht="30.0" customHeight="1">
      <c r="AH996" s="5"/>
      <c r="AI996" s="5"/>
      <c r="AJ996" s="5"/>
    </row>
    <row r="997" ht="30.0" customHeight="1">
      <c r="AH997" s="5"/>
      <c r="AI997" s="5"/>
      <c r="AJ997" s="5"/>
    </row>
    <row r="998" ht="30.0" customHeight="1">
      <c r="AH998" s="5"/>
      <c r="AI998" s="5"/>
      <c r="AJ998" s="5"/>
    </row>
    <row r="999" ht="30.0" customHeight="1">
      <c r="AH999" s="5"/>
      <c r="AI999" s="5"/>
      <c r="AJ999" s="5"/>
    </row>
    <row r="1000" ht="30.0" customHeight="1">
      <c r="AH1000" s="5"/>
      <c r="AI1000" s="5"/>
      <c r="AJ1000" s="5"/>
    </row>
    <row r="1001" ht="30.0" customHeight="1">
      <c r="AH1001" s="5"/>
      <c r="AI1001" s="5"/>
      <c r="AJ1001" s="5"/>
    </row>
    <row r="1002" ht="30.0" customHeight="1">
      <c r="AH1002" s="5"/>
      <c r="AI1002" s="5"/>
      <c r="AJ1002" s="5"/>
    </row>
    <row r="1003" ht="30.0" customHeight="1">
      <c r="AH1003" s="5"/>
      <c r="AI1003" s="5"/>
      <c r="AJ1003" s="5"/>
    </row>
    <row r="1004" ht="30.0" customHeight="1">
      <c r="AH1004" s="5"/>
      <c r="AI1004" s="5"/>
      <c r="AJ1004" s="5"/>
    </row>
    <row r="1005" ht="30.0" customHeight="1">
      <c r="AH1005" s="5"/>
      <c r="AI1005" s="5"/>
      <c r="AJ1005" s="5"/>
    </row>
    <row r="1006" ht="30.0" customHeight="1">
      <c r="AH1006" s="5"/>
      <c r="AI1006" s="5"/>
      <c r="AJ1006" s="5"/>
    </row>
    <row r="1007" ht="30.0" customHeight="1">
      <c r="AH1007" s="5"/>
      <c r="AI1007" s="5"/>
      <c r="AJ1007" s="5"/>
    </row>
    <row r="1008" ht="30.0" customHeight="1">
      <c r="AH1008" s="5"/>
      <c r="AI1008" s="5"/>
      <c r="AJ1008" s="5"/>
    </row>
    <row r="1009" ht="30.0" customHeight="1">
      <c r="AH1009" s="5"/>
      <c r="AI1009" s="5"/>
      <c r="AJ1009" s="5"/>
    </row>
    <row r="1010" ht="30.0" customHeight="1">
      <c r="AH1010" s="5"/>
      <c r="AI1010" s="5"/>
      <c r="AJ1010" s="5"/>
    </row>
    <row r="1011" ht="30.0" customHeight="1">
      <c r="AH1011" s="5"/>
      <c r="AI1011" s="5"/>
      <c r="AJ1011" s="5"/>
    </row>
    <row r="1012" ht="30.0" customHeight="1">
      <c r="AH1012" s="5"/>
      <c r="AI1012" s="5"/>
      <c r="AJ1012" s="5"/>
    </row>
    <row r="1013" ht="30.0" customHeight="1">
      <c r="AH1013" s="5"/>
      <c r="AI1013" s="5"/>
      <c r="AJ1013" s="5"/>
    </row>
    <row r="1014" ht="30.0" customHeight="1">
      <c r="AH1014" s="5"/>
      <c r="AI1014" s="5"/>
      <c r="AJ1014" s="5"/>
    </row>
    <row r="1015" ht="30.0" customHeight="1">
      <c r="AH1015" s="5"/>
      <c r="AI1015" s="5"/>
      <c r="AJ1015" s="5"/>
    </row>
    <row r="1016" ht="30.0" customHeight="1">
      <c r="AH1016" s="5"/>
      <c r="AI1016" s="5"/>
      <c r="AJ1016" s="5"/>
    </row>
    <row r="1017" ht="30.0" customHeight="1">
      <c r="AH1017" s="5"/>
      <c r="AI1017" s="5"/>
      <c r="AJ1017" s="5"/>
    </row>
    <row r="1018" ht="30.0" customHeight="1">
      <c r="AH1018" s="5"/>
      <c r="AI1018" s="5"/>
      <c r="AJ1018" s="5"/>
    </row>
    <row r="1019" ht="30.0" customHeight="1">
      <c r="AH1019" s="5"/>
      <c r="AI1019" s="5"/>
      <c r="AJ1019" s="5"/>
    </row>
    <row r="1020" ht="30.0" customHeight="1">
      <c r="AH1020" s="5"/>
      <c r="AI1020" s="5"/>
      <c r="AJ1020" s="5"/>
    </row>
    <row r="1021" ht="30.0" customHeight="1">
      <c r="AH1021" s="5"/>
      <c r="AI1021" s="5"/>
      <c r="AJ1021" s="5"/>
    </row>
    <row r="1022" ht="30.0" customHeight="1">
      <c r="AH1022" s="5"/>
      <c r="AI1022" s="5"/>
      <c r="AJ1022" s="5"/>
    </row>
    <row r="1023" ht="30.0" customHeight="1">
      <c r="AH1023" s="5"/>
      <c r="AI1023" s="5"/>
      <c r="AJ1023" s="5"/>
    </row>
    <row r="1024" ht="30.0" customHeight="1">
      <c r="AH1024" s="5"/>
      <c r="AI1024" s="5"/>
      <c r="AJ1024" s="5"/>
    </row>
    <row r="1025" ht="30.0" customHeight="1">
      <c r="AH1025" s="5"/>
      <c r="AI1025" s="5"/>
      <c r="AJ1025" s="5"/>
    </row>
    <row r="1026" ht="30.0" customHeight="1">
      <c r="AH1026" s="5"/>
      <c r="AI1026" s="5"/>
      <c r="AJ1026" s="5"/>
    </row>
    <row r="1027" ht="30.0" customHeight="1">
      <c r="AH1027" s="5"/>
      <c r="AI1027" s="5"/>
      <c r="AJ1027" s="5"/>
    </row>
    <row r="1028" ht="30.0" customHeight="1">
      <c r="AH1028" s="5"/>
      <c r="AI1028" s="5"/>
      <c r="AJ1028" s="5"/>
    </row>
    <row r="1029" ht="30.0" customHeight="1">
      <c r="AH1029" s="5"/>
      <c r="AI1029" s="5"/>
      <c r="AJ1029" s="5"/>
    </row>
    <row r="1030" ht="30.0" customHeight="1">
      <c r="AH1030" s="5"/>
      <c r="AI1030" s="5"/>
      <c r="AJ1030" s="5"/>
    </row>
    <row r="1031" ht="30.0" customHeight="1">
      <c r="AH1031" s="5"/>
      <c r="AI1031" s="5"/>
      <c r="AJ1031" s="5"/>
    </row>
    <row r="1032" ht="30.0" customHeight="1">
      <c r="AH1032" s="5"/>
      <c r="AI1032" s="5"/>
      <c r="AJ1032" s="5"/>
    </row>
    <row r="1033" ht="30.0" customHeight="1">
      <c r="AH1033" s="5"/>
      <c r="AI1033" s="5"/>
      <c r="AJ1033" s="5"/>
    </row>
    <row r="1034" ht="30.0" customHeight="1">
      <c r="AH1034" s="5"/>
      <c r="AI1034" s="5"/>
      <c r="AJ1034" s="5"/>
    </row>
    <row r="1035" ht="30.0" customHeight="1">
      <c r="AH1035" s="5"/>
      <c r="AI1035" s="5"/>
      <c r="AJ1035" s="5"/>
    </row>
    <row r="1036" ht="30.0" customHeight="1">
      <c r="AH1036" s="5"/>
      <c r="AI1036" s="5"/>
      <c r="AJ1036" s="5"/>
    </row>
    <row r="1037" ht="30.0" customHeight="1">
      <c r="AH1037" s="5"/>
      <c r="AI1037" s="5"/>
      <c r="AJ1037" s="5"/>
    </row>
  </sheetData>
  <mergeCells count="16">
    <mergeCell ref="B1:X1"/>
    <mergeCell ref="D2:F2"/>
    <mergeCell ref="H2:J2"/>
    <mergeCell ref="L2:N2"/>
    <mergeCell ref="P2:S2"/>
    <mergeCell ref="U2:X2"/>
    <mergeCell ref="C4:AG4"/>
    <mergeCell ref="C179:AG179"/>
    <mergeCell ref="C189:AG189"/>
    <mergeCell ref="C10:AG10"/>
    <mergeCell ref="C37:AG37"/>
    <mergeCell ref="C64:AG64"/>
    <mergeCell ref="C97:AG97"/>
    <mergeCell ref="C123:AG123"/>
    <mergeCell ref="C149:AG149"/>
    <mergeCell ref="C166:AG166"/>
  </mergeCells>
  <conditionalFormatting sqref="C7:AG7 N33 Q33 X33:Y33">
    <cfRule type="expression" dxfId="5" priority="1" stopIfTrue="1">
      <formula>C7=""</formula>
    </cfRule>
  </conditionalFormatting>
  <conditionalFormatting sqref="K7 N7 R7 T7 C33:AC33 AE33:AG33">
    <cfRule type="expression" dxfId="5" priority="2" stopIfTrue="1">
      <formula>#REF!=""</formula>
    </cfRule>
  </conditionalFormatting>
  <conditionalFormatting sqref="AH42:AI42">
    <cfRule type="expression" dxfId="5" priority="3" stopIfTrue="1">
      <formula>AH42=""</formula>
    </cfRule>
  </conditionalFormatting>
  <conditionalFormatting sqref="C94:H94 J94:K94 M94:W94 Y94:AD94 AF94:AG94">
    <cfRule type="expression" dxfId="5" priority="4" stopIfTrue="1">
      <formula>#REF!=""</formula>
    </cfRule>
  </conditionalFormatting>
  <conditionalFormatting sqref="C120:K120 N120:AG120 C162:L163 N162:AG163">
    <cfRule type="expression" dxfId="5" priority="5" stopIfTrue="1">
      <formula>#REF!=""</formula>
    </cfRule>
  </conditionalFormatting>
  <dataValidations>
    <dataValidation type="list" allowBlank="1" showErrorMessage="1" sqref="B7 B13:B33 B40:B59 B67:B94 B102:B120 B128:B144 B153:B163 B171:B176 B184:B186 B194:B196">
      <formula1>'Nombres de los alumnos '!$B$4:$B$1016</formula1>
    </dataValidation>
    <dataValidation type="list" allowBlank="1" showErrorMessage="1" sqref="B100:B101 B126:B127 B152 B169:B170 B182:B183 B192:B193">
      <formula1>'Nombres de los alumnos '!$B$4:$B$999999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1E11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2.71"/>
    <col customWidth="1" min="3" max="33" width="4.71"/>
    <col customWidth="1" min="34" max="36" width="20.86"/>
  </cols>
  <sheetData>
    <row r="1" ht="49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AH1" s="5"/>
      <c r="AI1" s="5"/>
      <c r="AJ1" s="5"/>
    </row>
    <row r="2" ht="15.0" customHeight="1">
      <c r="B2" s="6" t="s">
        <v>1</v>
      </c>
      <c r="C2" s="7" t="s">
        <v>2</v>
      </c>
      <c r="D2" s="8" t="s">
        <v>3</v>
      </c>
      <c r="E2" s="3"/>
      <c r="F2" s="4"/>
      <c r="G2" s="9" t="s">
        <v>4</v>
      </c>
      <c r="H2" s="8" t="s">
        <v>5</v>
      </c>
      <c r="I2" s="3"/>
      <c r="J2" s="4"/>
      <c r="K2" s="10" t="s">
        <v>6</v>
      </c>
      <c r="L2" s="8" t="s">
        <v>7</v>
      </c>
      <c r="M2" s="3"/>
      <c r="N2" s="4"/>
      <c r="O2" s="11" t="s">
        <v>8</v>
      </c>
      <c r="P2" s="8" t="s">
        <v>9</v>
      </c>
      <c r="Q2" s="3"/>
      <c r="R2" s="3"/>
      <c r="S2" s="4"/>
      <c r="T2" s="12" t="s">
        <v>10</v>
      </c>
      <c r="U2" s="8" t="s">
        <v>11</v>
      </c>
      <c r="V2" s="3"/>
      <c r="W2" s="3"/>
      <c r="X2" s="4"/>
      <c r="AH2" s="5"/>
      <c r="AI2" s="5"/>
      <c r="AJ2" s="5"/>
    </row>
    <row r="3" ht="15.0" customHeight="1">
      <c r="AH3" s="13"/>
      <c r="AI3" s="13"/>
      <c r="AJ3" s="13"/>
    </row>
    <row r="4" ht="30.0" customHeight="1">
      <c r="B4" s="14" t="s">
        <v>12</v>
      </c>
      <c r="C4" s="15" t="s">
        <v>13</v>
      </c>
      <c r="AH4" s="15">
        <v>2026.0</v>
      </c>
      <c r="AI4" s="15"/>
      <c r="AJ4" s="15"/>
    </row>
    <row r="5" ht="15.0" customHeight="1">
      <c r="B5" s="14"/>
      <c r="C5" s="16" t="str">
        <f>TEXT(WEEKDAY(DATE(Diciembre!CalendarioAño,1,1),1),"ddd")</f>
        <v>jue</v>
      </c>
      <c r="D5" s="16" t="str">
        <f>TEXT(WEEKDAY(DATE(Diciembre!CalendarioAño,1,2),1),"ddd")</f>
        <v>vie</v>
      </c>
      <c r="E5" s="16" t="str">
        <f>TEXT(WEEKDAY(DATE(Diciembre!CalendarioAño,1,3),1),"ddd")</f>
        <v>sáb</v>
      </c>
      <c r="F5" s="16" t="str">
        <f>TEXT(WEEKDAY(DATE(Diciembre!CalendarioAño,1,4),1),"ddd")</f>
        <v>dom</v>
      </c>
      <c r="G5" s="16" t="str">
        <f>TEXT(WEEKDAY(DATE(Diciembre!CalendarioAño,1,5),1),"ddd")</f>
        <v>lun</v>
      </c>
      <c r="H5" s="16" t="str">
        <f>TEXT(WEEKDAY(DATE(Diciembre!CalendarioAño,1,6),1),"ddd")</f>
        <v>mar</v>
      </c>
      <c r="I5" s="16" t="str">
        <f>TEXT(WEEKDAY(DATE(Diciembre!CalendarioAño,1,7),1),"ddd")</f>
        <v>mié</v>
      </c>
      <c r="J5" s="16" t="str">
        <f>TEXT(WEEKDAY(DATE(Diciembre!CalendarioAño,1,8),1),"ddd")</f>
        <v>jue</v>
      </c>
      <c r="K5" s="16" t="str">
        <f>TEXT(WEEKDAY(DATE(Diciembre!CalendarioAño,1,9),1),"ddd")</f>
        <v>vie</v>
      </c>
      <c r="L5" s="16" t="str">
        <f>TEXT(WEEKDAY(DATE(Diciembre!CalendarioAño,1,10),1),"ddd")</f>
        <v>sáb</v>
      </c>
      <c r="M5" s="16" t="str">
        <f>TEXT(WEEKDAY(DATE(Diciembre!CalendarioAño,1,11),1),"ddd")</f>
        <v>dom</v>
      </c>
      <c r="N5" s="16" t="str">
        <f>TEXT(WEEKDAY(DATE(Diciembre!CalendarioAño,1,12),1),"ddd")</f>
        <v>lun</v>
      </c>
      <c r="O5" s="16" t="str">
        <f>TEXT(WEEKDAY(DATE(Diciembre!CalendarioAño,1,13),1),"ddd")</f>
        <v>mar</v>
      </c>
      <c r="P5" s="16" t="str">
        <f>TEXT(WEEKDAY(DATE(Diciembre!CalendarioAño,1,14),1),"ddd")</f>
        <v>mié</v>
      </c>
      <c r="Q5" s="16" t="str">
        <f>TEXT(WEEKDAY(DATE(Diciembre!CalendarioAño,1,15),1),"ddd")</f>
        <v>jue</v>
      </c>
      <c r="R5" s="16" t="str">
        <f>TEXT(WEEKDAY(DATE(Diciembre!CalendarioAño,1,16),1),"ddd")</f>
        <v>vie</v>
      </c>
      <c r="S5" s="16" t="str">
        <f>TEXT(WEEKDAY(DATE(Diciembre!CalendarioAño,1,17),1),"ddd")</f>
        <v>sáb</v>
      </c>
      <c r="T5" s="16" t="str">
        <f>TEXT(WEEKDAY(DATE(Diciembre!CalendarioAño,1,18),1),"ddd")</f>
        <v>dom</v>
      </c>
      <c r="U5" s="16" t="str">
        <f>TEXT(WEEKDAY(DATE(Diciembre!CalendarioAño,1,19),1),"ddd")</f>
        <v>lun</v>
      </c>
      <c r="V5" s="16" t="str">
        <f>TEXT(WEEKDAY(DATE(Diciembre!CalendarioAño,1,20),1),"ddd")</f>
        <v>mar</v>
      </c>
      <c r="W5" s="16" t="str">
        <f>TEXT(WEEKDAY(DATE(Diciembre!CalendarioAño,1,21),1),"ddd")</f>
        <v>mié</v>
      </c>
      <c r="X5" s="16" t="str">
        <f>TEXT(WEEKDAY(DATE(Diciembre!CalendarioAño,1,22),1),"ddd")</f>
        <v>jue</v>
      </c>
      <c r="Y5" s="16" t="str">
        <f>TEXT(WEEKDAY(DATE(Diciembre!CalendarioAño,1,23),1),"ddd")</f>
        <v>vie</v>
      </c>
      <c r="Z5" s="16" t="str">
        <f>TEXT(WEEKDAY(DATE(Diciembre!CalendarioAño,1,24),1),"ddd")</f>
        <v>sáb</v>
      </c>
      <c r="AA5" s="16" t="str">
        <f>TEXT(WEEKDAY(DATE(Diciembre!CalendarioAño,1,25),1),"ddd")</f>
        <v>dom</v>
      </c>
      <c r="AB5" s="16" t="str">
        <f>TEXT(WEEKDAY(DATE(Diciembre!CalendarioAño,1,26),1),"ddd")</f>
        <v>lun</v>
      </c>
      <c r="AC5" s="16" t="str">
        <f>TEXT(WEEKDAY(DATE(Diciembre!CalendarioAño,1,27),1),"ddd")</f>
        <v>mar</v>
      </c>
      <c r="AD5" s="16" t="str">
        <f>TEXT(WEEKDAY(DATE(Diciembre!CalendarioAño,1,28),1),"ddd")</f>
        <v>mié</v>
      </c>
      <c r="AE5" s="16" t="str">
        <f>TEXT(WEEKDAY(DATE(Diciembre!CalendarioAño,1,29),1),"ddd")</f>
        <v>jue</v>
      </c>
      <c r="AF5" s="16" t="str">
        <f>TEXT(WEEKDAY(DATE(Diciembre!CalendarioAño,1,30),1),"ddd")</f>
        <v>vie</v>
      </c>
      <c r="AG5" s="16" t="str">
        <f>TEXT(WEEKDAY(DATE(Diciembre!CalendarioAño,1,31),1),"ddd")</f>
        <v>sáb</v>
      </c>
      <c r="AH5" s="14"/>
      <c r="AI5" s="14"/>
      <c r="AJ5" s="14"/>
    </row>
    <row r="6" ht="15.0" customHeight="1">
      <c r="A6" s="17"/>
      <c r="B6" s="18" t="s">
        <v>14</v>
      </c>
      <c r="C6" s="19" t="s">
        <v>15</v>
      </c>
      <c r="D6" s="19" t="s">
        <v>16</v>
      </c>
      <c r="E6" s="19" t="s">
        <v>17</v>
      </c>
      <c r="F6" s="19" t="s">
        <v>18</v>
      </c>
      <c r="G6" s="19" t="s">
        <v>19</v>
      </c>
      <c r="H6" s="19" t="s">
        <v>20</v>
      </c>
      <c r="I6" s="19" t="s">
        <v>21</v>
      </c>
      <c r="J6" s="19" t="s">
        <v>22</v>
      </c>
      <c r="K6" s="19" t="s">
        <v>23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28</v>
      </c>
      <c r="Q6" s="19" t="s">
        <v>29</v>
      </c>
      <c r="R6" s="19" t="s">
        <v>30</v>
      </c>
      <c r="S6" s="19" t="s">
        <v>31</v>
      </c>
      <c r="T6" s="19" t="s">
        <v>32</v>
      </c>
      <c r="U6" s="19" t="s">
        <v>33</v>
      </c>
      <c r="V6" s="19" t="s">
        <v>34</v>
      </c>
      <c r="W6" s="19" t="s">
        <v>35</v>
      </c>
      <c r="X6" s="19" t="s">
        <v>36</v>
      </c>
      <c r="Y6" s="19" t="s">
        <v>37</v>
      </c>
      <c r="Z6" s="19" t="s">
        <v>38</v>
      </c>
      <c r="AA6" s="19" t="s">
        <v>39</v>
      </c>
      <c r="AB6" s="19" t="s">
        <v>40</v>
      </c>
      <c r="AC6" s="19" t="s">
        <v>41</v>
      </c>
      <c r="AD6" s="19" t="s">
        <v>42</v>
      </c>
      <c r="AE6" s="19" t="s">
        <v>43</v>
      </c>
      <c r="AF6" s="19" t="s">
        <v>44</v>
      </c>
      <c r="AG6" s="19" t="s">
        <v>45</v>
      </c>
      <c r="AH6" s="19" t="s">
        <v>46</v>
      </c>
      <c r="AI6" s="19"/>
      <c r="AJ6" s="19"/>
    </row>
    <row r="7" ht="30.0" customHeight="1">
      <c r="B7" s="20"/>
      <c r="C7" s="21"/>
      <c r="D7" s="21"/>
      <c r="E7" s="21"/>
      <c r="F7" s="22"/>
      <c r="G7" s="22"/>
      <c r="H7" s="21"/>
      <c r="I7" s="21"/>
      <c r="J7" s="21"/>
      <c r="K7" s="22"/>
      <c r="L7" s="21"/>
      <c r="M7" s="21"/>
      <c r="N7" s="22"/>
      <c r="O7" s="21"/>
      <c r="P7" s="21"/>
      <c r="Q7" s="21"/>
      <c r="R7" s="22"/>
      <c r="S7" s="21"/>
      <c r="T7" s="22"/>
      <c r="U7" s="22"/>
      <c r="V7" s="21"/>
      <c r="W7" s="21"/>
      <c r="X7" s="21"/>
      <c r="Y7" s="22"/>
      <c r="Z7" s="21"/>
      <c r="AA7" s="22"/>
      <c r="AB7" s="22"/>
      <c r="AC7" s="21"/>
      <c r="AD7" s="21"/>
      <c r="AE7" s="21"/>
      <c r="AF7" s="22"/>
      <c r="AG7" s="21"/>
      <c r="AH7" s="23"/>
      <c r="AI7" s="23"/>
      <c r="AJ7" s="23"/>
    </row>
    <row r="8" ht="30.0" customHeight="1">
      <c r="B8" s="24" t="str">
        <f>Diciembre!MonthName&amp;" Total"</f>
        <v>Enero Total</v>
      </c>
      <c r="C8" s="25">
        <f>SUBTOTAL(103,Diciembre!$C$7)</f>
        <v>0</v>
      </c>
      <c r="D8" s="25">
        <f>SUBTOTAL(103,Diciembre!$D$7)</f>
        <v>0</v>
      </c>
      <c r="E8" s="25">
        <f>SUBTOTAL(103,Diciembre!$E$7)</f>
        <v>0</v>
      </c>
      <c r="F8" s="25">
        <f>SUBTOTAL(103,Diciembre!$F$7)</f>
        <v>0</v>
      </c>
      <c r="G8" s="25">
        <f>SUBTOTAL(103,Diciembre!$G$7)</f>
        <v>0</v>
      </c>
      <c r="H8" s="25">
        <f>SUBTOTAL(103,Diciembre!$H$7)</f>
        <v>0</v>
      </c>
      <c r="I8" s="25">
        <f>SUBTOTAL(103,Diciembre!$I$7)</f>
        <v>0</v>
      </c>
      <c r="J8" s="25">
        <f>SUBTOTAL(103,Diciembre!$J$7)</f>
        <v>0</v>
      </c>
      <c r="K8" s="25">
        <f>SUBTOTAL(103,Diciembre!$K$7)</f>
        <v>0</v>
      </c>
      <c r="L8" s="25">
        <f>SUBTOTAL(103,Diciembre!$L$7)</f>
        <v>0</v>
      </c>
      <c r="M8" s="25">
        <f>SUBTOTAL(103,Diciembre!$M$7)</f>
        <v>0</v>
      </c>
      <c r="N8" s="25">
        <f>SUBTOTAL(103,Diciembre!$N$7)</f>
        <v>0</v>
      </c>
      <c r="O8" s="25">
        <f>SUBTOTAL(103,Diciembre!$O$7)</f>
        <v>0</v>
      </c>
      <c r="P8" s="25">
        <f>SUBTOTAL(103,Diciembre!$P$7)</f>
        <v>0</v>
      </c>
      <c r="Q8" s="25">
        <f>SUBTOTAL(103,Diciembre!$Q$7)</f>
        <v>0</v>
      </c>
      <c r="R8" s="25">
        <f>SUBTOTAL(103,Diciembre!$R$7)</f>
        <v>0</v>
      </c>
      <c r="S8" s="25">
        <f>SUBTOTAL(103,Diciembre!$S$7)</f>
        <v>0</v>
      </c>
      <c r="T8" s="25">
        <f>SUBTOTAL(103,Diciembre!$T$7)</f>
        <v>0</v>
      </c>
      <c r="U8" s="25">
        <f>SUBTOTAL(103,Diciembre!$U$7)</f>
        <v>0</v>
      </c>
      <c r="V8" s="25">
        <f>SUBTOTAL(103,Diciembre!$V$7)</f>
        <v>0</v>
      </c>
      <c r="W8" s="25">
        <f>SUBTOTAL(103,Diciembre!$W$7)</f>
        <v>0</v>
      </c>
      <c r="X8" s="25">
        <f>SUBTOTAL(103,Diciembre!$X$7)</f>
        <v>0</v>
      </c>
      <c r="Y8" s="25">
        <f>SUBTOTAL(103,Diciembre!$Y$7)</f>
        <v>0</v>
      </c>
      <c r="Z8" s="25">
        <f>SUBTOTAL(103,Diciembre!$Z$7)</f>
        <v>0</v>
      </c>
      <c r="AA8" s="25">
        <f>SUBTOTAL(103,Diciembre!$AA$7)</f>
        <v>0</v>
      </c>
      <c r="AB8" s="25">
        <f>SUBTOTAL(103,Diciembre!$AB$7)</f>
        <v>0</v>
      </c>
      <c r="AC8" s="25">
        <f>SUBTOTAL(103,Diciembre!$AC$7)</f>
        <v>0</v>
      </c>
      <c r="AD8" s="25">
        <f>SUBTOTAL(103,Diciembre!$AD$7)</f>
        <v>0</v>
      </c>
      <c r="AE8" s="25">
        <f>SUBTOTAL(103,Diciembre!$AE$7)</f>
        <v>0</v>
      </c>
      <c r="AF8" s="25">
        <f>SUBTOTAL(103,Diciembre!$AF$7)</f>
        <v>0</v>
      </c>
      <c r="AG8" s="25">
        <f>SUBTOTAL(103,Diciembre!$AG$7)</f>
        <v>0</v>
      </c>
      <c r="AH8" s="25"/>
      <c r="AI8" s="25"/>
      <c r="AJ8" s="25"/>
    </row>
    <row r="9" ht="30.0" customHeight="1">
      <c r="AH9" s="5"/>
      <c r="AI9" s="5"/>
      <c r="AJ9" s="5"/>
    </row>
    <row r="10" ht="30.0" customHeight="1">
      <c r="B10" s="26" t="s">
        <v>12</v>
      </c>
      <c r="C10" s="27" t="s">
        <v>47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9">
        <v>2026.0</v>
      </c>
      <c r="AI10" s="15"/>
      <c r="AJ10" s="15"/>
    </row>
    <row r="11" ht="30.0" customHeight="1">
      <c r="B11" s="30"/>
      <c r="C11" s="16" t="str">
        <f>TEXT(WEEKDAY(DATE(Diciembre!CalendarioAño,1,1),1),"ddd")</f>
        <v>jue</v>
      </c>
      <c r="D11" s="16" t="str">
        <f>TEXT(WEEKDAY(DATE(Diciembre!CalendarioAño,1,2),1),"ddd")</f>
        <v>vie</v>
      </c>
      <c r="E11" s="16" t="str">
        <f>TEXT(WEEKDAY(DATE(Diciembre!CalendarioAño,1,3),1),"ddd")</f>
        <v>sáb</v>
      </c>
      <c r="F11" s="16" t="str">
        <f>TEXT(WEEKDAY(DATE(Diciembre!CalendarioAño,1,4),1),"ddd")</f>
        <v>dom</v>
      </c>
      <c r="G11" s="16" t="str">
        <f>TEXT(WEEKDAY(DATE(Diciembre!CalendarioAño,1,5),1),"ddd")</f>
        <v>lun</v>
      </c>
      <c r="H11" s="16" t="str">
        <f>TEXT(WEEKDAY(DATE(Diciembre!CalendarioAño,1,6),1),"ddd")</f>
        <v>mar</v>
      </c>
      <c r="I11" s="16" t="str">
        <f>TEXT(WEEKDAY(DATE(Diciembre!CalendarioAño,1,7),1),"ddd")</f>
        <v>mié</v>
      </c>
      <c r="J11" s="16" t="str">
        <f>TEXT(WEEKDAY(DATE(Diciembre!CalendarioAño,1,8),1),"ddd")</f>
        <v>jue</v>
      </c>
      <c r="K11" s="16" t="str">
        <f>TEXT(WEEKDAY(DATE(Diciembre!CalendarioAño,1,9),1),"ddd")</f>
        <v>vie</v>
      </c>
      <c r="L11" s="16" t="str">
        <f>TEXT(WEEKDAY(DATE(Diciembre!CalendarioAño,1,10),1),"ddd")</f>
        <v>sáb</v>
      </c>
      <c r="M11" s="16" t="str">
        <f>TEXT(WEEKDAY(DATE(Diciembre!CalendarioAño,1,11),1),"ddd")</f>
        <v>dom</v>
      </c>
      <c r="N11" s="16" t="str">
        <f>TEXT(WEEKDAY(DATE(Diciembre!CalendarioAño,1,12),1),"ddd")</f>
        <v>lun</v>
      </c>
      <c r="O11" s="16" t="str">
        <f>TEXT(WEEKDAY(DATE(Diciembre!CalendarioAño,1,13),1),"ddd")</f>
        <v>mar</v>
      </c>
      <c r="P11" s="16" t="str">
        <f>TEXT(WEEKDAY(DATE(Diciembre!CalendarioAño,1,14),1),"ddd")</f>
        <v>mié</v>
      </c>
      <c r="Q11" s="16" t="str">
        <f>TEXT(WEEKDAY(DATE(Diciembre!CalendarioAño,1,15),1),"ddd")</f>
        <v>jue</v>
      </c>
      <c r="R11" s="16" t="str">
        <f>TEXT(WEEKDAY(DATE(Diciembre!CalendarioAño,1,16),1),"ddd")</f>
        <v>vie</v>
      </c>
      <c r="S11" s="16" t="str">
        <f>TEXT(WEEKDAY(DATE(Diciembre!CalendarioAño,1,17),1),"ddd")</f>
        <v>sáb</v>
      </c>
      <c r="T11" s="16" t="str">
        <f>TEXT(WEEKDAY(DATE(Diciembre!CalendarioAño,1,18),1),"ddd")</f>
        <v>dom</v>
      </c>
      <c r="U11" s="16" t="str">
        <f>TEXT(WEEKDAY(DATE(Diciembre!CalendarioAño,1,19),1),"ddd")</f>
        <v>lun</v>
      </c>
      <c r="V11" s="16" t="str">
        <f>TEXT(WEEKDAY(DATE(Diciembre!CalendarioAño,1,20),1),"ddd")</f>
        <v>mar</v>
      </c>
      <c r="W11" s="16" t="str">
        <f>TEXT(WEEKDAY(DATE(Diciembre!CalendarioAño,1,21),1),"ddd")</f>
        <v>mié</v>
      </c>
      <c r="X11" s="16" t="str">
        <f>TEXT(WEEKDAY(DATE(Diciembre!CalendarioAño,1,22),1),"ddd")</f>
        <v>jue</v>
      </c>
      <c r="Y11" s="16" t="str">
        <f>TEXT(WEEKDAY(DATE(Diciembre!CalendarioAño,1,23),1),"ddd")</f>
        <v>vie</v>
      </c>
      <c r="Z11" s="16" t="str">
        <f>TEXT(WEEKDAY(DATE(Diciembre!CalendarioAño,1,24),1),"ddd")</f>
        <v>sáb</v>
      </c>
      <c r="AA11" s="16" t="str">
        <f>TEXT(WEEKDAY(DATE(Diciembre!CalendarioAño,1,25),1),"ddd")</f>
        <v>dom</v>
      </c>
      <c r="AB11" s="16" t="str">
        <f>TEXT(WEEKDAY(DATE(Diciembre!CalendarioAño,1,26),1),"ddd")</f>
        <v>lun</v>
      </c>
      <c r="AC11" s="16" t="str">
        <f>TEXT(WEEKDAY(DATE(Diciembre!CalendarioAño,1,27),1),"ddd")</f>
        <v>mar</v>
      </c>
      <c r="AD11" s="16" t="str">
        <f>TEXT(WEEKDAY(DATE(Diciembre!CalendarioAño,1,28),1),"ddd")</f>
        <v>mié</v>
      </c>
      <c r="AE11" s="16" t="str">
        <f>TEXT(WEEKDAY(DATE(Diciembre!CalendarioAño,1,29),1),"ddd")</f>
        <v>jue</v>
      </c>
      <c r="AF11" s="16" t="str">
        <f>TEXT(WEEKDAY(DATE(Diciembre!CalendarioAño,1,30),1),"ddd")</f>
        <v>vie</v>
      </c>
      <c r="AG11" s="16" t="str">
        <f>TEXT(WEEKDAY(DATE(Diciembre!CalendarioAño,1,31),1),"ddd")</f>
        <v>sáb</v>
      </c>
      <c r="AH11" s="30"/>
      <c r="AI11" s="14"/>
      <c r="AJ11" s="14"/>
    </row>
    <row r="12" ht="21.75" customHeight="1">
      <c r="A12" s="17"/>
      <c r="B12" s="31" t="s">
        <v>14</v>
      </c>
      <c r="C12" s="19" t="s">
        <v>15</v>
      </c>
      <c r="D12" s="19" t="s">
        <v>16</v>
      </c>
      <c r="E12" s="19" t="s">
        <v>17</v>
      </c>
      <c r="F12" s="19" t="s">
        <v>18</v>
      </c>
      <c r="G12" s="19" t="s">
        <v>19</v>
      </c>
      <c r="H12" s="19" t="s">
        <v>20</v>
      </c>
      <c r="I12" s="19" t="s">
        <v>21</v>
      </c>
      <c r="J12" s="19" t="s">
        <v>22</v>
      </c>
      <c r="K12" s="19" t="s">
        <v>23</v>
      </c>
      <c r="L12" s="19" t="s">
        <v>24</v>
      </c>
      <c r="M12" s="19" t="s">
        <v>25</v>
      </c>
      <c r="N12" s="19" t="s">
        <v>26</v>
      </c>
      <c r="O12" s="19" t="s">
        <v>27</v>
      </c>
      <c r="P12" s="19" t="s">
        <v>28</v>
      </c>
      <c r="Q12" s="19" t="s">
        <v>29</v>
      </c>
      <c r="R12" s="19" t="s">
        <v>30</v>
      </c>
      <c r="S12" s="19" t="s">
        <v>31</v>
      </c>
      <c r="T12" s="19" t="s">
        <v>32</v>
      </c>
      <c r="U12" s="19" t="s">
        <v>33</v>
      </c>
      <c r="V12" s="19" t="s">
        <v>34</v>
      </c>
      <c r="W12" s="19" t="s">
        <v>35</v>
      </c>
      <c r="X12" s="19" t="s">
        <v>36</v>
      </c>
      <c r="Y12" s="19" t="s">
        <v>37</v>
      </c>
      <c r="Z12" s="19" t="s">
        <v>38</v>
      </c>
      <c r="AA12" s="19" t="s">
        <v>39</v>
      </c>
      <c r="AB12" s="19" t="s">
        <v>40</v>
      </c>
      <c r="AC12" s="19" t="s">
        <v>41</v>
      </c>
      <c r="AD12" s="19" t="s">
        <v>42</v>
      </c>
      <c r="AE12" s="19" t="s">
        <v>43</v>
      </c>
      <c r="AF12" s="19" t="s">
        <v>44</v>
      </c>
      <c r="AG12" s="19" t="s">
        <v>45</v>
      </c>
      <c r="AH12" s="19" t="s">
        <v>46</v>
      </c>
      <c r="AI12" s="19"/>
      <c r="AJ12" s="19"/>
    </row>
    <row r="13" ht="30.0" customHeight="1">
      <c r="B13" s="32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23"/>
      <c r="AI13" s="23"/>
      <c r="AJ13" s="23"/>
    </row>
    <row r="14" ht="30.0" customHeight="1">
      <c r="B14" s="32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23"/>
      <c r="AI14" s="23"/>
      <c r="AJ14" s="23"/>
    </row>
    <row r="15" ht="30.0" customHeight="1">
      <c r="B15" s="32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23"/>
      <c r="AI15" s="23"/>
      <c r="AJ15" s="23"/>
    </row>
    <row r="16" ht="30.0" customHeight="1">
      <c r="B16" s="32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23"/>
      <c r="AI16" s="23"/>
      <c r="AJ16" s="23"/>
    </row>
    <row r="17" ht="30.0" customHeight="1">
      <c r="B17" s="32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23"/>
      <c r="AI17" s="23"/>
      <c r="AJ17" s="23"/>
    </row>
    <row r="18" ht="30.0" customHeight="1">
      <c r="B18" s="32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23"/>
      <c r="AI18" s="23"/>
      <c r="AJ18" s="23"/>
    </row>
    <row r="19" ht="30.0" customHeight="1">
      <c r="B19" s="32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23"/>
      <c r="AI19" s="23"/>
      <c r="AJ19" s="23"/>
    </row>
    <row r="20" ht="30.0" customHeight="1">
      <c r="B20" s="32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23"/>
      <c r="AI20" s="23"/>
      <c r="AJ20" s="23"/>
    </row>
    <row r="21" ht="30.0" customHeight="1">
      <c r="B21" s="32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23"/>
      <c r="AI21" s="23"/>
      <c r="AJ21" s="23"/>
    </row>
    <row r="22" ht="30.0" customHeight="1">
      <c r="B22" s="32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23"/>
      <c r="AI22" s="23"/>
      <c r="AJ22" s="23"/>
    </row>
    <row r="23" ht="30.0" customHeight="1">
      <c r="B23" s="32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23"/>
      <c r="AI23" s="23"/>
      <c r="AJ23" s="23"/>
    </row>
    <row r="24" ht="30.0" customHeight="1">
      <c r="B24" s="32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23"/>
      <c r="AI24" s="23"/>
      <c r="AJ24" s="23"/>
    </row>
    <row r="25" ht="30.0" customHeight="1">
      <c r="B25" s="32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23"/>
      <c r="AI25" s="23"/>
      <c r="AJ25" s="23"/>
    </row>
    <row r="26" ht="30.0" customHeight="1">
      <c r="B26" s="32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23"/>
      <c r="AI26" s="23"/>
      <c r="AJ26" s="23"/>
    </row>
    <row r="27" ht="30.0" customHeight="1">
      <c r="B27" s="32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23"/>
      <c r="AI27" s="23"/>
      <c r="AJ27" s="23"/>
    </row>
    <row r="28" ht="30.0" customHeight="1">
      <c r="B28" s="32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23"/>
      <c r="AI28" s="23"/>
      <c r="AJ28" s="23"/>
    </row>
    <row r="29" ht="30.0" customHeight="1">
      <c r="B29" s="32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23"/>
      <c r="AI29" s="23"/>
      <c r="AJ29" s="23"/>
    </row>
    <row r="30" ht="30.0" customHeight="1">
      <c r="B30" s="32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23"/>
      <c r="AI30" s="23"/>
      <c r="AJ30" s="23"/>
    </row>
    <row r="31" ht="30.0" customHeight="1">
      <c r="B31" s="32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23"/>
      <c r="AI31" s="23"/>
      <c r="AJ31" s="23"/>
    </row>
    <row r="32" ht="30.0" customHeight="1">
      <c r="B32" s="32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23"/>
      <c r="AI32" s="23"/>
      <c r="AJ32" s="23"/>
    </row>
    <row r="33" ht="30.0" customHeight="1">
      <c r="B33" s="32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2"/>
      <c r="O33" s="21"/>
      <c r="P33" s="21"/>
      <c r="Q33" s="22"/>
      <c r="R33" s="21"/>
      <c r="S33" s="21"/>
      <c r="T33" s="21"/>
      <c r="U33" s="21"/>
      <c r="V33" s="21"/>
      <c r="W33" s="21"/>
      <c r="X33" s="22"/>
      <c r="Y33" s="22"/>
      <c r="Z33" s="21"/>
      <c r="AA33" s="21"/>
      <c r="AB33" s="21"/>
      <c r="AC33" s="21"/>
      <c r="AD33" s="33"/>
      <c r="AE33" s="22"/>
      <c r="AF33" s="21"/>
      <c r="AG33" s="22"/>
      <c r="AH33" s="23"/>
      <c r="AI33" s="23"/>
      <c r="AJ33" s="23"/>
    </row>
    <row r="34" ht="30.0" customHeight="1">
      <c r="B34" s="24" t="str">
        <f>Diciembre!MonthName&amp;" Total"</f>
        <v>Enero Total</v>
      </c>
      <c r="C34" s="25">
        <f>SUBTOTAL(103,Diciembre!$C$7)</f>
        <v>0</v>
      </c>
      <c r="D34" s="25">
        <f>SUBTOTAL(103,Diciembre!$D$7)</f>
        <v>0</v>
      </c>
      <c r="E34" s="25">
        <f>SUBTOTAL(103,Diciembre!$E$7)</f>
        <v>0</v>
      </c>
      <c r="F34" s="25"/>
      <c r="G34" s="25">
        <f>SUBTOTAL(103,Diciembre!$G$7)</f>
        <v>0</v>
      </c>
      <c r="H34" s="25">
        <f>SUBTOTAL(103,Diciembre!$H$7)</f>
        <v>0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ht="30.0" customHeight="1">
      <c r="AH35" s="5"/>
      <c r="AI35" s="5"/>
      <c r="AJ35" s="5"/>
    </row>
    <row r="36" ht="30.0" customHeight="1">
      <c r="AH36" s="5"/>
      <c r="AI36" s="5"/>
      <c r="AJ36" s="5"/>
    </row>
    <row r="37" ht="30.0" customHeight="1">
      <c r="B37" s="30" t="s">
        <v>12</v>
      </c>
      <c r="C37" s="27" t="s">
        <v>67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39">
        <v>2026.0</v>
      </c>
      <c r="AI37" s="15"/>
      <c r="AJ37" s="15"/>
    </row>
    <row r="38" ht="30.0" customHeight="1">
      <c r="B38" s="30"/>
      <c r="C38" s="16" t="str">
        <f>TEXT(WEEKDAY(DATE(Diciembre!CalendarioAño,1,1),1),"ddd")</f>
        <v>jue</v>
      </c>
      <c r="D38" s="16" t="str">
        <f>TEXT(WEEKDAY(DATE(Diciembre!CalendarioAño,1,2),1),"ddd")</f>
        <v>vie</v>
      </c>
      <c r="E38" s="16" t="str">
        <f>TEXT(WEEKDAY(DATE(Diciembre!CalendarioAño,1,3),1),"ddd")</f>
        <v>sáb</v>
      </c>
      <c r="F38" s="16" t="str">
        <f>TEXT(WEEKDAY(DATE(Diciembre!CalendarioAño,1,4),1),"ddd")</f>
        <v>dom</v>
      </c>
      <c r="G38" s="16" t="str">
        <f>TEXT(WEEKDAY(DATE(Diciembre!CalendarioAño,1,5),1),"ddd")</f>
        <v>lun</v>
      </c>
      <c r="H38" s="16" t="str">
        <f>TEXT(WEEKDAY(DATE(Diciembre!CalendarioAño,1,6),1),"ddd")</f>
        <v>mar</v>
      </c>
      <c r="I38" s="16" t="str">
        <f>TEXT(WEEKDAY(DATE(Diciembre!CalendarioAño,1,7),1),"ddd")</f>
        <v>mié</v>
      </c>
      <c r="J38" s="16" t="str">
        <f>TEXT(WEEKDAY(DATE(Diciembre!CalendarioAño,1,8),1),"ddd")</f>
        <v>jue</v>
      </c>
      <c r="K38" s="16" t="str">
        <f>TEXT(WEEKDAY(DATE(Diciembre!CalendarioAño,1,9),1),"ddd")</f>
        <v>vie</v>
      </c>
      <c r="L38" s="16" t="str">
        <f>TEXT(WEEKDAY(DATE(Diciembre!CalendarioAño,1,10),1),"ddd")</f>
        <v>sáb</v>
      </c>
      <c r="M38" s="16" t="str">
        <f>TEXT(WEEKDAY(DATE(Diciembre!CalendarioAño,1,11),1),"ddd")</f>
        <v>dom</v>
      </c>
      <c r="N38" s="16" t="str">
        <f>TEXT(WEEKDAY(DATE(Diciembre!CalendarioAño,1,12),1),"ddd")</f>
        <v>lun</v>
      </c>
      <c r="O38" s="16" t="str">
        <f>TEXT(WEEKDAY(DATE(Diciembre!CalendarioAño,1,13),1),"ddd")</f>
        <v>mar</v>
      </c>
      <c r="P38" s="16" t="str">
        <f>TEXT(WEEKDAY(DATE(Diciembre!CalendarioAño,1,14),1),"ddd")</f>
        <v>mié</v>
      </c>
      <c r="Q38" s="16" t="str">
        <f>TEXT(WEEKDAY(DATE(Diciembre!CalendarioAño,1,15),1),"ddd")</f>
        <v>jue</v>
      </c>
      <c r="R38" s="16" t="str">
        <f>TEXT(WEEKDAY(DATE(Diciembre!CalendarioAño,1,16),1),"ddd")</f>
        <v>vie</v>
      </c>
      <c r="S38" s="16" t="str">
        <f>TEXT(WEEKDAY(DATE(Diciembre!CalendarioAño,1,17),1),"ddd")</f>
        <v>sáb</v>
      </c>
      <c r="T38" s="16" t="str">
        <f>TEXT(WEEKDAY(DATE(Diciembre!CalendarioAño,1,18),1),"ddd")</f>
        <v>dom</v>
      </c>
      <c r="U38" s="16" t="str">
        <f>TEXT(WEEKDAY(DATE(Diciembre!CalendarioAño,1,19),1),"ddd")</f>
        <v>lun</v>
      </c>
      <c r="V38" s="16" t="str">
        <f>TEXT(WEEKDAY(DATE(Diciembre!CalendarioAño,1,20),1),"ddd")</f>
        <v>mar</v>
      </c>
      <c r="W38" s="16" t="str">
        <f>TEXT(WEEKDAY(DATE(Diciembre!CalendarioAño,1,21),1),"ddd")</f>
        <v>mié</v>
      </c>
      <c r="X38" s="16" t="str">
        <f>TEXT(WEEKDAY(DATE(Diciembre!CalendarioAño,1,22),1),"ddd")</f>
        <v>jue</v>
      </c>
      <c r="Y38" s="16" t="str">
        <f>TEXT(WEEKDAY(DATE(Diciembre!CalendarioAño,1,23),1),"ddd")</f>
        <v>vie</v>
      </c>
      <c r="Z38" s="16" t="str">
        <f>TEXT(WEEKDAY(DATE(Diciembre!CalendarioAño,1,24),1),"ddd")</f>
        <v>sáb</v>
      </c>
      <c r="AA38" s="16" t="str">
        <f>TEXT(WEEKDAY(DATE(Diciembre!CalendarioAño,1,25),1),"ddd")</f>
        <v>dom</v>
      </c>
      <c r="AB38" s="16" t="str">
        <f>TEXT(WEEKDAY(DATE(Diciembre!CalendarioAño,1,26),1),"ddd")</f>
        <v>lun</v>
      </c>
      <c r="AC38" s="16" t="str">
        <f>TEXT(WEEKDAY(DATE(Diciembre!CalendarioAño,1,27),1),"ddd")</f>
        <v>mar</v>
      </c>
      <c r="AD38" s="16" t="str">
        <f>TEXT(WEEKDAY(DATE(Diciembre!CalendarioAño,1,28),1),"ddd")</f>
        <v>mié</v>
      </c>
      <c r="AE38" s="16" t="str">
        <f>TEXT(WEEKDAY(DATE(Diciembre!CalendarioAño,1,29),1),"ddd")</f>
        <v>jue</v>
      </c>
      <c r="AF38" s="16" t="str">
        <f>TEXT(WEEKDAY(DATE(Diciembre!CalendarioAño,1,30),1),"ddd")</f>
        <v>vie</v>
      </c>
      <c r="AG38" s="16" t="str">
        <f>TEXT(WEEKDAY(DATE(Diciembre!CalendarioAño,1,31),1),"ddd")</f>
        <v>sáb</v>
      </c>
      <c r="AH38" s="30"/>
      <c r="AI38" s="14"/>
      <c r="AJ38" s="14"/>
    </row>
    <row r="39" ht="30.0" customHeight="1">
      <c r="A39" s="17"/>
      <c r="B39" s="31" t="s">
        <v>14</v>
      </c>
      <c r="C39" s="19" t="s">
        <v>15</v>
      </c>
      <c r="D39" s="19" t="s">
        <v>16</v>
      </c>
      <c r="E39" s="19" t="s">
        <v>17</v>
      </c>
      <c r="F39" s="19" t="s">
        <v>18</v>
      </c>
      <c r="G39" s="19" t="s">
        <v>19</v>
      </c>
      <c r="H39" s="19" t="s">
        <v>20</v>
      </c>
      <c r="I39" s="19" t="s">
        <v>21</v>
      </c>
      <c r="J39" s="19" t="s">
        <v>22</v>
      </c>
      <c r="K39" s="19" t="s">
        <v>23</v>
      </c>
      <c r="L39" s="19" t="s">
        <v>24</v>
      </c>
      <c r="M39" s="19" t="s">
        <v>25</v>
      </c>
      <c r="N39" s="19" t="s">
        <v>26</v>
      </c>
      <c r="O39" s="19" t="s">
        <v>27</v>
      </c>
      <c r="P39" s="19" t="s">
        <v>28</v>
      </c>
      <c r="Q39" s="19" t="s">
        <v>29</v>
      </c>
      <c r="R39" s="19" t="s">
        <v>30</v>
      </c>
      <c r="S39" s="19" t="s">
        <v>31</v>
      </c>
      <c r="T39" s="19" t="s">
        <v>32</v>
      </c>
      <c r="U39" s="19" t="s">
        <v>33</v>
      </c>
      <c r="V39" s="19" t="s">
        <v>34</v>
      </c>
      <c r="W39" s="19" t="s">
        <v>35</v>
      </c>
      <c r="X39" s="19" t="s">
        <v>36</v>
      </c>
      <c r="Y39" s="19" t="s">
        <v>37</v>
      </c>
      <c r="Z39" s="19" t="s">
        <v>38</v>
      </c>
      <c r="AA39" s="19" t="s">
        <v>39</v>
      </c>
      <c r="AB39" s="19" t="s">
        <v>40</v>
      </c>
      <c r="AC39" s="19" t="s">
        <v>41</v>
      </c>
      <c r="AD39" s="19" t="s">
        <v>42</v>
      </c>
      <c r="AE39" s="19" t="s">
        <v>43</v>
      </c>
      <c r="AF39" s="19" t="s">
        <v>44</v>
      </c>
      <c r="AG39" s="19" t="s">
        <v>45</v>
      </c>
      <c r="AH39" s="19" t="s">
        <v>46</v>
      </c>
      <c r="AI39" s="19"/>
      <c r="AJ39" s="19"/>
    </row>
    <row r="40" ht="30.0" customHeight="1">
      <c r="B40" s="40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23"/>
      <c r="AI40" s="23"/>
      <c r="AJ40" s="23"/>
    </row>
    <row r="41" ht="30.0" customHeight="1">
      <c r="B41" s="4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23"/>
      <c r="AI41" s="23"/>
      <c r="AJ41" s="23"/>
    </row>
    <row r="42" ht="30.0" customHeight="1">
      <c r="B42" s="32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21"/>
      <c r="AI42" s="21"/>
      <c r="AJ42" s="33"/>
    </row>
    <row r="43" ht="30.0" customHeight="1">
      <c r="B43" s="32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23"/>
      <c r="AI43" s="23"/>
      <c r="AJ43" s="23"/>
    </row>
    <row r="44" ht="30.0" customHeight="1">
      <c r="B44" s="32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121"/>
      <c r="AI44" s="23"/>
      <c r="AJ44" s="23"/>
    </row>
    <row r="45" ht="30.0" customHeight="1">
      <c r="B45" s="32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23"/>
      <c r="AI45" s="23"/>
      <c r="AJ45" s="23"/>
    </row>
    <row r="46" ht="30.0" customHeight="1">
      <c r="B46" s="32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23"/>
      <c r="AI46" s="23"/>
      <c r="AJ46" s="23"/>
    </row>
    <row r="47" ht="30.0" customHeight="1">
      <c r="B47" s="32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23"/>
      <c r="AI47" s="23"/>
      <c r="AJ47" s="23"/>
    </row>
    <row r="48" ht="30.0" customHeight="1">
      <c r="B48" s="32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23"/>
      <c r="AI48" s="23"/>
      <c r="AJ48" s="23"/>
    </row>
    <row r="49" ht="30.0" customHeight="1">
      <c r="B49" s="40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23"/>
      <c r="AI49" s="23"/>
      <c r="AJ49" s="23"/>
    </row>
    <row r="50" ht="30.0" customHeight="1">
      <c r="B50" s="32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23"/>
      <c r="AI50" s="23"/>
      <c r="AJ50" s="23"/>
    </row>
    <row r="51" ht="30.0" customHeight="1">
      <c r="B51" s="32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23"/>
      <c r="AI51" s="23"/>
      <c r="AJ51" s="23"/>
    </row>
    <row r="52" ht="30.0" customHeight="1">
      <c r="B52" s="32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23"/>
      <c r="AI52" s="23"/>
      <c r="AJ52" s="23"/>
    </row>
    <row r="53" ht="30.0" customHeight="1">
      <c r="B53" s="32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23"/>
      <c r="AI53" s="23"/>
      <c r="AJ53" s="23"/>
    </row>
    <row r="54" ht="30.0" customHeight="1">
      <c r="B54" s="32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23"/>
      <c r="AI54" s="23"/>
      <c r="AJ54" s="23"/>
    </row>
    <row r="55" ht="30.0" customHeight="1">
      <c r="B55" s="32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23"/>
      <c r="AI55" s="23"/>
      <c r="AJ55" s="23"/>
    </row>
    <row r="56" ht="30.0" customHeight="1">
      <c r="B56" s="32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25"/>
      <c r="AI56" s="25"/>
      <c r="AJ56" s="25"/>
    </row>
    <row r="57" ht="30.0" customHeight="1">
      <c r="B57" s="32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25"/>
      <c r="AI57" s="25"/>
      <c r="AJ57" s="25"/>
    </row>
    <row r="58" ht="30.0" customHeight="1">
      <c r="B58" s="32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25"/>
      <c r="AI58" s="25"/>
      <c r="AJ58" s="25"/>
    </row>
    <row r="59" ht="30.0" customHeight="1">
      <c r="B59" s="32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25"/>
      <c r="AI59" s="25"/>
      <c r="AJ59" s="25"/>
    </row>
    <row r="60" ht="30.0" customHeight="1">
      <c r="B60" s="24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ht="30.0" customHeight="1">
      <c r="B61" s="24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ht="30.0" customHeight="1">
      <c r="B62" s="24" t="str">
        <f>Diciembre!MonthName&amp;" Total"</f>
        <v>Enero Total</v>
      </c>
      <c r="C62" s="25">
        <f>SUBTOTAL(103,Diciembre!$C$7)</f>
        <v>0</v>
      </c>
      <c r="D62" s="25">
        <f>SUBTOTAL(103,Diciembre!$D$7)</f>
        <v>0</v>
      </c>
      <c r="E62" s="25">
        <f>SUBTOTAL(103,Diciembre!$E$7)</f>
        <v>0</v>
      </c>
      <c r="F62" s="25"/>
      <c r="G62" s="25">
        <f>SUBTOTAL(103,Diciembre!$G$7)</f>
        <v>0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ht="30.0" customHeight="1">
      <c r="AH63" s="5"/>
      <c r="AI63" s="5"/>
      <c r="AJ63" s="5"/>
    </row>
    <row r="64" ht="30.0" customHeight="1">
      <c r="B64" s="30" t="s">
        <v>12</v>
      </c>
      <c r="C64" s="27" t="s">
        <v>89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39">
        <v>2026.0</v>
      </c>
      <c r="AI64" s="15"/>
      <c r="AJ64" s="15"/>
    </row>
    <row r="65" ht="30.0" customHeight="1">
      <c r="B65" s="30"/>
      <c r="C65" s="16" t="str">
        <f>TEXT(WEEKDAY(DATE(Diciembre!CalendarioAño,1,1),1),"ddd")</f>
        <v>jue</v>
      </c>
      <c r="D65" s="16" t="str">
        <f>TEXT(WEEKDAY(DATE(Diciembre!CalendarioAño,1,2),1),"ddd")</f>
        <v>vie</v>
      </c>
      <c r="E65" s="16" t="str">
        <f>TEXT(WEEKDAY(DATE(Diciembre!CalendarioAño,1,3),1),"ddd")</f>
        <v>sáb</v>
      </c>
      <c r="F65" s="16" t="str">
        <f>TEXT(WEEKDAY(DATE(Diciembre!CalendarioAño,1,4),1),"ddd")</f>
        <v>dom</v>
      </c>
      <c r="G65" s="16" t="str">
        <f>TEXT(WEEKDAY(DATE(Diciembre!CalendarioAño,1,5),1),"ddd")</f>
        <v>lun</v>
      </c>
      <c r="H65" s="16" t="str">
        <f>TEXT(WEEKDAY(DATE(Diciembre!CalendarioAño,1,6),1),"ddd")</f>
        <v>mar</v>
      </c>
      <c r="I65" s="16" t="str">
        <f>TEXT(WEEKDAY(DATE(Diciembre!CalendarioAño,1,7),1),"ddd")</f>
        <v>mié</v>
      </c>
      <c r="J65" s="16" t="str">
        <f>TEXT(WEEKDAY(DATE(Diciembre!CalendarioAño,1,8),1),"ddd")</f>
        <v>jue</v>
      </c>
      <c r="K65" s="16" t="str">
        <f>TEXT(WEEKDAY(DATE(Diciembre!CalendarioAño,1,9),1),"ddd")</f>
        <v>vie</v>
      </c>
      <c r="L65" s="16" t="str">
        <f>TEXT(WEEKDAY(DATE(Diciembre!CalendarioAño,1,10),1),"ddd")</f>
        <v>sáb</v>
      </c>
      <c r="M65" s="16" t="str">
        <f>TEXT(WEEKDAY(DATE(Diciembre!CalendarioAño,1,11),1),"ddd")</f>
        <v>dom</v>
      </c>
      <c r="N65" s="16" t="str">
        <f>TEXT(WEEKDAY(DATE(Diciembre!CalendarioAño,1,12),1),"ddd")</f>
        <v>lun</v>
      </c>
      <c r="O65" s="16" t="str">
        <f>TEXT(WEEKDAY(DATE(Diciembre!CalendarioAño,1,13),1),"ddd")</f>
        <v>mar</v>
      </c>
      <c r="P65" s="16" t="str">
        <f>TEXT(WEEKDAY(DATE(Diciembre!CalendarioAño,1,14),1),"ddd")</f>
        <v>mié</v>
      </c>
      <c r="Q65" s="16" t="str">
        <f>TEXT(WEEKDAY(DATE(Diciembre!CalendarioAño,1,15),1),"ddd")</f>
        <v>jue</v>
      </c>
      <c r="R65" s="16" t="str">
        <f>TEXT(WEEKDAY(DATE(Diciembre!CalendarioAño,1,16),1),"ddd")</f>
        <v>vie</v>
      </c>
      <c r="S65" s="16" t="str">
        <f>TEXT(WEEKDAY(DATE(Diciembre!CalendarioAño,1,17),1),"ddd")</f>
        <v>sáb</v>
      </c>
      <c r="T65" s="16" t="str">
        <f>TEXT(WEEKDAY(DATE(Diciembre!CalendarioAño,1,18),1),"ddd")</f>
        <v>dom</v>
      </c>
      <c r="U65" s="16" t="str">
        <f>TEXT(WEEKDAY(DATE(Diciembre!CalendarioAño,1,19),1),"ddd")</f>
        <v>lun</v>
      </c>
      <c r="V65" s="16" t="str">
        <f>TEXT(WEEKDAY(DATE(Diciembre!CalendarioAño,1,20),1),"ddd")</f>
        <v>mar</v>
      </c>
      <c r="W65" s="16" t="str">
        <f>TEXT(WEEKDAY(DATE(Diciembre!CalendarioAño,1,21),1),"ddd")</f>
        <v>mié</v>
      </c>
      <c r="X65" s="16" t="str">
        <f>TEXT(WEEKDAY(DATE(Diciembre!CalendarioAño,1,22),1),"ddd")</f>
        <v>jue</v>
      </c>
      <c r="Y65" s="16" t="str">
        <f>TEXT(WEEKDAY(DATE(Diciembre!CalendarioAño,1,23),1),"ddd")</f>
        <v>vie</v>
      </c>
      <c r="Z65" s="16" t="str">
        <f>TEXT(WEEKDAY(DATE(Diciembre!CalendarioAño,1,24),1),"ddd")</f>
        <v>sáb</v>
      </c>
      <c r="AA65" s="16" t="str">
        <f>TEXT(WEEKDAY(DATE(Diciembre!CalendarioAño,1,25),1),"ddd")</f>
        <v>dom</v>
      </c>
      <c r="AB65" s="16" t="str">
        <f>TEXT(WEEKDAY(DATE(Diciembre!CalendarioAño,1,26),1),"ddd")</f>
        <v>lun</v>
      </c>
      <c r="AC65" s="16" t="str">
        <f>TEXT(WEEKDAY(DATE(Diciembre!CalendarioAño,1,27),1),"ddd")</f>
        <v>mar</v>
      </c>
      <c r="AD65" s="16" t="str">
        <f>TEXT(WEEKDAY(DATE(Diciembre!CalendarioAño,1,28),1),"ddd")</f>
        <v>mié</v>
      </c>
      <c r="AE65" s="16" t="str">
        <f>TEXT(WEEKDAY(DATE(Diciembre!CalendarioAño,1,29),1),"ddd")</f>
        <v>jue</v>
      </c>
      <c r="AF65" s="16" t="str">
        <f>TEXT(WEEKDAY(DATE(Diciembre!CalendarioAño,1,30),1),"ddd")</f>
        <v>vie</v>
      </c>
      <c r="AG65" s="16" t="str">
        <f>TEXT(WEEKDAY(DATE(Diciembre!CalendarioAño,1,31),1),"ddd")</f>
        <v>sáb</v>
      </c>
      <c r="AH65" s="30"/>
      <c r="AI65" s="14"/>
      <c r="AJ65" s="14"/>
    </row>
    <row r="66" ht="30.0" customHeight="1">
      <c r="A66" s="17"/>
      <c r="B66" s="31" t="s">
        <v>14</v>
      </c>
      <c r="C66" s="19" t="s">
        <v>15</v>
      </c>
      <c r="D66" s="19" t="s">
        <v>16</v>
      </c>
      <c r="E66" s="19" t="s">
        <v>17</v>
      </c>
      <c r="F66" s="19" t="s">
        <v>18</v>
      </c>
      <c r="G66" s="19" t="s">
        <v>19</v>
      </c>
      <c r="H66" s="19" t="s">
        <v>20</v>
      </c>
      <c r="I66" s="19" t="s">
        <v>21</v>
      </c>
      <c r="J66" s="19" t="s">
        <v>22</v>
      </c>
      <c r="K66" s="19" t="s">
        <v>23</v>
      </c>
      <c r="L66" s="19" t="s">
        <v>24</v>
      </c>
      <c r="M66" s="19" t="s">
        <v>25</v>
      </c>
      <c r="N66" s="19" t="s">
        <v>26</v>
      </c>
      <c r="O66" s="19" t="s">
        <v>27</v>
      </c>
      <c r="P66" s="19" t="s">
        <v>28</v>
      </c>
      <c r="Q66" s="19" t="s">
        <v>29</v>
      </c>
      <c r="R66" s="19" t="s">
        <v>30</v>
      </c>
      <c r="S66" s="19" t="s">
        <v>31</v>
      </c>
      <c r="T66" s="19" t="s">
        <v>32</v>
      </c>
      <c r="U66" s="19" t="s">
        <v>33</v>
      </c>
      <c r="V66" s="19" t="s">
        <v>34</v>
      </c>
      <c r="W66" s="19" t="s">
        <v>35</v>
      </c>
      <c r="X66" s="19" t="s">
        <v>36</v>
      </c>
      <c r="Y66" s="19" t="s">
        <v>37</v>
      </c>
      <c r="Z66" s="19" t="s">
        <v>38</v>
      </c>
      <c r="AA66" s="19" t="s">
        <v>39</v>
      </c>
      <c r="AB66" s="19" t="s">
        <v>40</v>
      </c>
      <c r="AC66" s="19" t="s">
        <v>41</v>
      </c>
      <c r="AD66" s="19" t="s">
        <v>42</v>
      </c>
      <c r="AE66" s="19" t="s">
        <v>43</v>
      </c>
      <c r="AF66" s="19" t="s">
        <v>44</v>
      </c>
      <c r="AG66" s="19" t="s">
        <v>45</v>
      </c>
      <c r="AH66" s="19" t="s">
        <v>46</v>
      </c>
      <c r="AI66" s="19"/>
      <c r="AJ66" s="19"/>
    </row>
    <row r="67" ht="30.0" customHeight="1">
      <c r="B67" s="40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23"/>
      <c r="AI67" s="23"/>
      <c r="AJ67" s="23"/>
    </row>
    <row r="68" ht="30.0" customHeight="1">
      <c r="B68" s="40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23"/>
      <c r="AI68" s="23"/>
      <c r="AJ68" s="23"/>
    </row>
    <row r="69" ht="30.0" customHeight="1">
      <c r="B69" s="40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23"/>
      <c r="AI69" s="23"/>
      <c r="AJ69" s="23"/>
    </row>
    <row r="70" ht="30.0" customHeight="1">
      <c r="B70" s="40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23"/>
      <c r="AI70" s="23"/>
      <c r="AJ70" s="23"/>
    </row>
    <row r="71" ht="30.0" customHeight="1">
      <c r="B71" s="32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23"/>
      <c r="AI71" s="23"/>
      <c r="AJ71" s="23"/>
    </row>
    <row r="72" ht="30.0" customHeight="1">
      <c r="B72" s="40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23"/>
      <c r="AI72" s="23"/>
      <c r="AJ72" s="23"/>
    </row>
    <row r="73" ht="30.0" customHeight="1">
      <c r="B73" s="32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23"/>
      <c r="AI73" s="23"/>
      <c r="AJ73" s="23"/>
    </row>
    <row r="74" ht="30.0" customHeight="1">
      <c r="B74" s="32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23"/>
      <c r="AI74" s="23"/>
      <c r="AJ74" s="23"/>
    </row>
    <row r="75" ht="30.0" customHeight="1">
      <c r="B75" s="32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23"/>
      <c r="AI75" s="23"/>
      <c r="AJ75" s="23"/>
    </row>
    <row r="76" ht="30.0" customHeight="1">
      <c r="B76" s="32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23"/>
      <c r="AI76" s="23"/>
      <c r="AJ76" s="23"/>
    </row>
    <row r="77" ht="30.0" customHeight="1">
      <c r="B77" s="32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23"/>
      <c r="AI77" s="23"/>
      <c r="AJ77" s="23"/>
    </row>
    <row r="78" ht="30.0" customHeight="1">
      <c r="B78" s="32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23"/>
      <c r="AI78" s="23"/>
      <c r="AJ78" s="23"/>
    </row>
    <row r="79" ht="30.0" customHeight="1">
      <c r="B79" s="32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23"/>
      <c r="AI79" s="23"/>
      <c r="AJ79" s="23"/>
    </row>
    <row r="80" ht="30.0" customHeight="1">
      <c r="B80" s="32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23"/>
      <c r="AI80" s="23"/>
      <c r="AJ80" s="23"/>
    </row>
    <row r="81" ht="30.0" customHeight="1">
      <c r="B81" s="32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23"/>
      <c r="AI81" s="23"/>
      <c r="AJ81" s="23"/>
    </row>
    <row r="82" ht="30.0" customHeight="1">
      <c r="B82" s="32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23"/>
      <c r="AI82" s="23"/>
      <c r="AJ82" s="23"/>
    </row>
    <row r="83" ht="30.0" customHeight="1">
      <c r="B83" s="40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23"/>
      <c r="AI83" s="23"/>
      <c r="AJ83" s="23"/>
    </row>
    <row r="84" ht="30.0" customHeight="1">
      <c r="B84" s="40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23"/>
      <c r="AI84" s="23"/>
      <c r="AJ84" s="23"/>
    </row>
    <row r="85" ht="30.0" customHeight="1">
      <c r="B85" s="32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23"/>
      <c r="AI85" s="23"/>
      <c r="AJ85" s="23"/>
    </row>
    <row r="86" ht="30.0" customHeight="1">
      <c r="B86" s="32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23"/>
      <c r="AI86" s="23"/>
      <c r="AJ86" s="23"/>
    </row>
    <row r="87" ht="30.0" customHeight="1">
      <c r="B87" s="32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23"/>
      <c r="AI87" s="23"/>
      <c r="AJ87" s="23"/>
    </row>
    <row r="88" ht="30.0" customHeight="1">
      <c r="B88" s="32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23"/>
      <c r="AI88" s="23"/>
      <c r="AJ88" s="23"/>
    </row>
    <row r="89" ht="30.0" customHeight="1">
      <c r="B89" s="32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23"/>
      <c r="AI89" s="23"/>
      <c r="AJ89" s="23"/>
    </row>
    <row r="90" ht="30.0" customHeight="1">
      <c r="B90" s="32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23"/>
      <c r="AI90" s="23"/>
      <c r="AJ90" s="23"/>
    </row>
    <row r="91" ht="30.0" customHeight="1">
      <c r="B91" s="32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23"/>
      <c r="AI91" s="23"/>
      <c r="AJ91" s="23"/>
    </row>
    <row r="92" ht="30.0" customHeight="1">
      <c r="B92" s="32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23"/>
      <c r="AI92" s="23"/>
      <c r="AJ92" s="23"/>
    </row>
    <row r="93" ht="30.0" customHeight="1">
      <c r="B93" s="32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23"/>
      <c r="AI93" s="23"/>
      <c r="AJ93" s="23"/>
    </row>
    <row r="94" ht="30.0" customHeight="1">
      <c r="B94" s="20"/>
      <c r="C94" s="21"/>
      <c r="D94" s="21"/>
      <c r="E94" s="21"/>
      <c r="F94" s="21"/>
      <c r="G94" s="21"/>
      <c r="H94" s="21"/>
      <c r="I94" s="43"/>
      <c r="J94" s="43"/>
      <c r="K94" s="43"/>
      <c r="L94" s="43"/>
      <c r="M94" s="43"/>
      <c r="N94" s="21"/>
      <c r="O94" s="43"/>
      <c r="P94" s="43"/>
      <c r="Q94" s="43"/>
      <c r="R94" s="21"/>
      <c r="S94" s="43"/>
      <c r="T94" s="21"/>
      <c r="U94" s="21"/>
      <c r="V94" s="21"/>
      <c r="W94" s="21"/>
      <c r="X94" s="43"/>
      <c r="Y94" s="21"/>
      <c r="Z94" s="43"/>
      <c r="AA94" s="21"/>
      <c r="AB94" s="21"/>
      <c r="AC94" s="21"/>
      <c r="AD94" s="21"/>
      <c r="AE94" s="33"/>
      <c r="AF94" s="21"/>
      <c r="AG94" s="21"/>
      <c r="AH94" s="23"/>
      <c r="AI94" s="23"/>
      <c r="AJ94" s="23"/>
    </row>
    <row r="95" ht="30.0" customHeight="1">
      <c r="B95" s="48" t="str">
        <f>Diciembre!MonthName&amp;" Total"</f>
        <v>Enero Total</v>
      </c>
      <c r="C95" s="25">
        <f>SUBTOTAL(103,Diciembre!$C$7)</f>
        <v>0</v>
      </c>
      <c r="D95" s="25">
        <f>SUBTOTAL(103,Diciembre!$D$7)</f>
        <v>0</v>
      </c>
      <c r="E95" s="25">
        <f>SUBTOTAL(103,Diciembre!$E$7)</f>
        <v>0</v>
      </c>
      <c r="F95" s="25"/>
      <c r="G95" s="25">
        <f>SUBTOTAL(103,Diciembre!$G$7)</f>
        <v>0</v>
      </c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</row>
    <row r="96" ht="30.0" customHeight="1">
      <c r="AH96" s="5"/>
      <c r="AI96" s="5"/>
      <c r="AJ96" s="5"/>
    </row>
    <row r="97" ht="30.0" customHeight="1">
      <c r="B97" s="30" t="s">
        <v>12</v>
      </c>
      <c r="C97" s="27" t="s">
        <v>118</v>
      </c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39">
        <v>2026.0</v>
      </c>
      <c r="AI97" s="15"/>
      <c r="AJ97" s="15"/>
    </row>
    <row r="98" ht="30.0" customHeight="1">
      <c r="B98" s="30"/>
      <c r="C98" s="16" t="str">
        <f>TEXT(WEEKDAY(DATE(Diciembre!CalendarioAño,1,1),1),"ddd")</f>
        <v>jue</v>
      </c>
      <c r="D98" s="16" t="str">
        <f>TEXT(WEEKDAY(DATE(Diciembre!CalendarioAño,1,2),1),"ddd")</f>
        <v>vie</v>
      </c>
      <c r="E98" s="16" t="str">
        <f>TEXT(WEEKDAY(DATE(Diciembre!CalendarioAño,1,3),1),"ddd")</f>
        <v>sáb</v>
      </c>
      <c r="F98" s="16" t="str">
        <f>TEXT(WEEKDAY(DATE(Diciembre!CalendarioAño,1,4),1),"ddd")</f>
        <v>dom</v>
      </c>
      <c r="G98" s="16" t="str">
        <f>TEXT(WEEKDAY(DATE(Diciembre!CalendarioAño,1,5),1),"ddd")</f>
        <v>lun</v>
      </c>
      <c r="H98" s="16" t="str">
        <f>TEXT(WEEKDAY(DATE(Diciembre!CalendarioAño,1,6),1),"ddd")</f>
        <v>mar</v>
      </c>
      <c r="I98" s="16" t="str">
        <f>TEXT(WEEKDAY(DATE(Diciembre!CalendarioAño,1,7),1),"ddd")</f>
        <v>mié</v>
      </c>
      <c r="J98" s="16" t="str">
        <f>TEXT(WEEKDAY(DATE(Diciembre!CalendarioAño,1,8),1),"ddd")</f>
        <v>jue</v>
      </c>
      <c r="K98" s="16" t="str">
        <f>TEXT(WEEKDAY(DATE(Diciembre!CalendarioAño,1,9),1),"ddd")</f>
        <v>vie</v>
      </c>
      <c r="L98" s="16" t="str">
        <f>TEXT(WEEKDAY(DATE(Diciembre!CalendarioAño,1,10),1),"ddd")</f>
        <v>sáb</v>
      </c>
      <c r="M98" s="16" t="str">
        <f>TEXT(WEEKDAY(DATE(Diciembre!CalendarioAño,1,11),1),"ddd")</f>
        <v>dom</v>
      </c>
      <c r="N98" s="16" t="str">
        <f>TEXT(WEEKDAY(DATE(Diciembre!CalendarioAño,1,12),1),"ddd")</f>
        <v>lun</v>
      </c>
      <c r="O98" s="16" t="str">
        <f>TEXT(WEEKDAY(DATE(Diciembre!CalendarioAño,1,13),1),"ddd")</f>
        <v>mar</v>
      </c>
      <c r="P98" s="16" t="str">
        <f>TEXT(WEEKDAY(DATE(Diciembre!CalendarioAño,1,14),1),"ddd")</f>
        <v>mié</v>
      </c>
      <c r="Q98" s="16" t="str">
        <f>TEXT(WEEKDAY(DATE(Diciembre!CalendarioAño,1,15),1),"ddd")</f>
        <v>jue</v>
      </c>
      <c r="R98" s="16" t="str">
        <f>TEXT(WEEKDAY(DATE(Diciembre!CalendarioAño,1,16),1),"ddd")</f>
        <v>vie</v>
      </c>
      <c r="S98" s="16" t="str">
        <f>TEXT(WEEKDAY(DATE(Diciembre!CalendarioAño,1,17),1),"ddd")</f>
        <v>sáb</v>
      </c>
      <c r="T98" s="16" t="str">
        <f>TEXT(WEEKDAY(DATE(Diciembre!CalendarioAño,1,18),1),"ddd")</f>
        <v>dom</v>
      </c>
      <c r="U98" s="16" t="str">
        <f>TEXT(WEEKDAY(DATE(Diciembre!CalendarioAño,1,19),1),"ddd")</f>
        <v>lun</v>
      </c>
      <c r="V98" s="16" t="str">
        <f>TEXT(WEEKDAY(DATE(Diciembre!CalendarioAño,1,20),1),"ddd")</f>
        <v>mar</v>
      </c>
      <c r="W98" s="16" t="str">
        <f>TEXT(WEEKDAY(DATE(Diciembre!CalendarioAño,1,21),1),"ddd")</f>
        <v>mié</v>
      </c>
      <c r="X98" s="16" t="str">
        <f>TEXT(WEEKDAY(DATE(Diciembre!CalendarioAño,1,22),1),"ddd")</f>
        <v>jue</v>
      </c>
      <c r="Y98" s="16" t="str">
        <f>TEXT(WEEKDAY(DATE(Diciembre!CalendarioAño,1,23),1),"ddd")</f>
        <v>vie</v>
      </c>
      <c r="Z98" s="16" t="str">
        <f>TEXT(WEEKDAY(DATE(Diciembre!CalendarioAño,1,24),1),"ddd")</f>
        <v>sáb</v>
      </c>
      <c r="AA98" s="16" t="str">
        <f>TEXT(WEEKDAY(DATE(Diciembre!CalendarioAño,1,25),1),"ddd")</f>
        <v>dom</v>
      </c>
      <c r="AB98" s="16" t="str">
        <f>TEXT(WEEKDAY(DATE(Diciembre!CalendarioAño,1,26),1),"ddd")</f>
        <v>lun</v>
      </c>
      <c r="AC98" s="16" t="str">
        <f>TEXT(WEEKDAY(DATE(Diciembre!CalendarioAño,1,27),1),"ddd")</f>
        <v>mar</v>
      </c>
      <c r="AD98" s="16" t="str">
        <f>TEXT(WEEKDAY(DATE(Diciembre!CalendarioAño,1,28),1),"ddd")</f>
        <v>mié</v>
      </c>
      <c r="AE98" s="16" t="str">
        <f>TEXT(WEEKDAY(DATE(Diciembre!CalendarioAño,1,29),1),"ddd")</f>
        <v>jue</v>
      </c>
      <c r="AF98" s="16" t="str">
        <f>TEXT(WEEKDAY(DATE(Diciembre!CalendarioAño,1,30),1),"ddd")</f>
        <v>vie</v>
      </c>
      <c r="AG98" s="16" t="str">
        <f>TEXT(WEEKDAY(DATE(Diciembre!CalendarioAño,1,31),1),"ddd")</f>
        <v>sáb</v>
      </c>
      <c r="AH98" s="30"/>
      <c r="AI98" s="14"/>
      <c r="AJ98" s="14"/>
    </row>
    <row r="99" ht="30.0" customHeight="1">
      <c r="A99" s="17"/>
      <c r="B99" s="31" t="s">
        <v>14</v>
      </c>
      <c r="C99" s="19" t="s">
        <v>15</v>
      </c>
      <c r="D99" s="19" t="s">
        <v>16</v>
      </c>
      <c r="E99" s="19" t="s">
        <v>17</v>
      </c>
      <c r="F99" s="19" t="s">
        <v>18</v>
      </c>
      <c r="G99" s="19" t="s">
        <v>19</v>
      </c>
      <c r="H99" s="19" t="s">
        <v>20</v>
      </c>
      <c r="I99" s="19" t="s">
        <v>21</v>
      </c>
      <c r="J99" s="19" t="s">
        <v>22</v>
      </c>
      <c r="K99" s="19" t="s">
        <v>23</v>
      </c>
      <c r="L99" s="19" t="s">
        <v>24</v>
      </c>
      <c r="M99" s="19" t="s">
        <v>25</v>
      </c>
      <c r="N99" s="19" t="s">
        <v>26</v>
      </c>
      <c r="O99" s="19" t="s">
        <v>27</v>
      </c>
      <c r="P99" s="19" t="s">
        <v>28</v>
      </c>
      <c r="Q99" s="19" t="s">
        <v>29</v>
      </c>
      <c r="R99" s="19" t="s">
        <v>30</v>
      </c>
      <c r="S99" s="19" t="s">
        <v>31</v>
      </c>
      <c r="T99" s="19" t="s">
        <v>32</v>
      </c>
      <c r="U99" s="19" t="s">
        <v>33</v>
      </c>
      <c r="V99" s="19" t="s">
        <v>34</v>
      </c>
      <c r="W99" s="19" t="s">
        <v>35</v>
      </c>
      <c r="X99" s="19" t="s">
        <v>36</v>
      </c>
      <c r="Y99" s="19" t="s">
        <v>37</v>
      </c>
      <c r="Z99" s="19" t="s">
        <v>38</v>
      </c>
      <c r="AA99" s="19" t="s">
        <v>39</v>
      </c>
      <c r="AB99" s="19" t="s">
        <v>40</v>
      </c>
      <c r="AC99" s="19" t="s">
        <v>41</v>
      </c>
      <c r="AD99" s="19" t="s">
        <v>42</v>
      </c>
      <c r="AE99" s="19" t="s">
        <v>43</v>
      </c>
      <c r="AF99" s="19" t="s">
        <v>44</v>
      </c>
      <c r="AG99" s="19" t="s">
        <v>45</v>
      </c>
      <c r="AH99" s="19" t="s">
        <v>46</v>
      </c>
      <c r="AI99" s="19"/>
      <c r="AJ99" s="19"/>
    </row>
    <row r="100" ht="30.0" customHeight="1">
      <c r="B100" s="32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23"/>
      <c r="AI100" s="23"/>
      <c r="AJ100" s="23"/>
    </row>
    <row r="101" ht="30.0" customHeight="1">
      <c r="B101" s="32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23"/>
      <c r="AI101" s="23"/>
      <c r="AJ101" s="23"/>
    </row>
    <row r="102" ht="30.0" customHeight="1">
      <c r="B102" s="32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23"/>
      <c r="AI102" s="23"/>
      <c r="AJ102" s="23"/>
    </row>
    <row r="103" ht="30.0" customHeight="1">
      <c r="B103" s="32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23"/>
      <c r="AI103" s="23"/>
      <c r="AJ103" s="23"/>
    </row>
    <row r="104" ht="30.0" customHeight="1">
      <c r="B104" s="32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23"/>
      <c r="AI104" s="23"/>
      <c r="AJ104" s="23"/>
    </row>
    <row r="105" ht="30.0" customHeight="1">
      <c r="B105" s="32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23"/>
      <c r="AI105" s="23"/>
      <c r="AJ105" s="23"/>
    </row>
    <row r="106" ht="30.0" customHeight="1">
      <c r="B106" s="32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23"/>
      <c r="AI106" s="23"/>
      <c r="AJ106" s="23"/>
    </row>
    <row r="107" ht="30.0" customHeight="1">
      <c r="B107" s="32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23"/>
      <c r="AI107" s="23"/>
      <c r="AJ107" s="23"/>
    </row>
    <row r="108" ht="30.0" customHeight="1">
      <c r="B108" s="32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23"/>
      <c r="AI108" s="23"/>
      <c r="AJ108" s="23"/>
    </row>
    <row r="109" ht="30.0" customHeight="1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23"/>
      <c r="AI109" s="23"/>
      <c r="AJ109" s="23"/>
    </row>
    <row r="110" ht="30.0" customHeight="1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23"/>
      <c r="AI110" s="23"/>
      <c r="AJ110" s="23"/>
    </row>
    <row r="111" ht="30.0" customHeight="1">
      <c r="A111" s="50"/>
      <c r="B111" s="5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23"/>
      <c r="AI111" s="23"/>
      <c r="AJ111" s="23"/>
    </row>
    <row r="112" ht="30.0" customHeight="1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23"/>
      <c r="AI112" s="23"/>
      <c r="AJ112" s="23"/>
    </row>
    <row r="113" ht="30.0" customHeight="1">
      <c r="A113" s="50"/>
      <c r="B113" s="5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23"/>
      <c r="AI113" s="23"/>
      <c r="AJ113" s="23"/>
    </row>
    <row r="114" ht="30.0" customHeight="1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23"/>
      <c r="AI114" s="23"/>
      <c r="AJ114" s="23"/>
    </row>
    <row r="115" ht="30.0" customHeight="1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23"/>
      <c r="AI115" s="23"/>
      <c r="AJ115" s="23"/>
    </row>
    <row r="116" ht="30.0" customHeight="1">
      <c r="A116" s="50"/>
      <c r="B116" s="5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23"/>
      <c r="AI116" s="23"/>
      <c r="AJ116" s="23"/>
    </row>
    <row r="117" ht="30.0" customHeight="1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23"/>
      <c r="AI117" s="23"/>
      <c r="AJ117" s="23"/>
    </row>
    <row r="118" ht="30.0" customHeight="1">
      <c r="A118" s="50"/>
      <c r="B118" s="5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23"/>
      <c r="AI118" s="23"/>
      <c r="AJ118" s="23"/>
    </row>
    <row r="119" ht="30.0" customHeight="1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23"/>
      <c r="AI119" s="23"/>
      <c r="AJ119" s="23"/>
    </row>
    <row r="120" ht="30.0" customHeight="1">
      <c r="A120" s="50"/>
      <c r="B120" s="71"/>
      <c r="C120" s="36"/>
      <c r="D120" s="36"/>
      <c r="E120" s="36"/>
      <c r="F120" s="36"/>
      <c r="G120" s="36"/>
      <c r="H120" s="36"/>
      <c r="I120" s="36"/>
      <c r="J120" s="36"/>
      <c r="K120" s="52"/>
      <c r="L120" s="43"/>
      <c r="M120" s="43"/>
      <c r="N120" s="36"/>
      <c r="O120" s="43"/>
      <c r="P120" s="43"/>
      <c r="Q120" s="36"/>
      <c r="R120" s="36"/>
      <c r="S120" s="36"/>
      <c r="T120" s="43"/>
      <c r="U120" s="36"/>
      <c r="V120" s="36"/>
      <c r="W120" s="36"/>
      <c r="X120" s="36"/>
      <c r="Y120" s="36"/>
      <c r="Z120" s="36"/>
      <c r="AA120" s="43"/>
      <c r="AB120" s="36"/>
      <c r="AC120" s="36"/>
      <c r="AD120" s="36"/>
      <c r="AE120" s="36"/>
      <c r="AF120" s="33"/>
      <c r="AG120" s="36"/>
      <c r="AH120" s="23"/>
      <c r="AI120" s="23"/>
      <c r="AJ120" s="23"/>
    </row>
    <row r="121" ht="30.0" customHeight="1">
      <c r="B121" s="48" t="str">
        <f>Diciembre!MonthName&amp;" Total"</f>
        <v>Enero Total</v>
      </c>
      <c r="C121" s="25">
        <f>SUBTOTAL(103,Diciembre!$C$7)</f>
        <v>0</v>
      </c>
      <c r="D121" s="25">
        <f>SUBTOTAL(103,Diciembre!$D$7)</f>
        <v>0</v>
      </c>
      <c r="E121" s="25">
        <f>SUBTOTAL(103,Diciembre!$E$7)</f>
        <v>0</v>
      </c>
      <c r="F121" s="25"/>
      <c r="G121" s="25"/>
      <c r="H121" s="25">
        <f>SUBTOTAL(103,Diciembre!$H$7)</f>
        <v>0</v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</row>
    <row r="122" ht="30.0" customHeight="1">
      <c r="AH122" s="5"/>
      <c r="AI122" s="5"/>
      <c r="AJ122" s="5"/>
    </row>
    <row r="123" ht="30.0" customHeight="1">
      <c r="B123" s="30" t="s">
        <v>12</v>
      </c>
      <c r="C123" s="27" t="s">
        <v>140</v>
      </c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39">
        <v>2026.0</v>
      </c>
      <c r="AI123" s="15"/>
      <c r="AJ123" s="15"/>
    </row>
    <row r="124" ht="30.0" customHeight="1">
      <c r="B124" s="30"/>
      <c r="C124" s="16" t="str">
        <f>TEXT(WEEKDAY(DATE(Diciembre!CalendarioAño,1,1),1),"ddd")</f>
        <v>jue</v>
      </c>
      <c r="D124" s="16" t="str">
        <f>TEXT(WEEKDAY(DATE(Diciembre!CalendarioAño,1,2),1),"ddd")</f>
        <v>vie</v>
      </c>
      <c r="E124" s="16" t="str">
        <f>TEXT(WEEKDAY(DATE(Diciembre!CalendarioAño,1,3),1),"ddd")</f>
        <v>sáb</v>
      </c>
      <c r="F124" s="16" t="str">
        <f>TEXT(WEEKDAY(DATE(Diciembre!CalendarioAño,1,4),1),"ddd")</f>
        <v>dom</v>
      </c>
      <c r="G124" s="16" t="str">
        <f>TEXT(WEEKDAY(DATE(Diciembre!CalendarioAño,1,5),1),"ddd")</f>
        <v>lun</v>
      </c>
      <c r="H124" s="16" t="str">
        <f>TEXT(WEEKDAY(DATE(Diciembre!CalendarioAño,1,6),1),"ddd")</f>
        <v>mar</v>
      </c>
      <c r="I124" s="16" t="str">
        <f>TEXT(WEEKDAY(DATE(Diciembre!CalendarioAño,1,7),1),"ddd")</f>
        <v>mié</v>
      </c>
      <c r="J124" s="16" t="str">
        <f>TEXT(WEEKDAY(DATE(Diciembre!CalendarioAño,1,8),1),"ddd")</f>
        <v>jue</v>
      </c>
      <c r="K124" s="16" t="str">
        <f>TEXT(WEEKDAY(DATE(Diciembre!CalendarioAño,1,9),1),"ddd")</f>
        <v>vie</v>
      </c>
      <c r="L124" s="16" t="str">
        <f>TEXT(WEEKDAY(DATE(Diciembre!CalendarioAño,1,10),1),"ddd")</f>
        <v>sáb</v>
      </c>
      <c r="M124" s="16" t="str">
        <f>TEXT(WEEKDAY(DATE(Diciembre!CalendarioAño,1,11),1),"ddd")</f>
        <v>dom</v>
      </c>
      <c r="N124" s="16" t="str">
        <f>TEXT(WEEKDAY(DATE(Diciembre!CalendarioAño,1,12),1),"ddd")</f>
        <v>lun</v>
      </c>
      <c r="O124" s="16" t="str">
        <f>TEXT(WEEKDAY(DATE(Diciembre!CalendarioAño,1,13),1),"ddd")</f>
        <v>mar</v>
      </c>
      <c r="P124" s="16" t="str">
        <f>TEXT(WEEKDAY(DATE(Diciembre!CalendarioAño,1,14),1),"ddd")</f>
        <v>mié</v>
      </c>
      <c r="Q124" s="16" t="str">
        <f>TEXT(WEEKDAY(DATE(Diciembre!CalendarioAño,1,15),1),"ddd")</f>
        <v>jue</v>
      </c>
      <c r="R124" s="16" t="str">
        <f>TEXT(WEEKDAY(DATE(Diciembre!CalendarioAño,1,16),1),"ddd")</f>
        <v>vie</v>
      </c>
      <c r="S124" s="16" t="str">
        <f>TEXT(WEEKDAY(DATE(Diciembre!CalendarioAño,1,17),1),"ddd")</f>
        <v>sáb</v>
      </c>
      <c r="T124" s="16" t="str">
        <f>TEXT(WEEKDAY(DATE(Diciembre!CalendarioAño,1,18),1),"ddd")</f>
        <v>dom</v>
      </c>
      <c r="U124" s="16" t="str">
        <f>TEXT(WEEKDAY(DATE(Diciembre!CalendarioAño,1,19),1),"ddd")</f>
        <v>lun</v>
      </c>
      <c r="V124" s="16" t="str">
        <f>TEXT(WEEKDAY(DATE(Diciembre!CalendarioAño,1,20),1),"ddd")</f>
        <v>mar</v>
      </c>
      <c r="W124" s="16" t="str">
        <f>TEXT(WEEKDAY(DATE(Diciembre!CalendarioAño,1,21),1),"ddd")</f>
        <v>mié</v>
      </c>
      <c r="X124" s="16" t="str">
        <f>TEXT(WEEKDAY(DATE(Diciembre!CalendarioAño,1,22),1),"ddd")</f>
        <v>jue</v>
      </c>
      <c r="Y124" s="16" t="str">
        <f>TEXT(WEEKDAY(DATE(Diciembre!CalendarioAño,1,23),1),"ddd")</f>
        <v>vie</v>
      </c>
      <c r="Z124" s="16" t="str">
        <f>TEXT(WEEKDAY(DATE(Diciembre!CalendarioAño,1,24),1),"ddd")</f>
        <v>sáb</v>
      </c>
      <c r="AA124" s="16" t="str">
        <f>TEXT(WEEKDAY(DATE(Diciembre!CalendarioAño,1,25),1),"ddd")</f>
        <v>dom</v>
      </c>
      <c r="AB124" s="16" t="str">
        <f>TEXT(WEEKDAY(DATE(Diciembre!CalendarioAño,1,26),1),"ddd")</f>
        <v>lun</v>
      </c>
      <c r="AC124" s="16" t="str">
        <f>TEXT(WEEKDAY(DATE(Diciembre!CalendarioAño,1,27),1),"ddd")</f>
        <v>mar</v>
      </c>
      <c r="AD124" s="16" t="str">
        <f>TEXT(WEEKDAY(DATE(Diciembre!CalendarioAño,1,28),1),"ddd")</f>
        <v>mié</v>
      </c>
      <c r="AE124" s="16" t="str">
        <f>TEXT(WEEKDAY(DATE(Diciembre!CalendarioAño,1,29),1),"ddd")</f>
        <v>jue</v>
      </c>
      <c r="AF124" s="16" t="str">
        <f>TEXT(WEEKDAY(DATE(Diciembre!CalendarioAño,1,30),1),"ddd")</f>
        <v>vie</v>
      </c>
      <c r="AG124" s="16" t="str">
        <f>TEXT(WEEKDAY(DATE(Diciembre!CalendarioAño,1,31),1),"ddd")</f>
        <v>sáb</v>
      </c>
      <c r="AH124" s="30"/>
      <c r="AI124" s="14"/>
      <c r="AJ124" s="14"/>
    </row>
    <row r="125" ht="30.0" customHeight="1">
      <c r="A125" s="17"/>
      <c r="B125" s="31" t="s">
        <v>14</v>
      </c>
      <c r="C125" s="19" t="s">
        <v>15</v>
      </c>
      <c r="D125" s="19" t="s">
        <v>16</v>
      </c>
      <c r="E125" s="19" t="s">
        <v>17</v>
      </c>
      <c r="F125" s="19" t="s">
        <v>18</v>
      </c>
      <c r="G125" s="19" t="s">
        <v>19</v>
      </c>
      <c r="H125" s="19" t="s">
        <v>20</v>
      </c>
      <c r="I125" s="19" t="s">
        <v>21</v>
      </c>
      <c r="J125" s="19" t="s">
        <v>22</v>
      </c>
      <c r="K125" s="19" t="s">
        <v>23</v>
      </c>
      <c r="L125" s="19" t="s">
        <v>24</v>
      </c>
      <c r="M125" s="19" t="s">
        <v>25</v>
      </c>
      <c r="N125" s="19" t="s">
        <v>26</v>
      </c>
      <c r="O125" s="19" t="s">
        <v>27</v>
      </c>
      <c r="P125" s="19" t="s">
        <v>28</v>
      </c>
      <c r="Q125" s="19" t="s">
        <v>29</v>
      </c>
      <c r="R125" s="19" t="s">
        <v>30</v>
      </c>
      <c r="S125" s="19" t="s">
        <v>31</v>
      </c>
      <c r="T125" s="19" t="s">
        <v>32</v>
      </c>
      <c r="U125" s="19" t="s">
        <v>33</v>
      </c>
      <c r="V125" s="19" t="s">
        <v>34</v>
      </c>
      <c r="W125" s="19" t="s">
        <v>35</v>
      </c>
      <c r="X125" s="19" t="s">
        <v>36</v>
      </c>
      <c r="Y125" s="19" t="s">
        <v>37</v>
      </c>
      <c r="Z125" s="19" t="s">
        <v>38</v>
      </c>
      <c r="AA125" s="19" t="s">
        <v>39</v>
      </c>
      <c r="AB125" s="19" t="s">
        <v>40</v>
      </c>
      <c r="AC125" s="19" t="s">
        <v>41</v>
      </c>
      <c r="AD125" s="19" t="s">
        <v>42</v>
      </c>
      <c r="AE125" s="19" t="s">
        <v>43</v>
      </c>
      <c r="AF125" s="19" t="s">
        <v>44</v>
      </c>
      <c r="AG125" s="19" t="s">
        <v>45</v>
      </c>
      <c r="AH125" s="19" t="s">
        <v>46</v>
      </c>
      <c r="AI125" s="19"/>
      <c r="AJ125" s="19"/>
    </row>
    <row r="126" ht="30.0" customHeight="1">
      <c r="B126" s="40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23"/>
      <c r="AI126" s="23"/>
      <c r="AJ126" s="23"/>
    </row>
    <row r="127" ht="30.0" customHeight="1">
      <c r="B127" s="32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23"/>
      <c r="AI127" s="23"/>
      <c r="AJ127" s="23"/>
    </row>
    <row r="128" ht="30.0" customHeight="1">
      <c r="B128" s="32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23"/>
      <c r="AI128" s="23"/>
      <c r="AJ128" s="23"/>
    </row>
    <row r="129" ht="30.0" customHeight="1">
      <c r="B129" s="32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23"/>
      <c r="AI129" s="23"/>
      <c r="AJ129" s="23"/>
    </row>
    <row r="130" ht="30.0" customHeight="1">
      <c r="B130" s="32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23"/>
      <c r="AI130" s="23"/>
      <c r="AJ130" s="23"/>
    </row>
    <row r="131" ht="30.0" customHeight="1">
      <c r="B131" s="40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23"/>
      <c r="AI131" s="23"/>
      <c r="AJ131" s="23"/>
    </row>
    <row r="132" ht="30.0" customHeight="1">
      <c r="B132" s="32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23"/>
      <c r="AI132" s="23"/>
      <c r="AJ132" s="23"/>
    </row>
    <row r="133" ht="30.0" customHeight="1">
      <c r="B133" s="32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23"/>
      <c r="AI133" s="23"/>
      <c r="AJ133" s="23"/>
    </row>
    <row r="134" ht="30.0" customHeight="1">
      <c r="B134" s="32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23"/>
      <c r="AI134" s="23"/>
      <c r="AJ134" s="23"/>
    </row>
    <row r="135" ht="30.0" customHeight="1">
      <c r="B135" s="32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23"/>
      <c r="AI135" s="23"/>
      <c r="AJ135" s="23"/>
    </row>
    <row r="136" ht="30.0" customHeight="1">
      <c r="B136" s="32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23"/>
      <c r="AI136" s="23"/>
      <c r="AJ136" s="23"/>
    </row>
    <row r="137" ht="30.0" customHeight="1">
      <c r="B137" s="32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23"/>
      <c r="AI137" s="23"/>
      <c r="AJ137" s="23"/>
    </row>
    <row r="138" ht="30.0" customHeight="1">
      <c r="B138" s="32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23"/>
      <c r="AI138" s="23"/>
      <c r="AJ138" s="23"/>
    </row>
    <row r="139" ht="30.0" customHeight="1">
      <c r="B139" s="32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23"/>
      <c r="AI139" s="23"/>
      <c r="AJ139" s="23"/>
    </row>
    <row r="140" ht="30.0" customHeight="1">
      <c r="B140" s="32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23"/>
      <c r="AI140" s="23"/>
      <c r="AJ140" s="23"/>
    </row>
    <row r="141" ht="30.0" customHeight="1">
      <c r="B141" s="32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23"/>
      <c r="AI141" s="23"/>
      <c r="AJ141" s="23"/>
    </row>
    <row r="142" ht="30.0" customHeight="1">
      <c r="B142" s="32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25"/>
      <c r="AI142" s="25"/>
      <c r="AJ142" s="25"/>
    </row>
    <row r="143" ht="30.0" customHeight="1">
      <c r="B143" s="32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25"/>
      <c r="AI143" s="25"/>
      <c r="AJ143" s="25"/>
    </row>
    <row r="144" ht="30.0" customHeight="1">
      <c r="B144" s="32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25"/>
      <c r="AI144" s="25"/>
      <c r="AJ144" s="25"/>
    </row>
    <row r="145" ht="30.0" customHeight="1">
      <c r="B145" s="48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25"/>
      <c r="AI145" s="25"/>
      <c r="AJ145" s="25"/>
    </row>
    <row r="146" ht="30.0" customHeight="1">
      <c r="B146" s="48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</row>
    <row r="147" ht="30.0" customHeight="1">
      <c r="B147" s="48" t="str">
        <f>Diciembre!MonthName&amp;" Total"</f>
        <v>Enero Total</v>
      </c>
      <c r="C147" s="25">
        <f>SUBTOTAL(103,Diciembre!$C$7)</f>
        <v>0</v>
      </c>
      <c r="D147" s="25">
        <f>SUBTOTAL(103,Diciembre!$D$7)</f>
        <v>0</v>
      </c>
      <c r="E147" s="25">
        <f>SUBTOTAL(103,Diciembre!$E$7)</f>
        <v>0</v>
      </c>
      <c r="F147" s="25"/>
      <c r="G147" s="25"/>
      <c r="H147" s="25">
        <f>SUBTOTAL(103,Diciembre!$H$7)</f>
        <v>0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>
        <f>SUBTOTAL(103,Diciembre!$AE$7)</f>
        <v>0</v>
      </c>
      <c r="AF147" s="25">
        <f>SUBTOTAL(103,Diciembre!$AF$7)</f>
        <v>0</v>
      </c>
      <c r="AG147" s="25">
        <f>SUBTOTAL(103,Diciembre!$AG$7)</f>
        <v>0</v>
      </c>
      <c r="AH147" s="25">
        <f>SUM(C147:AG147)</f>
        <v>0</v>
      </c>
      <c r="AI147" s="25"/>
      <c r="AJ147" s="25"/>
    </row>
    <row r="148" ht="30.0" customHeight="1">
      <c r="AH148" s="5"/>
      <c r="AI148" s="5"/>
      <c r="AJ148" s="5"/>
    </row>
    <row r="149" ht="30.0" customHeight="1">
      <c r="B149" s="30" t="s">
        <v>12</v>
      </c>
      <c r="C149" s="27" t="s">
        <v>160</v>
      </c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39">
        <v>2026.0</v>
      </c>
      <c r="AI149" s="15"/>
      <c r="AJ149" s="15"/>
    </row>
    <row r="150" ht="30.0" customHeight="1">
      <c r="B150" s="30"/>
      <c r="C150" s="16" t="str">
        <f>TEXT(WEEKDAY(DATE(Diciembre!CalendarioAño,1,1),1),"ddd")</f>
        <v>jue</v>
      </c>
      <c r="D150" s="16" t="str">
        <f>TEXT(WEEKDAY(DATE(Diciembre!CalendarioAño,1,2),1),"ddd")</f>
        <v>vie</v>
      </c>
      <c r="E150" s="16" t="str">
        <f>TEXT(WEEKDAY(DATE(Diciembre!CalendarioAño,1,3),1),"ddd")</f>
        <v>sáb</v>
      </c>
      <c r="F150" s="16" t="str">
        <f>TEXT(WEEKDAY(DATE(Diciembre!CalendarioAño,1,4),1),"ddd")</f>
        <v>dom</v>
      </c>
      <c r="G150" s="16" t="str">
        <f>TEXT(WEEKDAY(DATE(Diciembre!CalendarioAño,1,5),1),"ddd")</f>
        <v>lun</v>
      </c>
      <c r="H150" s="16" t="str">
        <f>TEXT(WEEKDAY(DATE(Diciembre!CalendarioAño,1,6),1),"ddd")</f>
        <v>mar</v>
      </c>
      <c r="I150" s="16" t="str">
        <f>TEXT(WEEKDAY(DATE(Diciembre!CalendarioAño,1,7),1),"ddd")</f>
        <v>mié</v>
      </c>
      <c r="J150" s="16" t="str">
        <f>TEXT(WEEKDAY(DATE(Diciembre!CalendarioAño,1,8),1),"ddd")</f>
        <v>jue</v>
      </c>
      <c r="K150" s="16" t="str">
        <f>TEXT(WEEKDAY(DATE(Diciembre!CalendarioAño,1,9),1),"ddd")</f>
        <v>vie</v>
      </c>
      <c r="L150" s="16" t="str">
        <f>TEXT(WEEKDAY(DATE(Diciembre!CalendarioAño,1,10),1),"ddd")</f>
        <v>sáb</v>
      </c>
      <c r="M150" s="16" t="str">
        <f>TEXT(WEEKDAY(DATE(Diciembre!CalendarioAño,1,11),1),"ddd")</f>
        <v>dom</v>
      </c>
      <c r="N150" s="16" t="str">
        <f>TEXT(WEEKDAY(DATE(Diciembre!CalendarioAño,1,12),1),"ddd")</f>
        <v>lun</v>
      </c>
      <c r="O150" s="16" t="str">
        <f>TEXT(WEEKDAY(DATE(Diciembre!CalendarioAño,1,13),1),"ddd")</f>
        <v>mar</v>
      </c>
      <c r="P150" s="16" t="str">
        <f>TEXT(WEEKDAY(DATE(Diciembre!CalendarioAño,1,14),1),"ddd")</f>
        <v>mié</v>
      </c>
      <c r="Q150" s="16" t="str">
        <f>TEXT(WEEKDAY(DATE(Diciembre!CalendarioAño,1,15),1),"ddd")</f>
        <v>jue</v>
      </c>
      <c r="R150" s="16" t="str">
        <f>TEXT(WEEKDAY(DATE(Diciembre!CalendarioAño,1,16),1),"ddd")</f>
        <v>vie</v>
      </c>
      <c r="S150" s="16" t="str">
        <f>TEXT(WEEKDAY(DATE(Diciembre!CalendarioAño,1,17),1),"ddd")</f>
        <v>sáb</v>
      </c>
      <c r="T150" s="16" t="str">
        <f>TEXT(WEEKDAY(DATE(Diciembre!CalendarioAño,1,18),1),"ddd")</f>
        <v>dom</v>
      </c>
      <c r="U150" s="16" t="str">
        <f>TEXT(WEEKDAY(DATE(Diciembre!CalendarioAño,1,19),1),"ddd")</f>
        <v>lun</v>
      </c>
      <c r="V150" s="16" t="str">
        <f>TEXT(WEEKDAY(DATE(Diciembre!CalendarioAño,1,20),1),"ddd")</f>
        <v>mar</v>
      </c>
      <c r="W150" s="16" t="str">
        <f>TEXT(WEEKDAY(DATE(Diciembre!CalendarioAño,1,21),1),"ddd")</f>
        <v>mié</v>
      </c>
      <c r="X150" s="16" t="str">
        <f>TEXT(WEEKDAY(DATE(Diciembre!CalendarioAño,1,22),1),"ddd")</f>
        <v>jue</v>
      </c>
      <c r="Y150" s="16" t="str">
        <f>TEXT(WEEKDAY(DATE(Diciembre!CalendarioAño,1,23),1),"ddd")</f>
        <v>vie</v>
      </c>
      <c r="Z150" s="16" t="str">
        <f>TEXT(WEEKDAY(DATE(Diciembre!CalendarioAño,1,24),1),"ddd")</f>
        <v>sáb</v>
      </c>
      <c r="AA150" s="16" t="str">
        <f>TEXT(WEEKDAY(DATE(Diciembre!CalendarioAño,1,25),1),"ddd")</f>
        <v>dom</v>
      </c>
      <c r="AB150" s="16" t="str">
        <f>TEXT(WEEKDAY(DATE(Diciembre!CalendarioAño,1,26),1),"ddd")</f>
        <v>lun</v>
      </c>
      <c r="AC150" s="16" t="str">
        <f>TEXT(WEEKDAY(DATE(Diciembre!CalendarioAño,1,27),1),"ddd")</f>
        <v>mar</v>
      </c>
      <c r="AD150" s="16" t="str">
        <f>TEXT(WEEKDAY(DATE(Diciembre!CalendarioAño,1,28),1),"ddd")</f>
        <v>mié</v>
      </c>
      <c r="AE150" s="16" t="str">
        <f>TEXT(WEEKDAY(DATE(Diciembre!CalendarioAño,1,29),1),"ddd")</f>
        <v>jue</v>
      </c>
      <c r="AF150" s="16" t="str">
        <f>TEXT(WEEKDAY(DATE(Diciembre!CalendarioAño,1,30),1),"ddd")</f>
        <v>vie</v>
      </c>
      <c r="AG150" s="16" t="str">
        <f>TEXT(WEEKDAY(DATE(Diciembre!CalendarioAño,1,31),1),"ddd")</f>
        <v>sáb</v>
      </c>
      <c r="AH150" s="30"/>
      <c r="AI150" s="14"/>
      <c r="AJ150" s="14"/>
    </row>
    <row r="151" ht="30.0" customHeight="1">
      <c r="A151" s="17"/>
      <c r="B151" s="31" t="s">
        <v>14</v>
      </c>
      <c r="C151" s="19" t="s">
        <v>15</v>
      </c>
      <c r="D151" s="19" t="s">
        <v>16</v>
      </c>
      <c r="E151" s="19" t="s">
        <v>17</v>
      </c>
      <c r="F151" s="19" t="s">
        <v>18</v>
      </c>
      <c r="G151" s="19" t="s">
        <v>19</v>
      </c>
      <c r="H151" s="19" t="s">
        <v>20</v>
      </c>
      <c r="I151" s="19" t="s">
        <v>21</v>
      </c>
      <c r="J151" s="19" t="s">
        <v>22</v>
      </c>
      <c r="K151" s="19" t="s">
        <v>23</v>
      </c>
      <c r="L151" s="19" t="s">
        <v>24</v>
      </c>
      <c r="M151" s="19" t="s">
        <v>25</v>
      </c>
      <c r="N151" s="19" t="s">
        <v>26</v>
      </c>
      <c r="O151" s="19" t="s">
        <v>27</v>
      </c>
      <c r="P151" s="19" t="s">
        <v>28</v>
      </c>
      <c r="Q151" s="19" t="s">
        <v>29</v>
      </c>
      <c r="R151" s="19" t="s">
        <v>30</v>
      </c>
      <c r="S151" s="19" t="s">
        <v>31</v>
      </c>
      <c r="T151" s="19" t="s">
        <v>32</v>
      </c>
      <c r="U151" s="19" t="s">
        <v>33</v>
      </c>
      <c r="V151" s="19" t="s">
        <v>34</v>
      </c>
      <c r="W151" s="19" t="s">
        <v>35</v>
      </c>
      <c r="X151" s="19" t="s">
        <v>36</v>
      </c>
      <c r="Y151" s="19" t="s">
        <v>37</v>
      </c>
      <c r="Z151" s="19" t="s">
        <v>38</v>
      </c>
      <c r="AA151" s="19" t="s">
        <v>39</v>
      </c>
      <c r="AB151" s="19" t="s">
        <v>40</v>
      </c>
      <c r="AC151" s="19" t="s">
        <v>41</v>
      </c>
      <c r="AD151" s="19" t="s">
        <v>42</v>
      </c>
      <c r="AE151" s="19" t="s">
        <v>43</v>
      </c>
      <c r="AF151" s="19" t="s">
        <v>44</v>
      </c>
      <c r="AG151" s="19" t="s">
        <v>45</v>
      </c>
      <c r="AH151" s="19" t="s">
        <v>46</v>
      </c>
      <c r="AI151" s="19"/>
      <c r="AJ151" s="19"/>
    </row>
    <row r="152" ht="30.0" customHeight="1">
      <c r="B152" s="32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23"/>
      <c r="AI152" s="23"/>
      <c r="AJ152" s="23"/>
    </row>
    <row r="153" ht="30.0" customHeight="1">
      <c r="B153" s="40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23"/>
      <c r="AI153" s="23"/>
      <c r="AJ153" s="23"/>
    </row>
    <row r="154" ht="30.0" customHeight="1">
      <c r="B154" s="40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23"/>
      <c r="AI154" s="23"/>
      <c r="AJ154" s="23"/>
    </row>
    <row r="155" ht="30.0" customHeight="1">
      <c r="B155" s="32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23"/>
      <c r="AI155" s="23"/>
      <c r="AJ155" s="23"/>
    </row>
    <row r="156" ht="30.0" customHeight="1">
      <c r="B156" s="32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23"/>
      <c r="AI156" s="23"/>
      <c r="AJ156" s="23"/>
    </row>
    <row r="157" ht="30.0" customHeight="1">
      <c r="B157" s="32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23"/>
      <c r="AI157" s="23"/>
      <c r="AJ157" s="23"/>
    </row>
    <row r="158" ht="30.0" customHeight="1">
      <c r="B158" s="32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23"/>
      <c r="AI158" s="23"/>
      <c r="AJ158" s="23"/>
    </row>
    <row r="159" ht="30.0" customHeight="1">
      <c r="B159" s="32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23"/>
      <c r="AI159" s="23"/>
      <c r="AJ159" s="23"/>
    </row>
    <row r="160" ht="30.0" customHeight="1">
      <c r="B160" s="32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23"/>
      <c r="AI160" s="23"/>
      <c r="AJ160" s="23"/>
    </row>
    <row r="161" ht="30.0" customHeight="1">
      <c r="B161" s="32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23"/>
      <c r="AI161" s="23"/>
      <c r="AJ161" s="23"/>
    </row>
    <row r="162" ht="30.0" customHeight="1">
      <c r="B162" s="20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33"/>
      <c r="N162" s="21"/>
      <c r="O162" s="21"/>
      <c r="P162" s="21"/>
      <c r="Q162" s="21"/>
      <c r="R162" s="21"/>
      <c r="S162" s="21"/>
      <c r="T162" s="33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3"/>
      <c r="AI162" s="23"/>
      <c r="AJ162" s="23"/>
    </row>
    <row r="163" ht="30.0" customHeight="1">
      <c r="B163" s="20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33"/>
      <c r="N163" s="21"/>
      <c r="O163" s="21"/>
      <c r="P163" s="21"/>
      <c r="Q163" s="21"/>
      <c r="R163" s="21"/>
      <c r="S163" s="21"/>
      <c r="T163" s="33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3"/>
      <c r="AI163" s="23"/>
      <c r="AJ163" s="23"/>
    </row>
    <row r="164" ht="30.0" customHeight="1">
      <c r="B164" s="48" t="str">
        <f>Diciembre!MonthName&amp;" Total"</f>
        <v>Enero Total</v>
      </c>
      <c r="C164" s="25">
        <f>SUBTOTAL(103,Diciembre!$C$7)</f>
        <v>0</v>
      </c>
      <c r="D164" s="25">
        <f>SUBTOTAL(103,Diciembre!$D$7)</f>
        <v>0</v>
      </c>
      <c r="E164" s="25">
        <f>SUBTOTAL(103,Diciembre!$E$7)</f>
        <v>0</v>
      </c>
      <c r="F164" s="25"/>
      <c r="G164" s="25"/>
      <c r="H164" s="25">
        <f>SUBTOTAL(103,Diciembre!$H$7)</f>
        <v>0</v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>
        <f>SUBTOTAL(103,Diciembre!$Y$7)</f>
        <v>0</v>
      </c>
      <c r="Z164" s="25">
        <f>SUBTOTAL(103,Diciembre!$Z$7)</f>
        <v>0</v>
      </c>
      <c r="AA164" s="25">
        <f>SUBTOTAL(103,Diciembre!$AA$7)</f>
        <v>0</v>
      </c>
      <c r="AB164" s="25">
        <f>SUBTOTAL(103,Diciembre!$AB$7)</f>
        <v>0</v>
      </c>
      <c r="AC164" s="25">
        <f>SUBTOTAL(103,Diciembre!$AC$7)</f>
        <v>0</v>
      </c>
      <c r="AD164" s="25">
        <f>SUBTOTAL(103,Diciembre!$AD$7)</f>
        <v>0</v>
      </c>
      <c r="AE164" s="25">
        <f>SUBTOTAL(103,Diciembre!$AE$7)</f>
        <v>0</v>
      </c>
      <c r="AF164" s="25">
        <f>SUBTOTAL(103,Diciembre!$AF$7)</f>
        <v>0</v>
      </c>
      <c r="AG164" s="25">
        <f>SUBTOTAL(103,Diciembre!$AG$7)</f>
        <v>0</v>
      </c>
      <c r="AH164" s="25">
        <f>SUM(C164:AG164)</f>
        <v>0</v>
      </c>
      <c r="AI164" s="25"/>
      <c r="AJ164" s="25"/>
    </row>
    <row r="165" ht="30.0" customHeight="1">
      <c r="AH165" s="5"/>
      <c r="AI165" s="5"/>
      <c r="AJ165" s="5"/>
    </row>
    <row r="166" ht="30.0" customHeight="1">
      <c r="A166" s="50"/>
      <c r="B166" s="30" t="s">
        <v>12</v>
      </c>
      <c r="C166" s="27" t="s">
        <v>171</v>
      </c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39">
        <v>2026.0</v>
      </c>
      <c r="AI166" s="15"/>
      <c r="AJ166" s="15"/>
    </row>
    <row r="167" ht="30.0" customHeight="1">
      <c r="A167" s="50"/>
      <c r="B167" s="56"/>
      <c r="C167" s="16" t="str">
        <f>TEXT(WEEKDAY(DATE(Diciembre!CalendarioAño,1,1),1),"ddd")</f>
        <v>jue</v>
      </c>
      <c r="D167" s="16" t="str">
        <f>TEXT(WEEKDAY(DATE(Diciembre!CalendarioAño,1,2),1),"ddd")</f>
        <v>vie</v>
      </c>
      <c r="E167" s="16" t="str">
        <f>TEXT(WEEKDAY(DATE(Diciembre!CalendarioAño,1,3),1),"ddd")</f>
        <v>sáb</v>
      </c>
      <c r="F167" s="16" t="str">
        <f>TEXT(WEEKDAY(DATE(Diciembre!CalendarioAño,1,4),1),"ddd")</f>
        <v>dom</v>
      </c>
      <c r="G167" s="16" t="str">
        <f>TEXT(WEEKDAY(DATE(Diciembre!CalendarioAño,1,5),1),"ddd")</f>
        <v>lun</v>
      </c>
      <c r="H167" s="16" t="str">
        <f>TEXT(WEEKDAY(DATE(Diciembre!CalendarioAño,1,6),1),"ddd")</f>
        <v>mar</v>
      </c>
      <c r="I167" s="16" t="str">
        <f>TEXT(WEEKDAY(DATE(Diciembre!CalendarioAño,1,7),1),"ddd")</f>
        <v>mié</v>
      </c>
      <c r="J167" s="16" t="str">
        <f>TEXT(WEEKDAY(DATE(Diciembre!CalendarioAño,1,8),1),"ddd")</f>
        <v>jue</v>
      </c>
      <c r="K167" s="16" t="str">
        <f>TEXT(WEEKDAY(DATE(Diciembre!CalendarioAño,1,9),1),"ddd")</f>
        <v>vie</v>
      </c>
      <c r="L167" s="16" t="str">
        <f>TEXT(WEEKDAY(DATE(Diciembre!CalendarioAño,1,10),1),"ddd")</f>
        <v>sáb</v>
      </c>
      <c r="M167" s="16" t="str">
        <f>TEXT(WEEKDAY(DATE(Diciembre!CalendarioAño,1,11),1),"ddd")</f>
        <v>dom</v>
      </c>
      <c r="N167" s="16" t="str">
        <f>TEXT(WEEKDAY(DATE(Diciembre!CalendarioAño,1,12),1),"ddd")</f>
        <v>lun</v>
      </c>
      <c r="O167" s="16" t="str">
        <f>TEXT(WEEKDAY(DATE(Diciembre!CalendarioAño,1,13),1),"ddd")</f>
        <v>mar</v>
      </c>
      <c r="P167" s="16" t="str">
        <f>TEXT(WEEKDAY(DATE(Diciembre!CalendarioAño,1,14),1),"ddd")</f>
        <v>mié</v>
      </c>
      <c r="Q167" s="16" t="str">
        <f>TEXT(WEEKDAY(DATE(Diciembre!CalendarioAño,1,15),1),"ddd")</f>
        <v>jue</v>
      </c>
      <c r="R167" s="16" t="str">
        <f>TEXT(WEEKDAY(DATE(Diciembre!CalendarioAño,1,16),1),"ddd")</f>
        <v>vie</v>
      </c>
      <c r="S167" s="16" t="str">
        <f>TEXT(WEEKDAY(DATE(Diciembre!CalendarioAño,1,17),1),"ddd")</f>
        <v>sáb</v>
      </c>
      <c r="T167" s="16" t="str">
        <f>TEXT(WEEKDAY(DATE(Diciembre!CalendarioAño,1,18),1),"ddd")</f>
        <v>dom</v>
      </c>
      <c r="U167" s="16" t="str">
        <f>TEXT(WEEKDAY(DATE(Diciembre!CalendarioAño,1,19),1),"ddd")</f>
        <v>lun</v>
      </c>
      <c r="V167" s="16" t="str">
        <f>TEXT(WEEKDAY(DATE(Diciembre!CalendarioAño,1,20),1),"ddd")</f>
        <v>mar</v>
      </c>
      <c r="W167" s="16" t="str">
        <f>TEXT(WEEKDAY(DATE(Diciembre!CalendarioAño,1,21),1),"ddd")</f>
        <v>mié</v>
      </c>
      <c r="X167" s="16" t="str">
        <f>TEXT(WEEKDAY(DATE(Diciembre!CalendarioAño,1,22),1),"ddd")</f>
        <v>jue</v>
      </c>
      <c r="Y167" s="16" t="str">
        <f>TEXT(WEEKDAY(DATE(Diciembre!CalendarioAño,1,23),1),"ddd")</f>
        <v>vie</v>
      </c>
      <c r="Z167" s="16" t="str">
        <f>TEXT(WEEKDAY(DATE(Diciembre!CalendarioAño,1,24),1),"ddd")</f>
        <v>sáb</v>
      </c>
      <c r="AA167" s="16" t="str">
        <f>TEXT(WEEKDAY(DATE(Diciembre!CalendarioAño,1,25),1),"ddd")</f>
        <v>dom</v>
      </c>
      <c r="AB167" s="16" t="str">
        <f>TEXT(WEEKDAY(DATE(Diciembre!CalendarioAño,1,26),1),"ddd")</f>
        <v>lun</v>
      </c>
      <c r="AC167" s="16" t="str">
        <f>TEXT(WEEKDAY(DATE(Diciembre!CalendarioAño,1,27),1),"ddd")</f>
        <v>mar</v>
      </c>
      <c r="AD167" s="16" t="str">
        <f>TEXT(WEEKDAY(DATE(Diciembre!CalendarioAño,1,28),1),"ddd")</f>
        <v>mié</v>
      </c>
      <c r="AE167" s="16" t="str">
        <f>TEXT(WEEKDAY(DATE(Diciembre!CalendarioAño,1,29),1),"ddd")</f>
        <v>jue</v>
      </c>
      <c r="AF167" s="16" t="str">
        <f>TEXT(WEEKDAY(DATE(Diciembre!CalendarioAño,1,30),1),"ddd")</f>
        <v>vie</v>
      </c>
      <c r="AG167" s="16" t="str">
        <f>TEXT(WEEKDAY(DATE(Diciembre!CalendarioAño,1,31),1),"ddd")</f>
        <v>sáb</v>
      </c>
      <c r="AH167" s="57"/>
      <c r="AI167" s="119"/>
      <c r="AJ167" s="119"/>
    </row>
    <row r="168" ht="30.0" customHeight="1">
      <c r="A168" s="18"/>
      <c r="B168" s="31" t="s">
        <v>14</v>
      </c>
      <c r="C168" s="19" t="s">
        <v>15</v>
      </c>
      <c r="D168" s="19" t="s">
        <v>16</v>
      </c>
      <c r="E168" s="19" t="s">
        <v>17</v>
      </c>
      <c r="F168" s="19" t="s">
        <v>18</v>
      </c>
      <c r="G168" s="19" t="s">
        <v>19</v>
      </c>
      <c r="H168" s="19" t="s">
        <v>20</v>
      </c>
      <c r="I168" s="19" t="s">
        <v>21</v>
      </c>
      <c r="J168" s="19" t="s">
        <v>22</v>
      </c>
      <c r="K168" s="19" t="s">
        <v>23</v>
      </c>
      <c r="L168" s="19" t="s">
        <v>24</v>
      </c>
      <c r="M168" s="19" t="s">
        <v>25</v>
      </c>
      <c r="N168" s="19" t="s">
        <v>26</v>
      </c>
      <c r="O168" s="19" t="s">
        <v>27</v>
      </c>
      <c r="P168" s="19" t="s">
        <v>28</v>
      </c>
      <c r="Q168" s="19" t="s">
        <v>29</v>
      </c>
      <c r="R168" s="19" t="s">
        <v>30</v>
      </c>
      <c r="S168" s="19" t="s">
        <v>31</v>
      </c>
      <c r="T168" s="19" t="s">
        <v>32</v>
      </c>
      <c r="U168" s="19" t="s">
        <v>33</v>
      </c>
      <c r="V168" s="19" t="s">
        <v>34</v>
      </c>
      <c r="W168" s="19" t="s">
        <v>35</v>
      </c>
      <c r="X168" s="19" t="s">
        <v>36</v>
      </c>
      <c r="Y168" s="19" t="s">
        <v>37</v>
      </c>
      <c r="Z168" s="19" t="s">
        <v>38</v>
      </c>
      <c r="AA168" s="19" t="s">
        <v>39</v>
      </c>
      <c r="AB168" s="19" t="s">
        <v>40</v>
      </c>
      <c r="AC168" s="19" t="s">
        <v>41</v>
      </c>
      <c r="AD168" s="19" t="s">
        <v>42</v>
      </c>
      <c r="AE168" s="19" t="s">
        <v>43</v>
      </c>
      <c r="AF168" s="19" t="s">
        <v>44</v>
      </c>
      <c r="AG168" s="19" t="s">
        <v>45</v>
      </c>
      <c r="AH168" s="19" t="s">
        <v>46</v>
      </c>
      <c r="AI168" s="19"/>
      <c r="AJ168" s="19"/>
    </row>
    <row r="169" ht="30.0" customHeight="1">
      <c r="A169" s="50"/>
      <c r="B169" s="58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59"/>
      <c r="AI169" s="59"/>
      <c r="AJ169" s="59"/>
    </row>
    <row r="170" ht="30.0" customHeight="1">
      <c r="A170" s="50"/>
      <c r="B170" s="60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59"/>
      <c r="AI170" s="59"/>
      <c r="AJ170" s="59"/>
    </row>
    <row r="171" ht="30.0" customHeight="1">
      <c r="A171" s="50"/>
      <c r="B171" s="58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59"/>
      <c r="AI171" s="59"/>
      <c r="AJ171" s="59"/>
    </row>
    <row r="172" ht="30.0" customHeight="1">
      <c r="A172" s="50"/>
      <c r="B172" s="60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59"/>
      <c r="AI172" s="59"/>
      <c r="AJ172" s="59"/>
    </row>
    <row r="173" ht="30.0" customHeight="1">
      <c r="A173" s="50"/>
      <c r="B173" s="60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59"/>
      <c r="AI173" s="59"/>
      <c r="AJ173" s="59"/>
    </row>
    <row r="174" ht="30.0" customHeight="1">
      <c r="A174" s="50"/>
      <c r="B174" s="58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59"/>
      <c r="AI174" s="59"/>
      <c r="AJ174" s="59"/>
    </row>
    <row r="175" ht="30.0" customHeight="1">
      <c r="A175" s="50"/>
      <c r="B175" s="58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59"/>
      <c r="AI175" s="59"/>
      <c r="AJ175" s="59"/>
    </row>
    <row r="176" ht="30.0" customHeight="1">
      <c r="A176" s="50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59"/>
      <c r="AI176" s="59"/>
      <c r="AJ176" s="59"/>
    </row>
    <row r="177" ht="30.0" customHeight="1">
      <c r="A177" s="50"/>
      <c r="B177" s="62" t="str">
        <f>Diciembre!MonthName&amp;" Total"</f>
        <v>Enero Total</v>
      </c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5"/>
      <c r="AI177" s="65"/>
      <c r="AJ177" s="65"/>
    </row>
    <row r="178" ht="30.0" customHeight="1">
      <c r="B178" s="123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124"/>
      <c r="AI178" s="124"/>
      <c r="AJ178" s="124"/>
    </row>
    <row r="179" ht="30.0" customHeight="1">
      <c r="A179" s="50"/>
      <c r="B179" s="30" t="s">
        <v>12</v>
      </c>
      <c r="C179" s="27" t="s">
        <v>179</v>
      </c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39">
        <v>2026.0</v>
      </c>
      <c r="AI179" s="15"/>
      <c r="AJ179" s="15"/>
    </row>
    <row r="180" ht="30.0" customHeight="1">
      <c r="A180" s="50"/>
      <c r="B180" s="56"/>
      <c r="C180" s="16" t="str">
        <f>TEXT(WEEKDAY(DATE(Diciembre!CalendarioAño,1,1),1),"ddd")</f>
        <v>jue</v>
      </c>
      <c r="D180" s="16" t="str">
        <f>TEXT(WEEKDAY(DATE(Diciembre!CalendarioAño,1,2),1),"ddd")</f>
        <v>vie</v>
      </c>
      <c r="E180" s="16" t="str">
        <f>TEXT(WEEKDAY(DATE(Diciembre!CalendarioAño,1,3),1),"ddd")</f>
        <v>sáb</v>
      </c>
      <c r="F180" s="16" t="str">
        <f>TEXT(WEEKDAY(DATE(Diciembre!CalendarioAño,1,4),1),"ddd")</f>
        <v>dom</v>
      </c>
      <c r="G180" s="16" t="str">
        <f>TEXT(WEEKDAY(DATE(Diciembre!CalendarioAño,1,5),1),"ddd")</f>
        <v>lun</v>
      </c>
      <c r="H180" s="16" t="str">
        <f>TEXT(WEEKDAY(DATE(Diciembre!CalendarioAño,1,6),1),"ddd")</f>
        <v>mar</v>
      </c>
      <c r="I180" s="16" t="str">
        <f>TEXT(WEEKDAY(DATE(Diciembre!CalendarioAño,1,7),1),"ddd")</f>
        <v>mié</v>
      </c>
      <c r="J180" s="16" t="str">
        <f>TEXT(WEEKDAY(DATE(Diciembre!CalendarioAño,1,8),1),"ddd")</f>
        <v>jue</v>
      </c>
      <c r="K180" s="16" t="str">
        <f>TEXT(WEEKDAY(DATE(Diciembre!CalendarioAño,1,9),1),"ddd")</f>
        <v>vie</v>
      </c>
      <c r="L180" s="16" t="str">
        <f>TEXT(WEEKDAY(DATE(Diciembre!CalendarioAño,1,10),1),"ddd")</f>
        <v>sáb</v>
      </c>
      <c r="M180" s="16" t="str">
        <f>TEXT(WEEKDAY(DATE(Diciembre!CalendarioAño,1,11),1),"ddd")</f>
        <v>dom</v>
      </c>
      <c r="N180" s="16" t="str">
        <f>TEXT(WEEKDAY(DATE(Diciembre!CalendarioAño,1,12),1),"ddd")</f>
        <v>lun</v>
      </c>
      <c r="O180" s="16" t="str">
        <f>TEXT(WEEKDAY(DATE(Diciembre!CalendarioAño,1,13),1),"ddd")</f>
        <v>mar</v>
      </c>
      <c r="P180" s="16" t="str">
        <f>TEXT(WEEKDAY(DATE(Diciembre!CalendarioAño,1,14),1),"ddd")</f>
        <v>mié</v>
      </c>
      <c r="Q180" s="16" t="str">
        <f>TEXT(WEEKDAY(DATE(Diciembre!CalendarioAño,1,15),1),"ddd")</f>
        <v>jue</v>
      </c>
      <c r="R180" s="16" t="str">
        <f>TEXT(WEEKDAY(DATE(Diciembre!CalendarioAño,1,16),1),"ddd")</f>
        <v>vie</v>
      </c>
      <c r="S180" s="16" t="str">
        <f>TEXT(WEEKDAY(DATE(Diciembre!CalendarioAño,1,17),1),"ddd")</f>
        <v>sáb</v>
      </c>
      <c r="T180" s="16" t="str">
        <f>TEXT(WEEKDAY(DATE(Diciembre!CalendarioAño,1,18),1),"ddd")</f>
        <v>dom</v>
      </c>
      <c r="U180" s="16" t="str">
        <f>TEXT(WEEKDAY(DATE(Diciembre!CalendarioAño,1,19),1),"ddd")</f>
        <v>lun</v>
      </c>
      <c r="V180" s="16" t="str">
        <f>TEXT(WEEKDAY(DATE(Diciembre!CalendarioAño,1,20),1),"ddd")</f>
        <v>mar</v>
      </c>
      <c r="W180" s="16" t="str">
        <f>TEXT(WEEKDAY(DATE(Diciembre!CalendarioAño,1,21),1),"ddd")</f>
        <v>mié</v>
      </c>
      <c r="X180" s="16" t="str">
        <f>TEXT(WEEKDAY(DATE(Diciembre!CalendarioAño,1,22),1),"ddd")</f>
        <v>jue</v>
      </c>
      <c r="Y180" s="16" t="str">
        <f>TEXT(WEEKDAY(DATE(Diciembre!CalendarioAño,1,23),1),"ddd")</f>
        <v>vie</v>
      </c>
      <c r="Z180" s="16" t="str">
        <f>TEXT(WEEKDAY(DATE(Diciembre!CalendarioAño,1,24),1),"ddd")</f>
        <v>sáb</v>
      </c>
      <c r="AA180" s="16" t="str">
        <f>TEXT(WEEKDAY(DATE(Diciembre!CalendarioAño,1,25),1),"ddd")</f>
        <v>dom</v>
      </c>
      <c r="AB180" s="16" t="str">
        <f>TEXT(WEEKDAY(DATE(Diciembre!CalendarioAño,1,26),1),"ddd")</f>
        <v>lun</v>
      </c>
      <c r="AC180" s="16" t="str">
        <f>TEXT(WEEKDAY(DATE(Diciembre!CalendarioAño,1,27),1),"ddd")</f>
        <v>mar</v>
      </c>
      <c r="AD180" s="16" t="str">
        <f>TEXT(WEEKDAY(DATE(Diciembre!CalendarioAño,1,28),1),"ddd")</f>
        <v>mié</v>
      </c>
      <c r="AE180" s="16" t="str">
        <f>TEXT(WEEKDAY(DATE(Diciembre!CalendarioAño,1,29),1),"ddd")</f>
        <v>jue</v>
      </c>
      <c r="AF180" s="16" t="str">
        <f>TEXT(WEEKDAY(DATE(Diciembre!CalendarioAño,1,30),1),"ddd")</f>
        <v>vie</v>
      </c>
      <c r="AG180" s="16" t="str">
        <f>TEXT(WEEKDAY(DATE(Diciembre!CalendarioAño,1,31),1),"ddd")</f>
        <v>sáb</v>
      </c>
      <c r="AH180" s="57"/>
      <c r="AI180" s="119"/>
      <c r="AJ180" s="119"/>
    </row>
    <row r="181" ht="30.0" customHeight="1">
      <c r="A181" s="18"/>
      <c r="B181" s="31" t="s">
        <v>14</v>
      </c>
      <c r="C181" s="19" t="s">
        <v>15</v>
      </c>
      <c r="D181" s="19" t="s">
        <v>16</v>
      </c>
      <c r="E181" s="19" t="s">
        <v>17</v>
      </c>
      <c r="F181" s="19" t="s">
        <v>18</v>
      </c>
      <c r="G181" s="19" t="s">
        <v>19</v>
      </c>
      <c r="H181" s="19" t="s">
        <v>20</v>
      </c>
      <c r="I181" s="19" t="s">
        <v>21</v>
      </c>
      <c r="J181" s="19" t="s">
        <v>22</v>
      </c>
      <c r="K181" s="19" t="s">
        <v>23</v>
      </c>
      <c r="L181" s="19" t="s">
        <v>24</v>
      </c>
      <c r="M181" s="19" t="s">
        <v>25</v>
      </c>
      <c r="N181" s="19" t="s">
        <v>26</v>
      </c>
      <c r="O181" s="19" t="s">
        <v>27</v>
      </c>
      <c r="P181" s="19" t="s">
        <v>28</v>
      </c>
      <c r="Q181" s="19" t="s">
        <v>29</v>
      </c>
      <c r="R181" s="19" t="s">
        <v>30</v>
      </c>
      <c r="S181" s="19" t="s">
        <v>31</v>
      </c>
      <c r="T181" s="19" t="s">
        <v>32</v>
      </c>
      <c r="U181" s="19" t="s">
        <v>33</v>
      </c>
      <c r="V181" s="19" t="s">
        <v>34</v>
      </c>
      <c r="W181" s="19" t="s">
        <v>35</v>
      </c>
      <c r="X181" s="19" t="s">
        <v>36</v>
      </c>
      <c r="Y181" s="19" t="s">
        <v>37</v>
      </c>
      <c r="Z181" s="19" t="s">
        <v>38</v>
      </c>
      <c r="AA181" s="19" t="s">
        <v>39</v>
      </c>
      <c r="AB181" s="19" t="s">
        <v>40</v>
      </c>
      <c r="AC181" s="19" t="s">
        <v>41</v>
      </c>
      <c r="AD181" s="19" t="s">
        <v>42</v>
      </c>
      <c r="AE181" s="19" t="s">
        <v>43</v>
      </c>
      <c r="AF181" s="19" t="s">
        <v>44</v>
      </c>
      <c r="AG181" s="19" t="s">
        <v>45</v>
      </c>
      <c r="AH181" s="19" t="s">
        <v>46</v>
      </c>
      <c r="AI181" s="19"/>
      <c r="AJ181" s="19"/>
    </row>
    <row r="182" ht="30.0" customHeight="1">
      <c r="A182" s="50"/>
      <c r="B182" s="58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59"/>
      <c r="AI182" s="59"/>
      <c r="AJ182" s="59"/>
    </row>
    <row r="183" ht="30.0" customHeight="1">
      <c r="A183" s="50"/>
      <c r="B183" s="60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59"/>
      <c r="AI183" s="59"/>
      <c r="AJ183" s="59"/>
    </row>
    <row r="184" ht="30.0" customHeight="1">
      <c r="A184" s="50"/>
      <c r="B184" s="58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59"/>
      <c r="AI184" s="59"/>
      <c r="AJ184" s="59"/>
    </row>
    <row r="185" ht="30.0" customHeight="1">
      <c r="A185" s="50"/>
      <c r="B185" s="36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59"/>
      <c r="AI185" s="59"/>
      <c r="AJ185" s="59"/>
    </row>
    <row r="186" ht="30.0" customHeight="1">
      <c r="A186" s="50"/>
      <c r="B186" s="6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59"/>
      <c r="AI186" s="59"/>
      <c r="AJ186" s="59"/>
    </row>
    <row r="187" ht="30.0" customHeight="1">
      <c r="A187" s="50"/>
      <c r="B187" s="62"/>
      <c r="C187" s="63">
        <f>SUBTOTAL(103,Diciembre!$C$7)</f>
        <v>0</v>
      </c>
      <c r="D187" s="63">
        <f>SUBTOTAL(103,Diciembre!$D$7)</f>
        <v>0</v>
      </c>
      <c r="E187" s="63">
        <f>SUBTOTAL(103,Diciembre!$E$7)</f>
        <v>0</v>
      </c>
      <c r="F187" s="63"/>
      <c r="G187" s="63"/>
      <c r="H187" s="63">
        <f>SUBTOTAL(103,Diciembre!$H$7)</f>
        <v>0</v>
      </c>
      <c r="I187" s="63">
        <f>SUBTOTAL(103,Diciembre!$I$7)</f>
        <v>0</v>
      </c>
      <c r="J187" s="63">
        <f>SUBTOTAL(103,Diciembre!$J$7)</f>
        <v>0</v>
      </c>
      <c r="K187" s="63">
        <f>SUBTOTAL(103,Diciembre!$K$7)</f>
        <v>0</v>
      </c>
      <c r="L187" s="63">
        <f>SUBTOTAL(103,Diciembre!$L$7)</f>
        <v>0</v>
      </c>
      <c r="M187" s="63"/>
      <c r="N187" s="63">
        <f>SUBTOTAL(103,Diciembre!$N$7)</f>
        <v>0</v>
      </c>
      <c r="O187" s="63">
        <f>SUBTOTAL(103,Diciembre!$O$7)</f>
        <v>0</v>
      </c>
      <c r="P187" s="63">
        <f>SUBTOTAL(103,Diciembre!$P$7)</f>
        <v>0</v>
      </c>
      <c r="Q187" s="63">
        <f>SUBTOTAL(103,Diciembre!$Q$7)</f>
        <v>0</v>
      </c>
      <c r="R187" s="63">
        <f>SUBTOTAL(103,Diciembre!$R$7)</f>
        <v>0</v>
      </c>
      <c r="S187" s="63">
        <f>SUBTOTAL(103,Diciembre!$S$7)</f>
        <v>0</v>
      </c>
      <c r="T187" s="63">
        <f>SUBTOTAL(103,Diciembre!$T$7)</f>
        <v>0</v>
      </c>
      <c r="U187" s="63">
        <f>SUBTOTAL(103,Diciembre!$U$7)</f>
        <v>0</v>
      </c>
      <c r="V187" s="63"/>
      <c r="W187" s="63">
        <f>SUBTOTAL(103,Diciembre!$W$7)</f>
        <v>0</v>
      </c>
      <c r="X187" s="63">
        <f>SUBTOTAL(103,Diciembre!$X$7)</f>
        <v>0</v>
      </c>
      <c r="Y187" s="63">
        <f>SUBTOTAL(103,Diciembre!$Y$7)</f>
        <v>0</v>
      </c>
      <c r="Z187" s="63">
        <f>SUBTOTAL(103,Diciembre!$Z$7)</f>
        <v>0</v>
      </c>
      <c r="AA187" s="63">
        <f>SUBTOTAL(103,Diciembre!$AA$7)</f>
        <v>0</v>
      </c>
      <c r="AB187" s="63">
        <f>SUBTOTAL(103,Diciembre!$AB$7)</f>
        <v>0</v>
      </c>
      <c r="AC187" s="63">
        <f>SUBTOTAL(103,Diciembre!$AC$7)</f>
        <v>0</v>
      </c>
      <c r="AD187" s="63">
        <f>SUBTOTAL(103,Diciembre!$AD$7)</f>
        <v>0</v>
      </c>
      <c r="AE187" s="63">
        <f>SUBTOTAL(103,Diciembre!$AE$7)</f>
        <v>0</v>
      </c>
      <c r="AF187" s="63">
        <f>SUBTOTAL(103,Diciembre!$AF$7)</f>
        <v>0</v>
      </c>
      <c r="AG187" s="63">
        <f>SUBTOTAL(103,Diciembre!$AG$7)</f>
        <v>0</v>
      </c>
      <c r="AH187" s="65"/>
      <c r="AI187" s="65"/>
      <c r="AJ187" s="65"/>
    </row>
    <row r="188" ht="30.0" customHeight="1">
      <c r="AH188" s="5"/>
      <c r="AI188" s="5"/>
      <c r="AJ188" s="5"/>
    </row>
    <row r="189" ht="30.0" customHeight="1">
      <c r="A189" s="50"/>
      <c r="B189" s="30" t="s">
        <v>12</v>
      </c>
      <c r="C189" s="27" t="s">
        <v>183</v>
      </c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39">
        <v>2026.0</v>
      </c>
      <c r="AI189" s="15"/>
      <c r="AJ189" s="15"/>
    </row>
    <row r="190" ht="30.0" customHeight="1">
      <c r="A190" s="50"/>
      <c r="B190" s="56"/>
      <c r="C190" s="16" t="str">
        <f>TEXT(WEEKDAY(DATE(Diciembre!CalendarioAño,1,1),1),"ddd")</f>
        <v>jue</v>
      </c>
      <c r="D190" s="16" t="str">
        <f>TEXT(WEEKDAY(DATE(Diciembre!CalendarioAño,1,2),1),"ddd")</f>
        <v>vie</v>
      </c>
      <c r="E190" s="16" t="str">
        <f>TEXT(WEEKDAY(DATE(Diciembre!CalendarioAño,1,3),1),"ddd")</f>
        <v>sáb</v>
      </c>
      <c r="F190" s="16" t="str">
        <f>TEXT(WEEKDAY(DATE(Diciembre!CalendarioAño,1,4),1),"ddd")</f>
        <v>dom</v>
      </c>
      <c r="G190" s="16" t="str">
        <f>TEXT(WEEKDAY(DATE(Diciembre!CalendarioAño,1,5),1),"ddd")</f>
        <v>lun</v>
      </c>
      <c r="H190" s="16" t="str">
        <f>TEXT(WEEKDAY(DATE(Diciembre!CalendarioAño,1,6),1),"ddd")</f>
        <v>mar</v>
      </c>
      <c r="I190" s="16" t="str">
        <f>TEXT(WEEKDAY(DATE(Diciembre!CalendarioAño,1,7),1),"ddd")</f>
        <v>mié</v>
      </c>
      <c r="J190" s="16" t="str">
        <f>TEXT(WEEKDAY(DATE(Diciembre!CalendarioAño,1,8),1),"ddd")</f>
        <v>jue</v>
      </c>
      <c r="K190" s="16" t="str">
        <f>TEXT(WEEKDAY(DATE(Diciembre!CalendarioAño,1,9),1),"ddd")</f>
        <v>vie</v>
      </c>
      <c r="L190" s="16" t="str">
        <f>TEXT(WEEKDAY(DATE(Diciembre!CalendarioAño,1,10),1),"ddd")</f>
        <v>sáb</v>
      </c>
      <c r="M190" s="16" t="str">
        <f>TEXT(WEEKDAY(DATE(Diciembre!CalendarioAño,1,11),1),"ddd")</f>
        <v>dom</v>
      </c>
      <c r="N190" s="16" t="str">
        <f>TEXT(WEEKDAY(DATE(Diciembre!CalendarioAño,1,12),1),"ddd")</f>
        <v>lun</v>
      </c>
      <c r="O190" s="16" t="str">
        <f>TEXT(WEEKDAY(DATE(Diciembre!CalendarioAño,1,13),1),"ddd")</f>
        <v>mar</v>
      </c>
      <c r="P190" s="16" t="str">
        <f>TEXT(WEEKDAY(DATE(Diciembre!CalendarioAño,1,14),1),"ddd")</f>
        <v>mié</v>
      </c>
      <c r="Q190" s="16" t="str">
        <f>TEXT(WEEKDAY(DATE(Diciembre!CalendarioAño,1,15),1),"ddd")</f>
        <v>jue</v>
      </c>
      <c r="R190" s="16" t="str">
        <f>TEXT(WEEKDAY(DATE(Diciembre!CalendarioAño,1,16),1),"ddd")</f>
        <v>vie</v>
      </c>
      <c r="S190" s="16" t="str">
        <f>TEXT(WEEKDAY(DATE(Diciembre!CalendarioAño,1,17),1),"ddd")</f>
        <v>sáb</v>
      </c>
      <c r="T190" s="16" t="str">
        <f>TEXT(WEEKDAY(DATE(Diciembre!CalendarioAño,1,18),1),"ddd")</f>
        <v>dom</v>
      </c>
      <c r="U190" s="16" t="str">
        <f>TEXT(WEEKDAY(DATE(Diciembre!CalendarioAño,1,19),1),"ddd")</f>
        <v>lun</v>
      </c>
      <c r="V190" s="16" t="str">
        <f>TEXT(WEEKDAY(DATE(Diciembre!CalendarioAño,1,20),1),"ddd")</f>
        <v>mar</v>
      </c>
      <c r="W190" s="16" t="str">
        <f>TEXT(WEEKDAY(DATE(Diciembre!CalendarioAño,1,21),1),"ddd")</f>
        <v>mié</v>
      </c>
      <c r="X190" s="16" t="str">
        <f>TEXT(WEEKDAY(DATE(Diciembre!CalendarioAño,1,22),1),"ddd")</f>
        <v>jue</v>
      </c>
      <c r="Y190" s="16" t="str">
        <f>TEXT(WEEKDAY(DATE(Diciembre!CalendarioAño,1,23),1),"ddd")</f>
        <v>vie</v>
      </c>
      <c r="Z190" s="16" t="str">
        <f>TEXT(WEEKDAY(DATE(Diciembre!CalendarioAño,1,24),1),"ddd")</f>
        <v>sáb</v>
      </c>
      <c r="AA190" s="16" t="str">
        <f>TEXT(WEEKDAY(DATE(Diciembre!CalendarioAño,1,25),1),"ddd")</f>
        <v>dom</v>
      </c>
      <c r="AB190" s="16" t="str">
        <f>TEXT(WEEKDAY(DATE(Diciembre!CalendarioAño,1,26),1),"ddd")</f>
        <v>lun</v>
      </c>
      <c r="AC190" s="16" t="str">
        <f>TEXT(WEEKDAY(DATE(Diciembre!CalendarioAño,1,27),1),"ddd")</f>
        <v>mar</v>
      </c>
      <c r="AD190" s="16" t="str">
        <f>TEXT(WEEKDAY(DATE(Diciembre!CalendarioAño,1,28),1),"ddd")</f>
        <v>mié</v>
      </c>
      <c r="AE190" s="16" t="str">
        <f>TEXT(WEEKDAY(DATE(Diciembre!CalendarioAño,1,29),1),"ddd")</f>
        <v>jue</v>
      </c>
      <c r="AF190" s="16" t="str">
        <f>TEXT(WEEKDAY(DATE(Diciembre!CalendarioAño,1,30),1),"ddd")</f>
        <v>vie</v>
      </c>
      <c r="AG190" s="16" t="str">
        <f>TEXT(WEEKDAY(DATE(Diciembre!CalendarioAño,1,31),1),"ddd")</f>
        <v>sáb</v>
      </c>
      <c r="AH190" s="57"/>
      <c r="AI190" s="119"/>
      <c r="AJ190" s="119"/>
    </row>
    <row r="191" ht="30.0" customHeight="1">
      <c r="A191" s="18"/>
      <c r="B191" s="66" t="s">
        <v>14</v>
      </c>
      <c r="C191" s="19" t="s">
        <v>15</v>
      </c>
      <c r="D191" s="19" t="s">
        <v>16</v>
      </c>
      <c r="E191" s="19" t="s">
        <v>17</v>
      </c>
      <c r="F191" s="19" t="s">
        <v>18</v>
      </c>
      <c r="G191" s="19" t="s">
        <v>19</v>
      </c>
      <c r="H191" s="19" t="s">
        <v>20</v>
      </c>
      <c r="I191" s="19" t="s">
        <v>21</v>
      </c>
      <c r="J191" s="19" t="s">
        <v>22</v>
      </c>
      <c r="K191" s="19" t="s">
        <v>23</v>
      </c>
      <c r="L191" s="19" t="s">
        <v>24</v>
      </c>
      <c r="M191" s="19" t="s">
        <v>25</v>
      </c>
      <c r="N191" s="19" t="s">
        <v>26</v>
      </c>
      <c r="O191" s="19" t="s">
        <v>27</v>
      </c>
      <c r="P191" s="19" t="s">
        <v>28</v>
      </c>
      <c r="Q191" s="19" t="s">
        <v>29</v>
      </c>
      <c r="R191" s="19" t="s">
        <v>30</v>
      </c>
      <c r="S191" s="19" t="s">
        <v>31</v>
      </c>
      <c r="T191" s="19" t="s">
        <v>32</v>
      </c>
      <c r="U191" s="19" t="s">
        <v>33</v>
      </c>
      <c r="V191" s="19" t="s">
        <v>34</v>
      </c>
      <c r="W191" s="19" t="s">
        <v>35</v>
      </c>
      <c r="X191" s="19" t="s">
        <v>36</v>
      </c>
      <c r="Y191" s="19" t="s">
        <v>37</v>
      </c>
      <c r="Z191" s="19" t="s">
        <v>38</v>
      </c>
      <c r="AA191" s="19" t="s">
        <v>39</v>
      </c>
      <c r="AB191" s="19" t="s">
        <v>40</v>
      </c>
      <c r="AC191" s="19" t="s">
        <v>41</v>
      </c>
      <c r="AD191" s="19" t="s">
        <v>42</v>
      </c>
      <c r="AE191" s="19" t="s">
        <v>43</v>
      </c>
      <c r="AF191" s="19" t="s">
        <v>44</v>
      </c>
      <c r="AG191" s="19" t="s">
        <v>45</v>
      </c>
      <c r="AH191" s="19" t="s">
        <v>46</v>
      </c>
      <c r="AI191" s="19"/>
      <c r="AJ191" s="19"/>
    </row>
    <row r="192" ht="30.0" customHeight="1">
      <c r="A192" s="50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59"/>
      <c r="AI192" s="59"/>
      <c r="AJ192" s="59"/>
    </row>
    <row r="193" ht="30.0" customHeight="1">
      <c r="A193" s="50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7"/>
      <c r="AI193" s="67"/>
      <c r="AJ193" s="67"/>
    </row>
    <row r="194" ht="30.0" customHeight="1">
      <c r="A194" s="50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59"/>
      <c r="AI194" s="59"/>
      <c r="AJ194" s="59"/>
    </row>
    <row r="195" ht="30.0" customHeight="1">
      <c r="A195" s="50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7"/>
      <c r="AI195" s="67"/>
      <c r="AJ195" s="67"/>
    </row>
    <row r="196" ht="30.0" customHeight="1">
      <c r="A196" s="50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59"/>
      <c r="AI196" s="59"/>
      <c r="AJ196" s="59"/>
    </row>
    <row r="197" ht="30.0" customHeight="1">
      <c r="A197" s="50"/>
      <c r="B197" s="62" t="str">
        <f>Diciembre!MonthName&amp;" Total"</f>
        <v>Enero Total</v>
      </c>
      <c r="C197" s="63">
        <f>SUBTOTAL(103,Diciembre!$C$7)</f>
        <v>0</v>
      </c>
      <c r="D197" s="63">
        <f>SUBTOTAL(103,Diciembre!$D$7)</f>
        <v>0</v>
      </c>
      <c r="E197" s="63">
        <f>SUBTOTAL(103,Diciembre!$E$7)</f>
        <v>0</v>
      </c>
      <c r="F197" s="63"/>
      <c r="G197" s="63"/>
      <c r="H197" s="63">
        <f>SUBTOTAL(103,Diciembre!$H$7)</f>
        <v>0</v>
      </c>
      <c r="I197" s="63">
        <f>SUBTOTAL(103,Diciembre!$I$7)</f>
        <v>0</v>
      </c>
      <c r="J197" s="63">
        <f>SUBTOTAL(103,Diciembre!$J$7)</f>
        <v>0</v>
      </c>
      <c r="K197" s="63">
        <f>SUBTOTAL(103,Diciembre!$K$7)</f>
        <v>0</v>
      </c>
      <c r="L197" s="63">
        <f>SUBTOTAL(103,Diciembre!$L$7)</f>
        <v>0</v>
      </c>
      <c r="M197" s="63"/>
      <c r="N197" s="63">
        <f>SUBTOTAL(103,Diciembre!$N$7)</f>
        <v>0</v>
      </c>
      <c r="O197" s="63">
        <f>SUBTOTAL(103,Diciembre!$O$7)</f>
        <v>0</v>
      </c>
      <c r="P197" s="63">
        <f>SUBTOTAL(103,Diciembre!$P$7)</f>
        <v>0</v>
      </c>
      <c r="Q197" s="63">
        <f>SUBTOTAL(103,Diciembre!$Q$7)</f>
        <v>0</v>
      </c>
      <c r="R197" s="63">
        <f>SUBTOTAL(103,Diciembre!$R$7)</f>
        <v>0</v>
      </c>
      <c r="S197" s="63">
        <f>SUBTOTAL(103,Diciembre!$S$7)</f>
        <v>0</v>
      </c>
      <c r="T197" s="63">
        <f>SUBTOTAL(103,Diciembre!$T$7)</f>
        <v>0</v>
      </c>
      <c r="U197" s="63">
        <f>SUBTOTAL(103,Diciembre!$U$7)</f>
        <v>0</v>
      </c>
      <c r="V197" s="63"/>
      <c r="W197" s="63">
        <f>SUBTOTAL(103,Diciembre!$W$7)</f>
        <v>0</v>
      </c>
      <c r="X197" s="63">
        <f>SUBTOTAL(103,Diciembre!$X$7)</f>
        <v>0</v>
      </c>
      <c r="Y197" s="63">
        <f>SUBTOTAL(103,Diciembre!$Y$7)</f>
        <v>0</v>
      </c>
      <c r="Z197" s="63">
        <f>SUBTOTAL(103,Diciembre!$Z$7)</f>
        <v>0</v>
      </c>
      <c r="AA197" s="63">
        <f>SUBTOTAL(103,Diciembre!$AA$7)</f>
        <v>0</v>
      </c>
      <c r="AB197" s="63">
        <f>SUBTOTAL(103,Diciembre!$AB$7)</f>
        <v>0</v>
      </c>
      <c r="AC197" s="63">
        <f>SUBTOTAL(103,Diciembre!$AC$7)</f>
        <v>0</v>
      </c>
      <c r="AD197" s="63">
        <f>SUBTOTAL(103,Diciembre!$AD$7)</f>
        <v>0</v>
      </c>
      <c r="AE197" s="63">
        <f>SUBTOTAL(103,Diciembre!$AE$7)</f>
        <v>0</v>
      </c>
      <c r="AF197" s="63">
        <f>SUBTOTAL(103,Diciembre!$AF$7)</f>
        <v>0</v>
      </c>
      <c r="AG197" s="63">
        <f>SUBTOTAL(103,Diciembre!$AG$7)</f>
        <v>0</v>
      </c>
      <c r="AH197" s="65">
        <f>SUM(C197:AG197)</f>
        <v>0</v>
      </c>
      <c r="AI197" s="65"/>
      <c r="AJ197" s="65"/>
    </row>
    <row r="198" ht="30.0" customHeight="1">
      <c r="AH198" s="5"/>
      <c r="AI198" s="5"/>
      <c r="AJ198" s="5"/>
    </row>
    <row r="199" ht="30.0" customHeight="1">
      <c r="AH199" s="5"/>
      <c r="AI199" s="5"/>
      <c r="AJ199" s="5"/>
    </row>
    <row r="200" ht="30.0" customHeight="1">
      <c r="AH200" s="5"/>
      <c r="AI200" s="5"/>
      <c r="AJ200" s="5"/>
    </row>
    <row r="201" ht="30.0" customHeight="1">
      <c r="AH201" s="5"/>
      <c r="AI201" s="5"/>
      <c r="AJ201" s="5"/>
    </row>
    <row r="202" ht="30.0" customHeight="1">
      <c r="AH202" s="5"/>
      <c r="AI202" s="5"/>
      <c r="AJ202" s="5"/>
    </row>
    <row r="203" ht="30.0" customHeight="1">
      <c r="AH203" s="5"/>
      <c r="AI203" s="5"/>
      <c r="AJ203" s="5"/>
    </row>
    <row r="204" ht="30.0" customHeight="1">
      <c r="AH204" s="5"/>
      <c r="AI204" s="5"/>
      <c r="AJ204" s="5"/>
    </row>
    <row r="205" ht="30.0" customHeight="1">
      <c r="AH205" s="5"/>
      <c r="AI205" s="5"/>
      <c r="AJ205" s="5"/>
    </row>
    <row r="206" ht="30.0" customHeight="1">
      <c r="AH206" s="5"/>
      <c r="AI206" s="5"/>
      <c r="AJ206" s="5"/>
    </row>
    <row r="207" ht="30.0" customHeight="1">
      <c r="AH207" s="5"/>
      <c r="AI207" s="5"/>
      <c r="AJ207" s="5"/>
    </row>
    <row r="208" ht="30.0" customHeight="1">
      <c r="AH208" s="5"/>
      <c r="AI208" s="5"/>
      <c r="AJ208" s="5"/>
    </row>
    <row r="209" ht="30.0" customHeight="1">
      <c r="AH209" s="5"/>
      <c r="AI209" s="5"/>
      <c r="AJ209" s="5"/>
    </row>
    <row r="210" ht="30.0" customHeight="1">
      <c r="AH210" s="5"/>
      <c r="AI210" s="5"/>
      <c r="AJ210" s="5"/>
    </row>
    <row r="211" ht="30.0" customHeight="1">
      <c r="AH211" s="5"/>
      <c r="AI211" s="5"/>
      <c r="AJ211" s="5"/>
    </row>
    <row r="212" ht="30.0" customHeight="1">
      <c r="AH212" s="5"/>
      <c r="AI212" s="5"/>
      <c r="AJ212" s="5"/>
    </row>
    <row r="213" ht="30.0" customHeight="1">
      <c r="AH213" s="5"/>
      <c r="AI213" s="5"/>
      <c r="AJ213" s="5"/>
    </row>
    <row r="214" ht="30.0" customHeight="1">
      <c r="AH214" s="5"/>
      <c r="AI214" s="5"/>
      <c r="AJ214" s="5"/>
    </row>
    <row r="215" ht="30.0" customHeight="1">
      <c r="AH215" s="5"/>
      <c r="AI215" s="5"/>
      <c r="AJ215" s="5"/>
    </row>
    <row r="216" ht="30.0" customHeight="1">
      <c r="AH216" s="5"/>
      <c r="AI216" s="5"/>
      <c r="AJ216" s="5"/>
    </row>
    <row r="217" ht="30.0" customHeight="1">
      <c r="AH217" s="5"/>
      <c r="AI217" s="5"/>
      <c r="AJ217" s="5"/>
    </row>
    <row r="218" ht="30.0" customHeight="1">
      <c r="AH218" s="5"/>
      <c r="AI218" s="5"/>
      <c r="AJ218" s="5"/>
    </row>
    <row r="219" ht="30.0" customHeight="1">
      <c r="AH219" s="5"/>
      <c r="AI219" s="5"/>
      <c r="AJ219" s="5"/>
    </row>
    <row r="220" ht="30.0" customHeight="1">
      <c r="AH220" s="5"/>
      <c r="AI220" s="5"/>
      <c r="AJ220" s="5"/>
    </row>
    <row r="221" ht="30.0" customHeight="1">
      <c r="AH221" s="5"/>
      <c r="AI221" s="5"/>
      <c r="AJ221" s="5"/>
    </row>
    <row r="222" ht="30.0" customHeight="1">
      <c r="AH222" s="5"/>
      <c r="AI222" s="5"/>
      <c r="AJ222" s="5"/>
    </row>
    <row r="223" ht="30.0" customHeight="1">
      <c r="AH223" s="5"/>
      <c r="AI223" s="5"/>
      <c r="AJ223" s="5"/>
    </row>
    <row r="224" ht="30.0" customHeight="1">
      <c r="AH224" s="5"/>
      <c r="AI224" s="5"/>
      <c r="AJ224" s="5"/>
    </row>
    <row r="225" ht="30.0" customHeight="1">
      <c r="AH225" s="5"/>
      <c r="AI225" s="5"/>
      <c r="AJ225" s="5"/>
    </row>
    <row r="226" ht="30.0" customHeight="1">
      <c r="AH226" s="5"/>
      <c r="AI226" s="5"/>
      <c r="AJ226" s="5"/>
    </row>
    <row r="227" ht="30.0" customHeight="1">
      <c r="AH227" s="5"/>
      <c r="AI227" s="5"/>
      <c r="AJ227" s="5"/>
    </row>
    <row r="228" ht="30.0" customHeight="1">
      <c r="AH228" s="5"/>
      <c r="AI228" s="5"/>
      <c r="AJ228" s="5"/>
    </row>
    <row r="229" ht="30.0" customHeight="1">
      <c r="AH229" s="5"/>
      <c r="AI229" s="5"/>
      <c r="AJ229" s="5"/>
    </row>
    <row r="230" ht="30.0" customHeight="1">
      <c r="AH230" s="5"/>
      <c r="AI230" s="5"/>
      <c r="AJ230" s="5"/>
    </row>
    <row r="231" ht="30.0" customHeight="1">
      <c r="AH231" s="5"/>
      <c r="AI231" s="5"/>
      <c r="AJ231" s="5"/>
    </row>
    <row r="232" ht="30.0" customHeight="1">
      <c r="AH232" s="5"/>
      <c r="AI232" s="5"/>
      <c r="AJ232" s="5"/>
    </row>
    <row r="233" ht="30.0" customHeight="1">
      <c r="AH233" s="5"/>
      <c r="AI233" s="5"/>
      <c r="AJ233" s="5"/>
    </row>
    <row r="234" ht="30.0" customHeight="1">
      <c r="AH234" s="5"/>
      <c r="AI234" s="5"/>
      <c r="AJ234" s="5"/>
    </row>
    <row r="235" ht="30.0" customHeight="1">
      <c r="AH235" s="5"/>
      <c r="AI235" s="5"/>
      <c r="AJ235" s="5"/>
    </row>
    <row r="236" ht="30.0" customHeight="1">
      <c r="AH236" s="5"/>
      <c r="AI236" s="5"/>
      <c r="AJ236" s="5"/>
    </row>
    <row r="237" ht="30.0" customHeight="1">
      <c r="AH237" s="5"/>
      <c r="AI237" s="5"/>
      <c r="AJ237" s="5"/>
    </row>
    <row r="238" ht="30.0" customHeight="1">
      <c r="AH238" s="5"/>
      <c r="AI238" s="5"/>
      <c r="AJ238" s="5"/>
    </row>
    <row r="239" ht="30.0" customHeight="1">
      <c r="AH239" s="5"/>
      <c r="AI239" s="5"/>
      <c r="AJ239" s="5"/>
    </row>
    <row r="240" ht="30.0" customHeight="1">
      <c r="AH240" s="5"/>
      <c r="AI240" s="5"/>
      <c r="AJ240" s="5"/>
    </row>
    <row r="241" ht="30.0" customHeight="1">
      <c r="AH241" s="5"/>
      <c r="AI241" s="5"/>
      <c r="AJ241" s="5"/>
    </row>
    <row r="242" ht="30.0" customHeight="1">
      <c r="AH242" s="5"/>
      <c r="AI242" s="5"/>
      <c r="AJ242" s="5"/>
    </row>
    <row r="243" ht="30.0" customHeight="1">
      <c r="AH243" s="5"/>
      <c r="AI243" s="5"/>
      <c r="AJ243" s="5"/>
    </row>
    <row r="244" ht="30.0" customHeight="1">
      <c r="AH244" s="5"/>
      <c r="AI244" s="5"/>
      <c r="AJ244" s="5"/>
    </row>
    <row r="245" ht="30.0" customHeight="1">
      <c r="AH245" s="5"/>
      <c r="AI245" s="5"/>
      <c r="AJ245" s="5"/>
    </row>
    <row r="246" ht="30.0" customHeight="1">
      <c r="AH246" s="5"/>
      <c r="AI246" s="5"/>
      <c r="AJ246" s="5"/>
    </row>
    <row r="247" ht="30.0" customHeight="1">
      <c r="AH247" s="5"/>
      <c r="AI247" s="5"/>
      <c r="AJ247" s="5"/>
    </row>
    <row r="248" ht="30.0" customHeight="1">
      <c r="AH248" s="5"/>
      <c r="AI248" s="5"/>
      <c r="AJ248" s="5"/>
    </row>
    <row r="249" ht="30.0" customHeight="1">
      <c r="AH249" s="5"/>
      <c r="AI249" s="5"/>
      <c r="AJ249" s="5"/>
    </row>
    <row r="250" ht="30.0" customHeight="1">
      <c r="AH250" s="5"/>
      <c r="AI250" s="5"/>
      <c r="AJ250" s="5"/>
    </row>
    <row r="251" ht="30.0" customHeight="1">
      <c r="AH251" s="5"/>
      <c r="AI251" s="5"/>
      <c r="AJ251" s="5"/>
    </row>
    <row r="252" ht="30.0" customHeight="1">
      <c r="AH252" s="5"/>
      <c r="AI252" s="5"/>
      <c r="AJ252" s="5"/>
    </row>
    <row r="253" ht="30.0" customHeight="1">
      <c r="AH253" s="5"/>
      <c r="AI253" s="5"/>
      <c r="AJ253" s="5"/>
    </row>
    <row r="254" ht="30.0" customHeight="1">
      <c r="AH254" s="5"/>
      <c r="AI254" s="5"/>
      <c r="AJ254" s="5"/>
    </row>
    <row r="255" ht="30.0" customHeight="1">
      <c r="AH255" s="5"/>
      <c r="AI255" s="5"/>
      <c r="AJ255" s="5"/>
    </row>
    <row r="256" ht="30.0" customHeight="1">
      <c r="AH256" s="5"/>
      <c r="AI256" s="5"/>
      <c r="AJ256" s="5"/>
    </row>
    <row r="257" ht="30.0" customHeight="1">
      <c r="AH257" s="5"/>
      <c r="AI257" s="5"/>
      <c r="AJ257" s="5"/>
    </row>
    <row r="258" ht="30.0" customHeight="1">
      <c r="AH258" s="5"/>
      <c r="AI258" s="5"/>
      <c r="AJ258" s="5"/>
    </row>
    <row r="259" ht="30.0" customHeight="1">
      <c r="AH259" s="5"/>
      <c r="AI259" s="5"/>
      <c r="AJ259" s="5"/>
    </row>
    <row r="260" ht="30.0" customHeight="1">
      <c r="AH260" s="5"/>
      <c r="AI260" s="5"/>
      <c r="AJ260" s="5"/>
    </row>
    <row r="261" ht="30.0" customHeight="1">
      <c r="AH261" s="5"/>
      <c r="AI261" s="5"/>
      <c r="AJ261" s="5"/>
    </row>
    <row r="262" ht="30.0" customHeight="1">
      <c r="AH262" s="5"/>
      <c r="AI262" s="5"/>
      <c r="AJ262" s="5"/>
    </row>
    <row r="263" ht="30.0" customHeight="1">
      <c r="AH263" s="5"/>
      <c r="AI263" s="5"/>
      <c r="AJ263" s="5"/>
    </row>
    <row r="264" ht="30.0" customHeight="1">
      <c r="AH264" s="5"/>
      <c r="AI264" s="5"/>
      <c r="AJ264" s="5"/>
    </row>
    <row r="265" ht="30.0" customHeight="1">
      <c r="AH265" s="5"/>
      <c r="AI265" s="5"/>
      <c r="AJ265" s="5"/>
    </row>
    <row r="266" ht="30.0" customHeight="1">
      <c r="AH266" s="5"/>
      <c r="AI266" s="5"/>
      <c r="AJ266" s="5"/>
    </row>
    <row r="267" ht="30.0" customHeight="1">
      <c r="AH267" s="5"/>
      <c r="AI267" s="5"/>
      <c r="AJ267" s="5"/>
    </row>
    <row r="268" ht="30.0" customHeight="1">
      <c r="AH268" s="5"/>
      <c r="AI268" s="5"/>
      <c r="AJ268" s="5"/>
    </row>
    <row r="269" ht="30.0" customHeight="1">
      <c r="AH269" s="5"/>
      <c r="AI269" s="5"/>
      <c r="AJ269" s="5"/>
    </row>
    <row r="270" ht="30.0" customHeight="1">
      <c r="AH270" s="5"/>
      <c r="AI270" s="5"/>
      <c r="AJ270" s="5"/>
    </row>
    <row r="271" ht="30.0" customHeight="1">
      <c r="AH271" s="5"/>
      <c r="AI271" s="5"/>
      <c r="AJ271" s="5"/>
    </row>
    <row r="272" ht="30.0" customHeight="1">
      <c r="AH272" s="5"/>
      <c r="AI272" s="5"/>
      <c r="AJ272" s="5"/>
    </row>
    <row r="273" ht="30.0" customHeight="1">
      <c r="AH273" s="5"/>
      <c r="AI273" s="5"/>
      <c r="AJ273" s="5"/>
    </row>
    <row r="274" ht="30.0" customHeight="1">
      <c r="AH274" s="5"/>
      <c r="AI274" s="5"/>
      <c r="AJ274" s="5"/>
    </row>
    <row r="275" ht="30.0" customHeight="1">
      <c r="AH275" s="5"/>
      <c r="AI275" s="5"/>
      <c r="AJ275" s="5"/>
    </row>
    <row r="276" ht="30.0" customHeight="1">
      <c r="AH276" s="5"/>
      <c r="AI276" s="5"/>
      <c r="AJ276" s="5"/>
    </row>
    <row r="277" ht="30.0" customHeight="1">
      <c r="AH277" s="5"/>
      <c r="AI277" s="5"/>
      <c r="AJ277" s="5"/>
    </row>
    <row r="278" ht="30.0" customHeight="1">
      <c r="AH278" s="5"/>
      <c r="AI278" s="5"/>
      <c r="AJ278" s="5"/>
    </row>
    <row r="279" ht="30.0" customHeight="1">
      <c r="AH279" s="5"/>
      <c r="AI279" s="5"/>
      <c r="AJ279" s="5"/>
    </row>
    <row r="280" ht="30.0" customHeight="1">
      <c r="AH280" s="5"/>
      <c r="AI280" s="5"/>
      <c r="AJ280" s="5"/>
    </row>
    <row r="281" ht="30.0" customHeight="1">
      <c r="AH281" s="5"/>
      <c r="AI281" s="5"/>
      <c r="AJ281" s="5"/>
    </row>
    <row r="282" ht="30.0" customHeight="1">
      <c r="AH282" s="5"/>
      <c r="AI282" s="5"/>
      <c r="AJ282" s="5"/>
    </row>
    <row r="283" ht="30.0" customHeight="1">
      <c r="AH283" s="5"/>
      <c r="AI283" s="5"/>
      <c r="AJ283" s="5"/>
    </row>
    <row r="284" ht="30.0" customHeight="1">
      <c r="AH284" s="5"/>
      <c r="AI284" s="5"/>
      <c r="AJ284" s="5"/>
    </row>
    <row r="285" ht="30.0" customHeight="1">
      <c r="AH285" s="5"/>
      <c r="AI285" s="5"/>
      <c r="AJ285" s="5"/>
    </row>
    <row r="286" ht="30.0" customHeight="1">
      <c r="AH286" s="5"/>
      <c r="AI286" s="5"/>
      <c r="AJ286" s="5"/>
    </row>
    <row r="287" ht="30.0" customHeight="1">
      <c r="AH287" s="5"/>
      <c r="AI287" s="5"/>
      <c r="AJ287" s="5"/>
    </row>
    <row r="288" ht="30.0" customHeight="1">
      <c r="AH288" s="5"/>
      <c r="AI288" s="5"/>
      <c r="AJ288" s="5"/>
    </row>
    <row r="289" ht="30.0" customHeight="1">
      <c r="AH289" s="5"/>
      <c r="AI289" s="5"/>
      <c r="AJ289" s="5"/>
    </row>
    <row r="290" ht="30.0" customHeight="1">
      <c r="AH290" s="5"/>
      <c r="AI290" s="5"/>
      <c r="AJ290" s="5"/>
    </row>
    <row r="291" ht="30.0" customHeight="1">
      <c r="AH291" s="5"/>
      <c r="AI291" s="5"/>
      <c r="AJ291" s="5"/>
    </row>
    <row r="292" ht="30.0" customHeight="1">
      <c r="AH292" s="5"/>
      <c r="AI292" s="5"/>
      <c r="AJ292" s="5"/>
    </row>
    <row r="293" ht="30.0" customHeight="1">
      <c r="AH293" s="5"/>
      <c r="AI293" s="5"/>
      <c r="AJ293" s="5"/>
    </row>
    <row r="294" ht="30.0" customHeight="1">
      <c r="AH294" s="5"/>
      <c r="AI294" s="5"/>
      <c r="AJ294" s="5"/>
    </row>
    <row r="295" ht="30.0" customHeight="1">
      <c r="AH295" s="5"/>
      <c r="AI295" s="5"/>
      <c r="AJ295" s="5"/>
    </row>
    <row r="296" ht="30.0" customHeight="1">
      <c r="AH296" s="5"/>
      <c r="AI296" s="5"/>
      <c r="AJ296" s="5"/>
    </row>
    <row r="297" ht="30.0" customHeight="1">
      <c r="AH297" s="5"/>
      <c r="AI297" s="5"/>
      <c r="AJ297" s="5"/>
    </row>
    <row r="298" ht="30.0" customHeight="1">
      <c r="AH298" s="5"/>
      <c r="AI298" s="5"/>
      <c r="AJ298" s="5"/>
    </row>
    <row r="299" ht="30.0" customHeight="1">
      <c r="AH299" s="5"/>
      <c r="AI299" s="5"/>
      <c r="AJ299" s="5"/>
    </row>
    <row r="300" ht="30.0" customHeight="1">
      <c r="AH300" s="5"/>
      <c r="AI300" s="5"/>
      <c r="AJ300" s="5"/>
    </row>
    <row r="301" ht="30.0" customHeight="1">
      <c r="AH301" s="5"/>
      <c r="AI301" s="5"/>
      <c r="AJ301" s="5"/>
    </row>
    <row r="302" ht="30.0" customHeight="1">
      <c r="AH302" s="5"/>
      <c r="AI302" s="5"/>
      <c r="AJ302" s="5"/>
    </row>
    <row r="303" ht="30.0" customHeight="1">
      <c r="AH303" s="5"/>
      <c r="AI303" s="5"/>
      <c r="AJ303" s="5"/>
    </row>
    <row r="304" ht="30.0" customHeight="1">
      <c r="AH304" s="5"/>
      <c r="AI304" s="5"/>
      <c r="AJ304" s="5"/>
    </row>
    <row r="305" ht="30.0" customHeight="1">
      <c r="AH305" s="5"/>
      <c r="AI305" s="5"/>
      <c r="AJ305" s="5"/>
    </row>
    <row r="306" ht="30.0" customHeight="1">
      <c r="AH306" s="5"/>
      <c r="AI306" s="5"/>
      <c r="AJ306" s="5"/>
    </row>
    <row r="307" ht="30.0" customHeight="1">
      <c r="AH307" s="5"/>
      <c r="AI307" s="5"/>
      <c r="AJ307" s="5"/>
    </row>
    <row r="308" ht="30.0" customHeight="1">
      <c r="AH308" s="5"/>
      <c r="AI308" s="5"/>
      <c r="AJ308" s="5"/>
    </row>
    <row r="309" ht="30.0" customHeight="1">
      <c r="AH309" s="5"/>
      <c r="AI309" s="5"/>
      <c r="AJ309" s="5"/>
    </row>
    <row r="310" ht="30.0" customHeight="1">
      <c r="AH310" s="5"/>
      <c r="AI310" s="5"/>
      <c r="AJ310" s="5"/>
    </row>
    <row r="311" ht="30.0" customHeight="1">
      <c r="AH311" s="5"/>
      <c r="AI311" s="5"/>
      <c r="AJ311" s="5"/>
    </row>
    <row r="312" ht="30.0" customHeight="1">
      <c r="AH312" s="5"/>
      <c r="AI312" s="5"/>
      <c r="AJ312" s="5"/>
    </row>
    <row r="313" ht="30.0" customHeight="1">
      <c r="AH313" s="5"/>
      <c r="AI313" s="5"/>
      <c r="AJ313" s="5"/>
    </row>
    <row r="314" ht="30.0" customHeight="1">
      <c r="AH314" s="5"/>
      <c r="AI314" s="5"/>
      <c r="AJ314" s="5"/>
    </row>
    <row r="315" ht="30.0" customHeight="1">
      <c r="AH315" s="5"/>
      <c r="AI315" s="5"/>
      <c r="AJ315" s="5"/>
    </row>
    <row r="316" ht="30.0" customHeight="1">
      <c r="AH316" s="5"/>
      <c r="AI316" s="5"/>
      <c r="AJ316" s="5"/>
    </row>
    <row r="317" ht="30.0" customHeight="1">
      <c r="AH317" s="5"/>
      <c r="AI317" s="5"/>
      <c r="AJ317" s="5"/>
    </row>
    <row r="318" ht="30.0" customHeight="1">
      <c r="AH318" s="5"/>
      <c r="AI318" s="5"/>
      <c r="AJ318" s="5"/>
    </row>
    <row r="319" ht="30.0" customHeight="1">
      <c r="AH319" s="5"/>
      <c r="AI319" s="5"/>
      <c r="AJ319" s="5"/>
    </row>
    <row r="320" ht="30.0" customHeight="1">
      <c r="AH320" s="5"/>
      <c r="AI320" s="5"/>
      <c r="AJ320" s="5"/>
    </row>
    <row r="321" ht="30.0" customHeight="1">
      <c r="AH321" s="5"/>
      <c r="AI321" s="5"/>
      <c r="AJ321" s="5"/>
    </row>
    <row r="322" ht="30.0" customHeight="1">
      <c r="AH322" s="5"/>
      <c r="AI322" s="5"/>
      <c r="AJ322" s="5"/>
    </row>
    <row r="323" ht="30.0" customHeight="1">
      <c r="AH323" s="5"/>
      <c r="AI323" s="5"/>
      <c r="AJ323" s="5"/>
    </row>
    <row r="324" ht="30.0" customHeight="1">
      <c r="AH324" s="5"/>
      <c r="AI324" s="5"/>
      <c r="AJ324" s="5"/>
    </row>
    <row r="325" ht="30.0" customHeight="1">
      <c r="AH325" s="5"/>
      <c r="AI325" s="5"/>
      <c r="AJ325" s="5"/>
    </row>
    <row r="326" ht="30.0" customHeight="1">
      <c r="AH326" s="5"/>
      <c r="AI326" s="5"/>
      <c r="AJ326" s="5"/>
    </row>
    <row r="327" ht="30.0" customHeight="1">
      <c r="AH327" s="5"/>
      <c r="AI327" s="5"/>
      <c r="AJ327" s="5"/>
    </row>
    <row r="328" ht="30.0" customHeight="1">
      <c r="AH328" s="5"/>
      <c r="AI328" s="5"/>
      <c r="AJ328" s="5"/>
    </row>
    <row r="329" ht="30.0" customHeight="1">
      <c r="AH329" s="5"/>
      <c r="AI329" s="5"/>
      <c r="AJ329" s="5"/>
    </row>
    <row r="330" ht="30.0" customHeight="1">
      <c r="AH330" s="5"/>
      <c r="AI330" s="5"/>
      <c r="AJ330" s="5"/>
    </row>
    <row r="331" ht="30.0" customHeight="1">
      <c r="AH331" s="5"/>
      <c r="AI331" s="5"/>
      <c r="AJ331" s="5"/>
    </row>
    <row r="332" ht="30.0" customHeight="1">
      <c r="AH332" s="5"/>
      <c r="AI332" s="5"/>
      <c r="AJ332" s="5"/>
    </row>
    <row r="333" ht="30.0" customHeight="1">
      <c r="AH333" s="5"/>
      <c r="AI333" s="5"/>
      <c r="AJ333" s="5"/>
    </row>
    <row r="334" ht="30.0" customHeight="1">
      <c r="AH334" s="5"/>
      <c r="AI334" s="5"/>
      <c r="AJ334" s="5"/>
    </row>
    <row r="335" ht="30.0" customHeight="1">
      <c r="AH335" s="5"/>
      <c r="AI335" s="5"/>
      <c r="AJ335" s="5"/>
    </row>
    <row r="336" ht="30.0" customHeight="1">
      <c r="AH336" s="5"/>
      <c r="AI336" s="5"/>
      <c r="AJ336" s="5"/>
    </row>
    <row r="337" ht="30.0" customHeight="1">
      <c r="AH337" s="5"/>
      <c r="AI337" s="5"/>
      <c r="AJ337" s="5"/>
    </row>
    <row r="338" ht="30.0" customHeight="1">
      <c r="AH338" s="5"/>
      <c r="AI338" s="5"/>
      <c r="AJ338" s="5"/>
    </row>
    <row r="339" ht="30.0" customHeight="1">
      <c r="AH339" s="5"/>
      <c r="AI339" s="5"/>
      <c r="AJ339" s="5"/>
    </row>
    <row r="340" ht="30.0" customHeight="1">
      <c r="AH340" s="5"/>
      <c r="AI340" s="5"/>
      <c r="AJ340" s="5"/>
    </row>
    <row r="341" ht="30.0" customHeight="1">
      <c r="AH341" s="5"/>
      <c r="AI341" s="5"/>
      <c r="AJ341" s="5"/>
    </row>
    <row r="342" ht="30.0" customHeight="1">
      <c r="AH342" s="5"/>
      <c r="AI342" s="5"/>
      <c r="AJ342" s="5"/>
    </row>
    <row r="343" ht="30.0" customHeight="1">
      <c r="AH343" s="5"/>
      <c r="AI343" s="5"/>
      <c r="AJ343" s="5"/>
    </row>
    <row r="344" ht="30.0" customHeight="1">
      <c r="AH344" s="5"/>
      <c r="AI344" s="5"/>
      <c r="AJ344" s="5"/>
    </row>
    <row r="345" ht="30.0" customHeight="1">
      <c r="AH345" s="5"/>
      <c r="AI345" s="5"/>
      <c r="AJ345" s="5"/>
    </row>
    <row r="346" ht="30.0" customHeight="1">
      <c r="AH346" s="5"/>
      <c r="AI346" s="5"/>
      <c r="AJ346" s="5"/>
    </row>
    <row r="347" ht="30.0" customHeight="1">
      <c r="AH347" s="5"/>
      <c r="AI347" s="5"/>
      <c r="AJ347" s="5"/>
    </row>
    <row r="348" ht="30.0" customHeight="1">
      <c r="AH348" s="5"/>
      <c r="AI348" s="5"/>
      <c r="AJ348" s="5"/>
    </row>
    <row r="349" ht="30.0" customHeight="1">
      <c r="AH349" s="5"/>
      <c r="AI349" s="5"/>
      <c r="AJ349" s="5"/>
    </row>
    <row r="350" ht="30.0" customHeight="1">
      <c r="AH350" s="5"/>
      <c r="AI350" s="5"/>
      <c r="AJ350" s="5"/>
    </row>
    <row r="351" ht="30.0" customHeight="1">
      <c r="AH351" s="5"/>
      <c r="AI351" s="5"/>
      <c r="AJ351" s="5"/>
    </row>
    <row r="352" ht="30.0" customHeight="1">
      <c r="AH352" s="5"/>
      <c r="AI352" s="5"/>
      <c r="AJ352" s="5"/>
    </row>
    <row r="353" ht="30.0" customHeight="1">
      <c r="AH353" s="5"/>
      <c r="AI353" s="5"/>
      <c r="AJ353" s="5"/>
    </row>
    <row r="354" ht="30.0" customHeight="1">
      <c r="AH354" s="5"/>
      <c r="AI354" s="5"/>
      <c r="AJ354" s="5"/>
    </row>
    <row r="355" ht="30.0" customHeight="1">
      <c r="AH355" s="5"/>
      <c r="AI355" s="5"/>
      <c r="AJ355" s="5"/>
    </row>
    <row r="356" ht="30.0" customHeight="1">
      <c r="AH356" s="5"/>
      <c r="AI356" s="5"/>
      <c r="AJ356" s="5"/>
    </row>
    <row r="357" ht="30.0" customHeight="1">
      <c r="AH357" s="5"/>
      <c r="AI357" s="5"/>
      <c r="AJ357" s="5"/>
    </row>
    <row r="358" ht="30.0" customHeight="1">
      <c r="AH358" s="5"/>
      <c r="AI358" s="5"/>
      <c r="AJ358" s="5"/>
    </row>
    <row r="359" ht="30.0" customHeight="1">
      <c r="AH359" s="5"/>
      <c r="AI359" s="5"/>
      <c r="AJ359" s="5"/>
    </row>
    <row r="360" ht="30.0" customHeight="1">
      <c r="AH360" s="5"/>
      <c r="AI360" s="5"/>
      <c r="AJ360" s="5"/>
    </row>
    <row r="361" ht="30.0" customHeight="1">
      <c r="AH361" s="5"/>
      <c r="AI361" s="5"/>
      <c r="AJ361" s="5"/>
    </row>
    <row r="362" ht="30.0" customHeight="1">
      <c r="AH362" s="5"/>
      <c r="AI362" s="5"/>
      <c r="AJ362" s="5"/>
    </row>
    <row r="363" ht="30.0" customHeight="1">
      <c r="AH363" s="5"/>
      <c r="AI363" s="5"/>
      <c r="AJ363" s="5"/>
    </row>
    <row r="364" ht="30.0" customHeight="1">
      <c r="AH364" s="5"/>
      <c r="AI364" s="5"/>
      <c r="AJ364" s="5"/>
    </row>
    <row r="365" ht="30.0" customHeight="1">
      <c r="AH365" s="5"/>
      <c r="AI365" s="5"/>
      <c r="AJ365" s="5"/>
    </row>
    <row r="366" ht="30.0" customHeight="1">
      <c r="AH366" s="5"/>
      <c r="AI366" s="5"/>
      <c r="AJ366" s="5"/>
    </row>
    <row r="367" ht="30.0" customHeight="1">
      <c r="AH367" s="5"/>
      <c r="AI367" s="5"/>
      <c r="AJ367" s="5"/>
    </row>
    <row r="368" ht="30.0" customHeight="1">
      <c r="AH368" s="5"/>
      <c r="AI368" s="5"/>
      <c r="AJ368" s="5"/>
    </row>
    <row r="369" ht="30.0" customHeight="1">
      <c r="AH369" s="5"/>
      <c r="AI369" s="5"/>
      <c r="AJ369" s="5"/>
    </row>
    <row r="370" ht="30.0" customHeight="1">
      <c r="AH370" s="5"/>
      <c r="AI370" s="5"/>
      <c r="AJ370" s="5"/>
    </row>
    <row r="371" ht="30.0" customHeight="1">
      <c r="AH371" s="5"/>
      <c r="AI371" s="5"/>
      <c r="AJ371" s="5"/>
    </row>
    <row r="372" ht="30.0" customHeight="1">
      <c r="AH372" s="5"/>
      <c r="AI372" s="5"/>
      <c r="AJ372" s="5"/>
    </row>
    <row r="373" ht="30.0" customHeight="1">
      <c r="AH373" s="5"/>
      <c r="AI373" s="5"/>
      <c r="AJ373" s="5"/>
    </row>
    <row r="374" ht="30.0" customHeight="1">
      <c r="AH374" s="5"/>
      <c r="AI374" s="5"/>
      <c r="AJ374" s="5"/>
    </row>
    <row r="375" ht="30.0" customHeight="1">
      <c r="AH375" s="5"/>
      <c r="AI375" s="5"/>
      <c r="AJ375" s="5"/>
    </row>
    <row r="376" ht="30.0" customHeight="1">
      <c r="AH376" s="5"/>
      <c r="AI376" s="5"/>
      <c r="AJ376" s="5"/>
    </row>
    <row r="377" ht="30.0" customHeight="1">
      <c r="AH377" s="5"/>
      <c r="AI377" s="5"/>
      <c r="AJ377" s="5"/>
    </row>
    <row r="378" ht="30.0" customHeight="1">
      <c r="AH378" s="5"/>
      <c r="AI378" s="5"/>
      <c r="AJ378" s="5"/>
    </row>
    <row r="379" ht="30.0" customHeight="1">
      <c r="AH379" s="5"/>
      <c r="AI379" s="5"/>
      <c r="AJ379" s="5"/>
    </row>
    <row r="380" ht="30.0" customHeight="1">
      <c r="AH380" s="5"/>
      <c r="AI380" s="5"/>
      <c r="AJ380" s="5"/>
    </row>
    <row r="381" ht="30.0" customHeight="1">
      <c r="AH381" s="5"/>
      <c r="AI381" s="5"/>
      <c r="AJ381" s="5"/>
    </row>
    <row r="382" ht="30.0" customHeight="1">
      <c r="AH382" s="5"/>
      <c r="AI382" s="5"/>
      <c r="AJ382" s="5"/>
    </row>
    <row r="383" ht="30.0" customHeight="1">
      <c r="AH383" s="5"/>
      <c r="AI383" s="5"/>
      <c r="AJ383" s="5"/>
    </row>
    <row r="384" ht="30.0" customHeight="1">
      <c r="AH384" s="5"/>
      <c r="AI384" s="5"/>
      <c r="AJ384" s="5"/>
    </row>
    <row r="385" ht="30.0" customHeight="1">
      <c r="AH385" s="5"/>
      <c r="AI385" s="5"/>
      <c r="AJ385" s="5"/>
    </row>
    <row r="386" ht="30.0" customHeight="1">
      <c r="AH386" s="5"/>
      <c r="AI386" s="5"/>
      <c r="AJ386" s="5"/>
    </row>
    <row r="387" ht="30.0" customHeight="1">
      <c r="AH387" s="5"/>
      <c r="AI387" s="5"/>
      <c r="AJ387" s="5"/>
    </row>
    <row r="388" ht="30.0" customHeight="1">
      <c r="AH388" s="5"/>
      <c r="AI388" s="5"/>
      <c r="AJ388" s="5"/>
    </row>
    <row r="389" ht="30.0" customHeight="1">
      <c r="AH389" s="5"/>
      <c r="AI389" s="5"/>
      <c r="AJ389" s="5"/>
    </row>
    <row r="390" ht="30.0" customHeight="1">
      <c r="AH390" s="5"/>
      <c r="AI390" s="5"/>
      <c r="AJ390" s="5"/>
    </row>
    <row r="391" ht="30.0" customHeight="1">
      <c r="AH391" s="5"/>
      <c r="AI391" s="5"/>
      <c r="AJ391" s="5"/>
    </row>
    <row r="392" ht="30.0" customHeight="1">
      <c r="AH392" s="5"/>
      <c r="AI392" s="5"/>
      <c r="AJ392" s="5"/>
    </row>
    <row r="393" ht="30.0" customHeight="1">
      <c r="AH393" s="5"/>
      <c r="AI393" s="5"/>
      <c r="AJ393" s="5"/>
    </row>
    <row r="394" ht="30.0" customHeight="1">
      <c r="AH394" s="5"/>
      <c r="AI394" s="5"/>
      <c r="AJ394" s="5"/>
    </row>
    <row r="395" ht="30.0" customHeight="1">
      <c r="AH395" s="5"/>
      <c r="AI395" s="5"/>
      <c r="AJ395" s="5"/>
    </row>
    <row r="396" ht="30.0" customHeight="1">
      <c r="AH396" s="5"/>
      <c r="AI396" s="5"/>
      <c r="AJ396" s="5"/>
    </row>
    <row r="397" ht="30.0" customHeight="1">
      <c r="AH397" s="5"/>
      <c r="AI397" s="5"/>
      <c r="AJ397" s="5"/>
    </row>
    <row r="398" ht="30.0" customHeight="1">
      <c r="AH398" s="5"/>
      <c r="AI398" s="5"/>
      <c r="AJ398" s="5"/>
    </row>
    <row r="399" ht="30.0" customHeight="1">
      <c r="AH399" s="5"/>
      <c r="AI399" s="5"/>
      <c r="AJ399" s="5"/>
    </row>
    <row r="400" ht="30.0" customHeight="1">
      <c r="AH400" s="5"/>
      <c r="AI400" s="5"/>
      <c r="AJ400" s="5"/>
    </row>
    <row r="401" ht="30.0" customHeight="1">
      <c r="AH401" s="5"/>
      <c r="AI401" s="5"/>
      <c r="AJ401" s="5"/>
    </row>
    <row r="402" ht="30.0" customHeight="1">
      <c r="AH402" s="5"/>
      <c r="AI402" s="5"/>
      <c r="AJ402" s="5"/>
    </row>
    <row r="403" ht="30.0" customHeight="1">
      <c r="AH403" s="5"/>
      <c r="AI403" s="5"/>
      <c r="AJ403" s="5"/>
    </row>
    <row r="404" ht="30.0" customHeight="1">
      <c r="AH404" s="5"/>
      <c r="AI404" s="5"/>
      <c r="AJ404" s="5"/>
    </row>
    <row r="405" ht="30.0" customHeight="1">
      <c r="AH405" s="5"/>
      <c r="AI405" s="5"/>
      <c r="AJ405" s="5"/>
    </row>
    <row r="406" ht="30.0" customHeight="1">
      <c r="AH406" s="5"/>
      <c r="AI406" s="5"/>
      <c r="AJ406" s="5"/>
    </row>
    <row r="407" ht="30.0" customHeight="1">
      <c r="AH407" s="5"/>
      <c r="AI407" s="5"/>
      <c r="AJ407" s="5"/>
    </row>
    <row r="408" ht="30.0" customHeight="1">
      <c r="AH408" s="5"/>
      <c r="AI408" s="5"/>
      <c r="AJ408" s="5"/>
    </row>
    <row r="409" ht="30.0" customHeight="1">
      <c r="AH409" s="5"/>
      <c r="AI409" s="5"/>
      <c r="AJ409" s="5"/>
    </row>
    <row r="410" ht="30.0" customHeight="1">
      <c r="AH410" s="5"/>
      <c r="AI410" s="5"/>
      <c r="AJ410" s="5"/>
    </row>
    <row r="411" ht="30.0" customHeight="1">
      <c r="AH411" s="5"/>
      <c r="AI411" s="5"/>
      <c r="AJ411" s="5"/>
    </row>
    <row r="412" ht="30.0" customHeight="1">
      <c r="AH412" s="5"/>
      <c r="AI412" s="5"/>
      <c r="AJ412" s="5"/>
    </row>
    <row r="413" ht="30.0" customHeight="1">
      <c r="AH413" s="5"/>
      <c r="AI413" s="5"/>
      <c r="AJ413" s="5"/>
    </row>
    <row r="414" ht="30.0" customHeight="1">
      <c r="AH414" s="5"/>
      <c r="AI414" s="5"/>
      <c r="AJ414" s="5"/>
    </row>
    <row r="415" ht="30.0" customHeight="1">
      <c r="AH415" s="5"/>
      <c r="AI415" s="5"/>
      <c r="AJ415" s="5"/>
    </row>
    <row r="416" ht="30.0" customHeight="1">
      <c r="AH416" s="5"/>
      <c r="AI416" s="5"/>
      <c r="AJ416" s="5"/>
    </row>
    <row r="417" ht="30.0" customHeight="1">
      <c r="AH417" s="5"/>
      <c r="AI417" s="5"/>
      <c r="AJ417" s="5"/>
    </row>
    <row r="418" ht="30.0" customHeight="1">
      <c r="AH418" s="5"/>
      <c r="AI418" s="5"/>
      <c r="AJ418" s="5"/>
    </row>
    <row r="419" ht="30.0" customHeight="1">
      <c r="AH419" s="5"/>
      <c r="AI419" s="5"/>
      <c r="AJ419" s="5"/>
    </row>
    <row r="420" ht="30.0" customHeight="1">
      <c r="AH420" s="5"/>
      <c r="AI420" s="5"/>
      <c r="AJ420" s="5"/>
    </row>
    <row r="421" ht="30.0" customHeight="1">
      <c r="AH421" s="5"/>
      <c r="AI421" s="5"/>
      <c r="AJ421" s="5"/>
    </row>
    <row r="422" ht="30.0" customHeight="1">
      <c r="AH422" s="5"/>
      <c r="AI422" s="5"/>
      <c r="AJ422" s="5"/>
    </row>
    <row r="423" ht="30.0" customHeight="1">
      <c r="AH423" s="5"/>
      <c r="AI423" s="5"/>
      <c r="AJ423" s="5"/>
    </row>
    <row r="424" ht="30.0" customHeight="1">
      <c r="AH424" s="5"/>
      <c r="AI424" s="5"/>
      <c r="AJ424" s="5"/>
    </row>
    <row r="425" ht="30.0" customHeight="1">
      <c r="AH425" s="5"/>
      <c r="AI425" s="5"/>
      <c r="AJ425" s="5"/>
    </row>
    <row r="426" ht="30.0" customHeight="1">
      <c r="AH426" s="5"/>
      <c r="AI426" s="5"/>
      <c r="AJ426" s="5"/>
    </row>
    <row r="427" ht="30.0" customHeight="1">
      <c r="AH427" s="5"/>
      <c r="AI427" s="5"/>
      <c r="AJ427" s="5"/>
    </row>
    <row r="428" ht="30.0" customHeight="1">
      <c r="AH428" s="5"/>
      <c r="AI428" s="5"/>
      <c r="AJ428" s="5"/>
    </row>
    <row r="429" ht="30.0" customHeight="1">
      <c r="AH429" s="5"/>
      <c r="AI429" s="5"/>
      <c r="AJ429" s="5"/>
    </row>
    <row r="430" ht="30.0" customHeight="1">
      <c r="AH430" s="5"/>
      <c r="AI430" s="5"/>
      <c r="AJ430" s="5"/>
    </row>
    <row r="431" ht="30.0" customHeight="1">
      <c r="AH431" s="5"/>
      <c r="AI431" s="5"/>
      <c r="AJ431" s="5"/>
    </row>
    <row r="432" ht="30.0" customHeight="1">
      <c r="AH432" s="5"/>
      <c r="AI432" s="5"/>
      <c r="AJ432" s="5"/>
    </row>
    <row r="433" ht="30.0" customHeight="1">
      <c r="AH433" s="5"/>
      <c r="AI433" s="5"/>
      <c r="AJ433" s="5"/>
    </row>
    <row r="434" ht="30.0" customHeight="1">
      <c r="AH434" s="5"/>
      <c r="AI434" s="5"/>
      <c r="AJ434" s="5"/>
    </row>
    <row r="435" ht="30.0" customHeight="1">
      <c r="AH435" s="5"/>
      <c r="AI435" s="5"/>
      <c r="AJ435" s="5"/>
    </row>
    <row r="436" ht="30.0" customHeight="1">
      <c r="AH436" s="5"/>
      <c r="AI436" s="5"/>
      <c r="AJ436" s="5"/>
    </row>
    <row r="437" ht="30.0" customHeight="1">
      <c r="AH437" s="5"/>
      <c r="AI437" s="5"/>
      <c r="AJ437" s="5"/>
    </row>
    <row r="438" ht="30.0" customHeight="1">
      <c r="AH438" s="5"/>
      <c r="AI438" s="5"/>
      <c r="AJ438" s="5"/>
    </row>
    <row r="439" ht="30.0" customHeight="1">
      <c r="AH439" s="5"/>
      <c r="AI439" s="5"/>
      <c r="AJ439" s="5"/>
    </row>
    <row r="440" ht="30.0" customHeight="1">
      <c r="AH440" s="5"/>
      <c r="AI440" s="5"/>
      <c r="AJ440" s="5"/>
    </row>
    <row r="441" ht="30.0" customHeight="1">
      <c r="AH441" s="5"/>
      <c r="AI441" s="5"/>
      <c r="AJ441" s="5"/>
    </row>
    <row r="442" ht="30.0" customHeight="1">
      <c r="AH442" s="5"/>
      <c r="AI442" s="5"/>
      <c r="AJ442" s="5"/>
    </row>
    <row r="443" ht="30.0" customHeight="1">
      <c r="AH443" s="5"/>
      <c r="AI443" s="5"/>
      <c r="AJ443" s="5"/>
    </row>
    <row r="444" ht="30.0" customHeight="1">
      <c r="AH444" s="5"/>
      <c r="AI444" s="5"/>
      <c r="AJ444" s="5"/>
    </row>
    <row r="445" ht="30.0" customHeight="1">
      <c r="AH445" s="5"/>
      <c r="AI445" s="5"/>
      <c r="AJ445" s="5"/>
    </row>
    <row r="446" ht="30.0" customHeight="1">
      <c r="AH446" s="5"/>
      <c r="AI446" s="5"/>
      <c r="AJ446" s="5"/>
    </row>
    <row r="447" ht="30.0" customHeight="1">
      <c r="AH447" s="5"/>
      <c r="AI447" s="5"/>
      <c r="AJ447" s="5"/>
    </row>
    <row r="448" ht="30.0" customHeight="1">
      <c r="AH448" s="5"/>
      <c r="AI448" s="5"/>
      <c r="AJ448" s="5"/>
    </row>
    <row r="449" ht="30.0" customHeight="1">
      <c r="AH449" s="5"/>
      <c r="AI449" s="5"/>
      <c r="AJ449" s="5"/>
    </row>
    <row r="450" ht="30.0" customHeight="1">
      <c r="AH450" s="5"/>
      <c r="AI450" s="5"/>
      <c r="AJ450" s="5"/>
    </row>
    <row r="451" ht="30.0" customHeight="1">
      <c r="AH451" s="5"/>
      <c r="AI451" s="5"/>
      <c r="AJ451" s="5"/>
    </row>
    <row r="452" ht="30.0" customHeight="1">
      <c r="AH452" s="5"/>
      <c r="AI452" s="5"/>
      <c r="AJ452" s="5"/>
    </row>
    <row r="453" ht="30.0" customHeight="1">
      <c r="AH453" s="5"/>
      <c r="AI453" s="5"/>
      <c r="AJ453" s="5"/>
    </row>
    <row r="454" ht="30.0" customHeight="1">
      <c r="AH454" s="5"/>
      <c r="AI454" s="5"/>
      <c r="AJ454" s="5"/>
    </row>
    <row r="455" ht="30.0" customHeight="1">
      <c r="AH455" s="5"/>
      <c r="AI455" s="5"/>
      <c r="AJ455" s="5"/>
    </row>
    <row r="456" ht="30.0" customHeight="1">
      <c r="AH456" s="5"/>
      <c r="AI456" s="5"/>
      <c r="AJ456" s="5"/>
    </row>
    <row r="457" ht="30.0" customHeight="1">
      <c r="AH457" s="5"/>
      <c r="AI457" s="5"/>
      <c r="AJ457" s="5"/>
    </row>
    <row r="458" ht="30.0" customHeight="1">
      <c r="AH458" s="5"/>
      <c r="AI458" s="5"/>
      <c r="AJ458" s="5"/>
    </row>
    <row r="459" ht="30.0" customHeight="1">
      <c r="AH459" s="5"/>
      <c r="AI459" s="5"/>
      <c r="AJ459" s="5"/>
    </row>
    <row r="460" ht="30.0" customHeight="1">
      <c r="AH460" s="5"/>
      <c r="AI460" s="5"/>
      <c r="AJ460" s="5"/>
    </row>
    <row r="461" ht="30.0" customHeight="1">
      <c r="AH461" s="5"/>
      <c r="AI461" s="5"/>
      <c r="AJ461" s="5"/>
    </row>
    <row r="462" ht="30.0" customHeight="1">
      <c r="AH462" s="5"/>
      <c r="AI462" s="5"/>
      <c r="AJ462" s="5"/>
    </row>
    <row r="463" ht="30.0" customHeight="1">
      <c r="AH463" s="5"/>
      <c r="AI463" s="5"/>
      <c r="AJ463" s="5"/>
    </row>
    <row r="464" ht="30.0" customHeight="1">
      <c r="AH464" s="5"/>
      <c r="AI464" s="5"/>
      <c r="AJ464" s="5"/>
    </row>
    <row r="465" ht="30.0" customHeight="1">
      <c r="AH465" s="5"/>
      <c r="AI465" s="5"/>
      <c r="AJ465" s="5"/>
    </row>
    <row r="466" ht="30.0" customHeight="1">
      <c r="AH466" s="5"/>
      <c r="AI466" s="5"/>
      <c r="AJ466" s="5"/>
    </row>
    <row r="467" ht="30.0" customHeight="1">
      <c r="AH467" s="5"/>
      <c r="AI467" s="5"/>
      <c r="AJ467" s="5"/>
    </row>
    <row r="468" ht="30.0" customHeight="1">
      <c r="AH468" s="5"/>
      <c r="AI468" s="5"/>
      <c r="AJ468" s="5"/>
    </row>
    <row r="469" ht="30.0" customHeight="1">
      <c r="AH469" s="5"/>
      <c r="AI469" s="5"/>
      <c r="AJ469" s="5"/>
    </row>
    <row r="470" ht="30.0" customHeight="1">
      <c r="AH470" s="5"/>
      <c r="AI470" s="5"/>
      <c r="AJ470" s="5"/>
    </row>
    <row r="471" ht="30.0" customHeight="1">
      <c r="AH471" s="5"/>
      <c r="AI471" s="5"/>
      <c r="AJ471" s="5"/>
    </row>
    <row r="472" ht="30.0" customHeight="1">
      <c r="AH472" s="5"/>
      <c r="AI472" s="5"/>
      <c r="AJ472" s="5"/>
    </row>
    <row r="473" ht="30.0" customHeight="1">
      <c r="AH473" s="5"/>
      <c r="AI473" s="5"/>
      <c r="AJ473" s="5"/>
    </row>
    <row r="474" ht="30.0" customHeight="1">
      <c r="AH474" s="5"/>
      <c r="AI474" s="5"/>
      <c r="AJ474" s="5"/>
    </row>
    <row r="475" ht="30.0" customHeight="1">
      <c r="AH475" s="5"/>
      <c r="AI475" s="5"/>
      <c r="AJ475" s="5"/>
    </row>
    <row r="476" ht="30.0" customHeight="1">
      <c r="AH476" s="5"/>
      <c r="AI476" s="5"/>
      <c r="AJ476" s="5"/>
    </row>
    <row r="477" ht="30.0" customHeight="1">
      <c r="AH477" s="5"/>
      <c r="AI477" s="5"/>
      <c r="AJ477" s="5"/>
    </row>
    <row r="478" ht="30.0" customHeight="1">
      <c r="AH478" s="5"/>
      <c r="AI478" s="5"/>
      <c r="AJ478" s="5"/>
    </row>
    <row r="479" ht="30.0" customHeight="1">
      <c r="AH479" s="5"/>
      <c r="AI479" s="5"/>
      <c r="AJ479" s="5"/>
    </row>
    <row r="480" ht="30.0" customHeight="1">
      <c r="AH480" s="5"/>
      <c r="AI480" s="5"/>
      <c r="AJ480" s="5"/>
    </row>
    <row r="481" ht="30.0" customHeight="1">
      <c r="AH481" s="5"/>
      <c r="AI481" s="5"/>
      <c r="AJ481" s="5"/>
    </row>
    <row r="482" ht="30.0" customHeight="1">
      <c r="AH482" s="5"/>
      <c r="AI482" s="5"/>
      <c r="AJ482" s="5"/>
    </row>
    <row r="483" ht="30.0" customHeight="1">
      <c r="AH483" s="5"/>
      <c r="AI483" s="5"/>
      <c r="AJ483" s="5"/>
    </row>
    <row r="484" ht="30.0" customHeight="1">
      <c r="AH484" s="5"/>
      <c r="AI484" s="5"/>
      <c r="AJ484" s="5"/>
    </row>
    <row r="485" ht="30.0" customHeight="1">
      <c r="AH485" s="5"/>
      <c r="AI485" s="5"/>
      <c r="AJ485" s="5"/>
    </row>
    <row r="486" ht="30.0" customHeight="1">
      <c r="AH486" s="5"/>
      <c r="AI486" s="5"/>
      <c r="AJ486" s="5"/>
    </row>
    <row r="487" ht="30.0" customHeight="1">
      <c r="AH487" s="5"/>
      <c r="AI487" s="5"/>
      <c r="AJ487" s="5"/>
    </row>
    <row r="488" ht="30.0" customHeight="1">
      <c r="AH488" s="5"/>
      <c r="AI488" s="5"/>
      <c r="AJ488" s="5"/>
    </row>
    <row r="489" ht="30.0" customHeight="1">
      <c r="AH489" s="5"/>
      <c r="AI489" s="5"/>
      <c r="AJ489" s="5"/>
    </row>
    <row r="490" ht="30.0" customHeight="1">
      <c r="AH490" s="5"/>
      <c r="AI490" s="5"/>
      <c r="AJ490" s="5"/>
    </row>
    <row r="491" ht="30.0" customHeight="1">
      <c r="AH491" s="5"/>
      <c r="AI491" s="5"/>
      <c r="AJ491" s="5"/>
    </row>
    <row r="492" ht="30.0" customHeight="1">
      <c r="AH492" s="5"/>
      <c r="AI492" s="5"/>
      <c r="AJ492" s="5"/>
    </row>
    <row r="493" ht="30.0" customHeight="1">
      <c r="AH493" s="5"/>
      <c r="AI493" s="5"/>
      <c r="AJ493" s="5"/>
    </row>
    <row r="494" ht="30.0" customHeight="1">
      <c r="AH494" s="5"/>
      <c r="AI494" s="5"/>
      <c r="AJ494" s="5"/>
    </row>
    <row r="495" ht="30.0" customHeight="1">
      <c r="AH495" s="5"/>
      <c r="AI495" s="5"/>
      <c r="AJ495" s="5"/>
    </row>
    <row r="496" ht="30.0" customHeight="1">
      <c r="AH496" s="5"/>
      <c r="AI496" s="5"/>
      <c r="AJ496" s="5"/>
    </row>
    <row r="497" ht="30.0" customHeight="1">
      <c r="AH497" s="5"/>
      <c r="AI497" s="5"/>
      <c r="AJ497" s="5"/>
    </row>
    <row r="498" ht="30.0" customHeight="1">
      <c r="AH498" s="5"/>
      <c r="AI498" s="5"/>
      <c r="AJ498" s="5"/>
    </row>
    <row r="499" ht="30.0" customHeight="1">
      <c r="AH499" s="5"/>
      <c r="AI499" s="5"/>
      <c r="AJ499" s="5"/>
    </row>
    <row r="500" ht="30.0" customHeight="1">
      <c r="AH500" s="5"/>
      <c r="AI500" s="5"/>
      <c r="AJ500" s="5"/>
    </row>
    <row r="501" ht="30.0" customHeight="1">
      <c r="AH501" s="5"/>
      <c r="AI501" s="5"/>
      <c r="AJ501" s="5"/>
    </row>
    <row r="502" ht="30.0" customHeight="1">
      <c r="AH502" s="5"/>
      <c r="AI502" s="5"/>
      <c r="AJ502" s="5"/>
    </row>
    <row r="503" ht="30.0" customHeight="1">
      <c r="AH503" s="5"/>
      <c r="AI503" s="5"/>
      <c r="AJ503" s="5"/>
    </row>
    <row r="504" ht="30.0" customHeight="1">
      <c r="AH504" s="5"/>
      <c r="AI504" s="5"/>
      <c r="AJ504" s="5"/>
    </row>
    <row r="505" ht="30.0" customHeight="1">
      <c r="AH505" s="5"/>
      <c r="AI505" s="5"/>
      <c r="AJ505" s="5"/>
    </row>
    <row r="506" ht="30.0" customHeight="1">
      <c r="AH506" s="5"/>
      <c r="AI506" s="5"/>
      <c r="AJ506" s="5"/>
    </row>
    <row r="507" ht="30.0" customHeight="1">
      <c r="AH507" s="5"/>
      <c r="AI507" s="5"/>
      <c r="AJ507" s="5"/>
    </row>
    <row r="508" ht="30.0" customHeight="1">
      <c r="AH508" s="5"/>
      <c r="AI508" s="5"/>
      <c r="AJ508" s="5"/>
    </row>
    <row r="509" ht="30.0" customHeight="1">
      <c r="AH509" s="5"/>
      <c r="AI509" s="5"/>
      <c r="AJ509" s="5"/>
    </row>
    <row r="510" ht="30.0" customHeight="1">
      <c r="AH510" s="5"/>
      <c r="AI510" s="5"/>
      <c r="AJ510" s="5"/>
    </row>
    <row r="511" ht="30.0" customHeight="1">
      <c r="AH511" s="5"/>
      <c r="AI511" s="5"/>
      <c r="AJ511" s="5"/>
    </row>
    <row r="512" ht="30.0" customHeight="1">
      <c r="AH512" s="5"/>
      <c r="AI512" s="5"/>
      <c r="AJ512" s="5"/>
    </row>
    <row r="513" ht="30.0" customHeight="1">
      <c r="AH513" s="5"/>
      <c r="AI513" s="5"/>
      <c r="AJ513" s="5"/>
    </row>
    <row r="514" ht="30.0" customHeight="1">
      <c r="AH514" s="5"/>
      <c r="AI514" s="5"/>
      <c r="AJ514" s="5"/>
    </row>
    <row r="515" ht="30.0" customHeight="1">
      <c r="AH515" s="5"/>
      <c r="AI515" s="5"/>
      <c r="AJ515" s="5"/>
    </row>
    <row r="516" ht="30.0" customHeight="1">
      <c r="AH516" s="5"/>
      <c r="AI516" s="5"/>
      <c r="AJ516" s="5"/>
    </row>
    <row r="517" ht="30.0" customHeight="1">
      <c r="AH517" s="5"/>
      <c r="AI517" s="5"/>
      <c r="AJ517" s="5"/>
    </row>
    <row r="518" ht="30.0" customHeight="1">
      <c r="AH518" s="5"/>
      <c r="AI518" s="5"/>
      <c r="AJ518" s="5"/>
    </row>
    <row r="519" ht="30.0" customHeight="1">
      <c r="AH519" s="5"/>
      <c r="AI519" s="5"/>
      <c r="AJ519" s="5"/>
    </row>
    <row r="520" ht="30.0" customHeight="1">
      <c r="AH520" s="5"/>
      <c r="AI520" s="5"/>
      <c r="AJ520" s="5"/>
    </row>
    <row r="521" ht="30.0" customHeight="1">
      <c r="AH521" s="5"/>
      <c r="AI521" s="5"/>
      <c r="AJ521" s="5"/>
    </row>
    <row r="522" ht="30.0" customHeight="1">
      <c r="AH522" s="5"/>
      <c r="AI522" s="5"/>
      <c r="AJ522" s="5"/>
    </row>
    <row r="523" ht="30.0" customHeight="1">
      <c r="AH523" s="5"/>
      <c r="AI523" s="5"/>
      <c r="AJ523" s="5"/>
    </row>
    <row r="524" ht="30.0" customHeight="1">
      <c r="AH524" s="5"/>
      <c r="AI524" s="5"/>
      <c r="AJ524" s="5"/>
    </row>
    <row r="525" ht="30.0" customHeight="1">
      <c r="AH525" s="5"/>
      <c r="AI525" s="5"/>
      <c r="AJ525" s="5"/>
    </row>
    <row r="526" ht="30.0" customHeight="1">
      <c r="AH526" s="5"/>
      <c r="AI526" s="5"/>
      <c r="AJ526" s="5"/>
    </row>
    <row r="527" ht="30.0" customHeight="1">
      <c r="AH527" s="5"/>
      <c r="AI527" s="5"/>
      <c r="AJ527" s="5"/>
    </row>
    <row r="528" ht="30.0" customHeight="1">
      <c r="AH528" s="5"/>
      <c r="AI528" s="5"/>
      <c r="AJ528" s="5"/>
    </row>
    <row r="529" ht="30.0" customHeight="1">
      <c r="AH529" s="5"/>
      <c r="AI529" s="5"/>
      <c r="AJ529" s="5"/>
    </row>
    <row r="530" ht="30.0" customHeight="1">
      <c r="AH530" s="5"/>
      <c r="AI530" s="5"/>
      <c r="AJ530" s="5"/>
    </row>
    <row r="531" ht="30.0" customHeight="1">
      <c r="AH531" s="5"/>
      <c r="AI531" s="5"/>
      <c r="AJ531" s="5"/>
    </row>
    <row r="532" ht="30.0" customHeight="1">
      <c r="AH532" s="5"/>
      <c r="AI532" s="5"/>
      <c r="AJ532" s="5"/>
    </row>
    <row r="533" ht="30.0" customHeight="1">
      <c r="AH533" s="5"/>
      <c r="AI533" s="5"/>
      <c r="AJ533" s="5"/>
    </row>
    <row r="534" ht="30.0" customHeight="1">
      <c r="AH534" s="5"/>
      <c r="AI534" s="5"/>
      <c r="AJ534" s="5"/>
    </row>
    <row r="535" ht="30.0" customHeight="1">
      <c r="AH535" s="5"/>
      <c r="AI535" s="5"/>
      <c r="AJ535" s="5"/>
    </row>
    <row r="536" ht="30.0" customHeight="1">
      <c r="AH536" s="5"/>
      <c r="AI536" s="5"/>
      <c r="AJ536" s="5"/>
    </row>
    <row r="537" ht="30.0" customHeight="1">
      <c r="AH537" s="5"/>
      <c r="AI537" s="5"/>
      <c r="AJ537" s="5"/>
    </row>
    <row r="538" ht="30.0" customHeight="1">
      <c r="AH538" s="5"/>
      <c r="AI538" s="5"/>
      <c r="AJ538" s="5"/>
    </row>
    <row r="539" ht="30.0" customHeight="1">
      <c r="AH539" s="5"/>
      <c r="AI539" s="5"/>
      <c r="AJ539" s="5"/>
    </row>
    <row r="540" ht="30.0" customHeight="1">
      <c r="AH540" s="5"/>
      <c r="AI540" s="5"/>
      <c r="AJ540" s="5"/>
    </row>
    <row r="541" ht="30.0" customHeight="1">
      <c r="AH541" s="5"/>
      <c r="AI541" s="5"/>
      <c r="AJ541" s="5"/>
    </row>
    <row r="542" ht="30.0" customHeight="1">
      <c r="AH542" s="5"/>
      <c r="AI542" s="5"/>
      <c r="AJ542" s="5"/>
    </row>
    <row r="543" ht="30.0" customHeight="1">
      <c r="AH543" s="5"/>
      <c r="AI543" s="5"/>
      <c r="AJ543" s="5"/>
    </row>
    <row r="544" ht="30.0" customHeight="1">
      <c r="AH544" s="5"/>
      <c r="AI544" s="5"/>
      <c r="AJ544" s="5"/>
    </row>
    <row r="545" ht="30.0" customHeight="1">
      <c r="AH545" s="5"/>
      <c r="AI545" s="5"/>
      <c r="AJ545" s="5"/>
    </row>
    <row r="546" ht="30.0" customHeight="1">
      <c r="AH546" s="5"/>
      <c r="AI546" s="5"/>
      <c r="AJ546" s="5"/>
    </row>
    <row r="547" ht="30.0" customHeight="1">
      <c r="AH547" s="5"/>
      <c r="AI547" s="5"/>
      <c r="AJ547" s="5"/>
    </row>
    <row r="548" ht="30.0" customHeight="1">
      <c r="AH548" s="5"/>
      <c r="AI548" s="5"/>
      <c r="AJ548" s="5"/>
    </row>
    <row r="549" ht="30.0" customHeight="1">
      <c r="AH549" s="5"/>
      <c r="AI549" s="5"/>
      <c r="AJ549" s="5"/>
    </row>
    <row r="550" ht="30.0" customHeight="1">
      <c r="AH550" s="5"/>
      <c r="AI550" s="5"/>
      <c r="AJ550" s="5"/>
    </row>
    <row r="551" ht="30.0" customHeight="1">
      <c r="AH551" s="5"/>
      <c r="AI551" s="5"/>
      <c r="AJ551" s="5"/>
    </row>
    <row r="552" ht="30.0" customHeight="1">
      <c r="AH552" s="5"/>
      <c r="AI552" s="5"/>
      <c r="AJ552" s="5"/>
    </row>
    <row r="553" ht="30.0" customHeight="1">
      <c r="AH553" s="5"/>
      <c r="AI553" s="5"/>
      <c r="AJ553" s="5"/>
    </row>
    <row r="554" ht="30.0" customHeight="1">
      <c r="AH554" s="5"/>
      <c r="AI554" s="5"/>
      <c r="AJ554" s="5"/>
    </row>
    <row r="555" ht="30.0" customHeight="1">
      <c r="AH555" s="5"/>
      <c r="AI555" s="5"/>
      <c r="AJ555" s="5"/>
    </row>
    <row r="556" ht="30.0" customHeight="1">
      <c r="AH556" s="5"/>
      <c r="AI556" s="5"/>
      <c r="AJ556" s="5"/>
    </row>
    <row r="557" ht="30.0" customHeight="1">
      <c r="AH557" s="5"/>
      <c r="AI557" s="5"/>
      <c r="AJ557" s="5"/>
    </row>
    <row r="558" ht="30.0" customHeight="1">
      <c r="AH558" s="5"/>
      <c r="AI558" s="5"/>
      <c r="AJ558" s="5"/>
    </row>
    <row r="559" ht="30.0" customHeight="1">
      <c r="AH559" s="5"/>
      <c r="AI559" s="5"/>
      <c r="AJ559" s="5"/>
    </row>
    <row r="560" ht="30.0" customHeight="1">
      <c r="AH560" s="5"/>
      <c r="AI560" s="5"/>
      <c r="AJ560" s="5"/>
    </row>
    <row r="561" ht="30.0" customHeight="1">
      <c r="AH561" s="5"/>
      <c r="AI561" s="5"/>
      <c r="AJ561" s="5"/>
    </row>
    <row r="562" ht="30.0" customHeight="1">
      <c r="AH562" s="5"/>
      <c r="AI562" s="5"/>
      <c r="AJ562" s="5"/>
    </row>
    <row r="563" ht="30.0" customHeight="1">
      <c r="AH563" s="5"/>
      <c r="AI563" s="5"/>
      <c r="AJ563" s="5"/>
    </row>
    <row r="564" ht="30.0" customHeight="1">
      <c r="AH564" s="5"/>
      <c r="AI564" s="5"/>
      <c r="AJ564" s="5"/>
    </row>
    <row r="565" ht="30.0" customHeight="1">
      <c r="AH565" s="5"/>
      <c r="AI565" s="5"/>
      <c r="AJ565" s="5"/>
    </row>
    <row r="566" ht="30.0" customHeight="1">
      <c r="AH566" s="5"/>
      <c r="AI566" s="5"/>
      <c r="AJ566" s="5"/>
    </row>
    <row r="567" ht="30.0" customHeight="1">
      <c r="AH567" s="5"/>
      <c r="AI567" s="5"/>
      <c r="AJ567" s="5"/>
    </row>
    <row r="568" ht="30.0" customHeight="1">
      <c r="AH568" s="5"/>
      <c r="AI568" s="5"/>
      <c r="AJ568" s="5"/>
    </row>
    <row r="569" ht="30.0" customHeight="1">
      <c r="AH569" s="5"/>
      <c r="AI569" s="5"/>
      <c r="AJ569" s="5"/>
    </row>
    <row r="570" ht="30.0" customHeight="1">
      <c r="AH570" s="5"/>
      <c r="AI570" s="5"/>
      <c r="AJ570" s="5"/>
    </row>
    <row r="571" ht="30.0" customHeight="1">
      <c r="AH571" s="5"/>
      <c r="AI571" s="5"/>
      <c r="AJ571" s="5"/>
    </row>
    <row r="572" ht="30.0" customHeight="1">
      <c r="AH572" s="5"/>
      <c r="AI572" s="5"/>
      <c r="AJ572" s="5"/>
    </row>
    <row r="573" ht="30.0" customHeight="1">
      <c r="AH573" s="5"/>
      <c r="AI573" s="5"/>
      <c r="AJ573" s="5"/>
    </row>
    <row r="574" ht="30.0" customHeight="1">
      <c r="AH574" s="5"/>
      <c r="AI574" s="5"/>
      <c r="AJ574" s="5"/>
    </row>
    <row r="575" ht="30.0" customHeight="1">
      <c r="AH575" s="5"/>
      <c r="AI575" s="5"/>
      <c r="AJ575" s="5"/>
    </row>
    <row r="576" ht="30.0" customHeight="1">
      <c r="AH576" s="5"/>
      <c r="AI576" s="5"/>
      <c r="AJ576" s="5"/>
    </row>
    <row r="577" ht="30.0" customHeight="1">
      <c r="AH577" s="5"/>
      <c r="AI577" s="5"/>
      <c r="AJ577" s="5"/>
    </row>
    <row r="578" ht="30.0" customHeight="1">
      <c r="AH578" s="5"/>
      <c r="AI578" s="5"/>
      <c r="AJ578" s="5"/>
    </row>
    <row r="579" ht="30.0" customHeight="1">
      <c r="AH579" s="5"/>
      <c r="AI579" s="5"/>
      <c r="AJ579" s="5"/>
    </row>
    <row r="580" ht="30.0" customHeight="1">
      <c r="AH580" s="5"/>
      <c r="AI580" s="5"/>
      <c r="AJ580" s="5"/>
    </row>
    <row r="581" ht="30.0" customHeight="1">
      <c r="AH581" s="5"/>
      <c r="AI581" s="5"/>
      <c r="AJ581" s="5"/>
    </row>
    <row r="582" ht="30.0" customHeight="1">
      <c r="AH582" s="5"/>
      <c r="AI582" s="5"/>
      <c r="AJ582" s="5"/>
    </row>
    <row r="583" ht="30.0" customHeight="1">
      <c r="AH583" s="5"/>
      <c r="AI583" s="5"/>
      <c r="AJ583" s="5"/>
    </row>
    <row r="584" ht="30.0" customHeight="1">
      <c r="AH584" s="5"/>
      <c r="AI584" s="5"/>
      <c r="AJ584" s="5"/>
    </row>
    <row r="585" ht="30.0" customHeight="1">
      <c r="AH585" s="5"/>
      <c r="AI585" s="5"/>
      <c r="AJ585" s="5"/>
    </row>
    <row r="586" ht="30.0" customHeight="1">
      <c r="AH586" s="5"/>
      <c r="AI586" s="5"/>
      <c r="AJ586" s="5"/>
    </row>
    <row r="587" ht="30.0" customHeight="1">
      <c r="AH587" s="5"/>
      <c r="AI587" s="5"/>
      <c r="AJ587" s="5"/>
    </row>
    <row r="588" ht="30.0" customHeight="1">
      <c r="AH588" s="5"/>
      <c r="AI588" s="5"/>
      <c r="AJ588" s="5"/>
    </row>
    <row r="589" ht="30.0" customHeight="1">
      <c r="AH589" s="5"/>
      <c r="AI589" s="5"/>
      <c r="AJ589" s="5"/>
    </row>
    <row r="590" ht="30.0" customHeight="1">
      <c r="AH590" s="5"/>
      <c r="AI590" s="5"/>
      <c r="AJ590" s="5"/>
    </row>
    <row r="591" ht="30.0" customHeight="1">
      <c r="AH591" s="5"/>
      <c r="AI591" s="5"/>
      <c r="AJ591" s="5"/>
    </row>
    <row r="592" ht="30.0" customHeight="1">
      <c r="AH592" s="5"/>
      <c r="AI592" s="5"/>
      <c r="AJ592" s="5"/>
    </row>
    <row r="593" ht="30.0" customHeight="1">
      <c r="AH593" s="5"/>
      <c r="AI593" s="5"/>
      <c r="AJ593" s="5"/>
    </row>
    <row r="594" ht="30.0" customHeight="1">
      <c r="AH594" s="5"/>
      <c r="AI594" s="5"/>
      <c r="AJ594" s="5"/>
    </row>
    <row r="595" ht="30.0" customHeight="1">
      <c r="AH595" s="5"/>
      <c r="AI595" s="5"/>
      <c r="AJ595" s="5"/>
    </row>
    <row r="596" ht="30.0" customHeight="1">
      <c r="AH596" s="5"/>
      <c r="AI596" s="5"/>
      <c r="AJ596" s="5"/>
    </row>
    <row r="597" ht="30.0" customHeight="1">
      <c r="AH597" s="5"/>
      <c r="AI597" s="5"/>
      <c r="AJ597" s="5"/>
    </row>
    <row r="598" ht="30.0" customHeight="1">
      <c r="AH598" s="5"/>
      <c r="AI598" s="5"/>
      <c r="AJ598" s="5"/>
    </row>
    <row r="599" ht="30.0" customHeight="1">
      <c r="AH599" s="5"/>
      <c r="AI599" s="5"/>
      <c r="AJ599" s="5"/>
    </row>
    <row r="600" ht="30.0" customHeight="1">
      <c r="AH600" s="5"/>
      <c r="AI600" s="5"/>
      <c r="AJ600" s="5"/>
    </row>
    <row r="601" ht="30.0" customHeight="1">
      <c r="AH601" s="5"/>
      <c r="AI601" s="5"/>
      <c r="AJ601" s="5"/>
    </row>
    <row r="602" ht="30.0" customHeight="1">
      <c r="AH602" s="5"/>
      <c r="AI602" s="5"/>
      <c r="AJ602" s="5"/>
    </row>
    <row r="603" ht="30.0" customHeight="1">
      <c r="AH603" s="5"/>
      <c r="AI603" s="5"/>
      <c r="AJ603" s="5"/>
    </row>
    <row r="604" ht="30.0" customHeight="1">
      <c r="AH604" s="5"/>
      <c r="AI604" s="5"/>
      <c r="AJ604" s="5"/>
    </row>
    <row r="605" ht="30.0" customHeight="1">
      <c r="AH605" s="5"/>
      <c r="AI605" s="5"/>
      <c r="AJ605" s="5"/>
    </row>
    <row r="606" ht="30.0" customHeight="1">
      <c r="AH606" s="5"/>
      <c r="AI606" s="5"/>
      <c r="AJ606" s="5"/>
    </row>
    <row r="607" ht="30.0" customHeight="1">
      <c r="AH607" s="5"/>
      <c r="AI607" s="5"/>
      <c r="AJ607" s="5"/>
    </row>
    <row r="608" ht="30.0" customHeight="1">
      <c r="AH608" s="5"/>
      <c r="AI608" s="5"/>
      <c r="AJ608" s="5"/>
    </row>
    <row r="609" ht="30.0" customHeight="1">
      <c r="AH609" s="5"/>
      <c r="AI609" s="5"/>
      <c r="AJ609" s="5"/>
    </row>
    <row r="610" ht="30.0" customHeight="1">
      <c r="AH610" s="5"/>
      <c r="AI610" s="5"/>
      <c r="AJ610" s="5"/>
    </row>
    <row r="611" ht="30.0" customHeight="1">
      <c r="AH611" s="5"/>
      <c r="AI611" s="5"/>
      <c r="AJ611" s="5"/>
    </row>
    <row r="612" ht="30.0" customHeight="1">
      <c r="AH612" s="5"/>
      <c r="AI612" s="5"/>
      <c r="AJ612" s="5"/>
    </row>
    <row r="613" ht="30.0" customHeight="1">
      <c r="AH613" s="5"/>
      <c r="AI613" s="5"/>
      <c r="AJ613" s="5"/>
    </row>
    <row r="614" ht="30.0" customHeight="1">
      <c r="AH614" s="5"/>
      <c r="AI614" s="5"/>
      <c r="AJ614" s="5"/>
    </row>
    <row r="615" ht="30.0" customHeight="1">
      <c r="AH615" s="5"/>
      <c r="AI615" s="5"/>
      <c r="AJ615" s="5"/>
    </row>
    <row r="616" ht="30.0" customHeight="1">
      <c r="AH616" s="5"/>
      <c r="AI616" s="5"/>
      <c r="AJ616" s="5"/>
    </row>
    <row r="617" ht="30.0" customHeight="1">
      <c r="AH617" s="5"/>
      <c r="AI617" s="5"/>
      <c r="AJ617" s="5"/>
    </row>
    <row r="618" ht="30.0" customHeight="1">
      <c r="AH618" s="5"/>
      <c r="AI618" s="5"/>
      <c r="AJ618" s="5"/>
    </row>
    <row r="619" ht="30.0" customHeight="1">
      <c r="AH619" s="5"/>
      <c r="AI619" s="5"/>
      <c r="AJ619" s="5"/>
    </row>
    <row r="620" ht="30.0" customHeight="1">
      <c r="AH620" s="5"/>
      <c r="AI620" s="5"/>
      <c r="AJ620" s="5"/>
    </row>
    <row r="621" ht="30.0" customHeight="1">
      <c r="AH621" s="5"/>
      <c r="AI621" s="5"/>
      <c r="AJ621" s="5"/>
    </row>
    <row r="622" ht="30.0" customHeight="1">
      <c r="AH622" s="5"/>
      <c r="AI622" s="5"/>
      <c r="AJ622" s="5"/>
    </row>
    <row r="623" ht="30.0" customHeight="1">
      <c r="AH623" s="5"/>
      <c r="AI623" s="5"/>
      <c r="AJ623" s="5"/>
    </row>
    <row r="624" ht="30.0" customHeight="1">
      <c r="AH624" s="5"/>
      <c r="AI624" s="5"/>
      <c r="AJ624" s="5"/>
    </row>
    <row r="625" ht="30.0" customHeight="1">
      <c r="AH625" s="5"/>
      <c r="AI625" s="5"/>
      <c r="AJ625" s="5"/>
    </row>
    <row r="626" ht="30.0" customHeight="1">
      <c r="AH626" s="5"/>
      <c r="AI626" s="5"/>
      <c r="AJ626" s="5"/>
    </row>
    <row r="627" ht="30.0" customHeight="1">
      <c r="AH627" s="5"/>
      <c r="AI627" s="5"/>
      <c r="AJ627" s="5"/>
    </row>
    <row r="628" ht="30.0" customHeight="1">
      <c r="AH628" s="5"/>
      <c r="AI628" s="5"/>
      <c r="AJ628" s="5"/>
    </row>
    <row r="629" ht="30.0" customHeight="1">
      <c r="AH629" s="5"/>
      <c r="AI629" s="5"/>
      <c r="AJ629" s="5"/>
    </row>
    <row r="630" ht="30.0" customHeight="1">
      <c r="AH630" s="5"/>
      <c r="AI630" s="5"/>
      <c r="AJ630" s="5"/>
    </row>
    <row r="631" ht="30.0" customHeight="1">
      <c r="AH631" s="5"/>
      <c r="AI631" s="5"/>
      <c r="AJ631" s="5"/>
    </row>
    <row r="632" ht="30.0" customHeight="1">
      <c r="AH632" s="5"/>
      <c r="AI632" s="5"/>
      <c r="AJ632" s="5"/>
    </row>
    <row r="633" ht="30.0" customHeight="1">
      <c r="AH633" s="5"/>
      <c r="AI633" s="5"/>
      <c r="AJ633" s="5"/>
    </row>
    <row r="634" ht="30.0" customHeight="1">
      <c r="AH634" s="5"/>
      <c r="AI634" s="5"/>
      <c r="AJ634" s="5"/>
    </row>
    <row r="635" ht="30.0" customHeight="1">
      <c r="AH635" s="5"/>
      <c r="AI635" s="5"/>
      <c r="AJ635" s="5"/>
    </row>
    <row r="636" ht="30.0" customHeight="1">
      <c r="AH636" s="5"/>
      <c r="AI636" s="5"/>
      <c r="AJ636" s="5"/>
    </row>
    <row r="637" ht="30.0" customHeight="1">
      <c r="AH637" s="5"/>
      <c r="AI637" s="5"/>
      <c r="AJ637" s="5"/>
    </row>
    <row r="638" ht="30.0" customHeight="1">
      <c r="AH638" s="5"/>
      <c r="AI638" s="5"/>
      <c r="AJ638" s="5"/>
    </row>
    <row r="639" ht="30.0" customHeight="1">
      <c r="AH639" s="5"/>
      <c r="AI639" s="5"/>
      <c r="AJ639" s="5"/>
    </row>
    <row r="640" ht="30.0" customHeight="1">
      <c r="AH640" s="5"/>
      <c r="AI640" s="5"/>
      <c r="AJ640" s="5"/>
    </row>
    <row r="641" ht="30.0" customHeight="1">
      <c r="AH641" s="5"/>
      <c r="AI641" s="5"/>
      <c r="AJ641" s="5"/>
    </row>
    <row r="642" ht="30.0" customHeight="1">
      <c r="AH642" s="5"/>
      <c r="AI642" s="5"/>
      <c r="AJ642" s="5"/>
    </row>
    <row r="643" ht="30.0" customHeight="1">
      <c r="AH643" s="5"/>
      <c r="AI643" s="5"/>
      <c r="AJ643" s="5"/>
    </row>
    <row r="644" ht="30.0" customHeight="1">
      <c r="AH644" s="5"/>
      <c r="AI644" s="5"/>
      <c r="AJ644" s="5"/>
    </row>
    <row r="645" ht="30.0" customHeight="1">
      <c r="AH645" s="5"/>
      <c r="AI645" s="5"/>
      <c r="AJ645" s="5"/>
    </row>
    <row r="646" ht="30.0" customHeight="1">
      <c r="AH646" s="5"/>
      <c r="AI646" s="5"/>
      <c r="AJ646" s="5"/>
    </row>
    <row r="647" ht="30.0" customHeight="1">
      <c r="AH647" s="5"/>
      <c r="AI647" s="5"/>
      <c r="AJ647" s="5"/>
    </row>
    <row r="648" ht="30.0" customHeight="1">
      <c r="AH648" s="5"/>
      <c r="AI648" s="5"/>
      <c r="AJ648" s="5"/>
    </row>
    <row r="649" ht="30.0" customHeight="1">
      <c r="AH649" s="5"/>
      <c r="AI649" s="5"/>
      <c r="AJ649" s="5"/>
    </row>
    <row r="650" ht="30.0" customHeight="1">
      <c r="AH650" s="5"/>
      <c r="AI650" s="5"/>
      <c r="AJ650" s="5"/>
    </row>
    <row r="651" ht="30.0" customHeight="1">
      <c r="AH651" s="5"/>
      <c r="AI651" s="5"/>
      <c r="AJ651" s="5"/>
    </row>
    <row r="652" ht="30.0" customHeight="1">
      <c r="AH652" s="5"/>
      <c r="AI652" s="5"/>
      <c r="AJ652" s="5"/>
    </row>
    <row r="653" ht="30.0" customHeight="1">
      <c r="AH653" s="5"/>
      <c r="AI653" s="5"/>
      <c r="AJ653" s="5"/>
    </row>
    <row r="654" ht="30.0" customHeight="1">
      <c r="AH654" s="5"/>
      <c r="AI654" s="5"/>
      <c r="AJ654" s="5"/>
    </row>
    <row r="655" ht="30.0" customHeight="1">
      <c r="AH655" s="5"/>
      <c r="AI655" s="5"/>
      <c r="AJ655" s="5"/>
    </row>
    <row r="656" ht="30.0" customHeight="1">
      <c r="AH656" s="5"/>
      <c r="AI656" s="5"/>
      <c r="AJ656" s="5"/>
    </row>
    <row r="657" ht="30.0" customHeight="1">
      <c r="AH657" s="5"/>
      <c r="AI657" s="5"/>
      <c r="AJ657" s="5"/>
    </row>
    <row r="658" ht="30.0" customHeight="1">
      <c r="AH658" s="5"/>
      <c r="AI658" s="5"/>
      <c r="AJ658" s="5"/>
    </row>
    <row r="659" ht="30.0" customHeight="1">
      <c r="AH659" s="5"/>
      <c r="AI659" s="5"/>
      <c r="AJ659" s="5"/>
    </row>
    <row r="660" ht="30.0" customHeight="1">
      <c r="AH660" s="5"/>
      <c r="AI660" s="5"/>
      <c r="AJ660" s="5"/>
    </row>
    <row r="661" ht="30.0" customHeight="1">
      <c r="AH661" s="5"/>
      <c r="AI661" s="5"/>
      <c r="AJ661" s="5"/>
    </row>
    <row r="662" ht="30.0" customHeight="1">
      <c r="AH662" s="5"/>
      <c r="AI662" s="5"/>
      <c r="AJ662" s="5"/>
    </row>
    <row r="663" ht="30.0" customHeight="1">
      <c r="AH663" s="5"/>
      <c r="AI663" s="5"/>
      <c r="AJ663" s="5"/>
    </row>
    <row r="664" ht="30.0" customHeight="1">
      <c r="AH664" s="5"/>
      <c r="AI664" s="5"/>
      <c r="AJ664" s="5"/>
    </row>
    <row r="665" ht="30.0" customHeight="1">
      <c r="AH665" s="5"/>
      <c r="AI665" s="5"/>
      <c r="AJ665" s="5"/>
    </row>
    <row r="666" ht="30.0" customHeight="1">
      <c r="AH666" s="5"/>
      <c r="AI666" s="5"/>
      <c r="AJ666" s="5"/>
    </row>
    <row r="667" ht="30.0" customHeight="1">
      <c r="AH667" s="5"/>
      <c r="AI667" s="5"/>
      <c r="AJ667" s="5"/>
    </row>
    <row r="668" ht="30.0" customHeight="1">
      <c r="AH668" s="5"/>
      <c r="AI668" s="5"/>
      <c r="AJ668" s="5"/>
    </row>
    <row r="669" ht="30.0" customHeight="1">
      <c r="AH669" s="5"/>
      <c r="AI669" s="5"/>
      <c r="AJ669" s="5"/>
    </row>
    <row r="670" ht="30.0" customHeight="1">
      <c r="AH670" s="5"/>
      <c r="AI670" s="5"/>
      <c r="AJ670" s="5"/>
    </row>
    <row r="671" ht="30.0" customHeight="1">
      <c r="AH671" s="5"/>
      <c r="AI671" s="5"/>
      <c r="AJ671" s="5"/>
    </row>
    <row r="672" ht="30.0" customHeight="1">
      <c r="AH672" s="5"/>
      <c r="AI672" s="5"/>
      <c r="AJ672" s="5"/>
    </row>
    <row r="673" ht="30.0" customHeight="1">
      <c r="AH673" s="5"/>
      <c r="AI673" s="5"/>
      <c r="AJ673" s="5"/>
    </row>
    <row r="674" ht="30.0" customHeight="1">
      <c r="AH674" s="5"/>
      <c r="AI674" s="5"/>
      <c r="AJ674" s="5"/>
    </row>
    <row r="675" ht="30.0" customHeight="1">
      <c r="AH675" s="5"/>
      <c r="AI675" s="5"/>
      <c r="AJ675" s="5"/>
    </row>
    <row r="676" ht="30.0" customHeight="1">
      <c r="AH676" s="5"/>
      <c r="AI676" s="5"/>
      <c r="AJ676" s="5"/>
    </row>
    <row r="677" ht="30.0" customHeight="1">
      <c r="AH677" s="5"/>
      <c r="AI677" s="5"/>
      <c r="AJ677" s="5"/>
    </row>
    <row r="678" ht="30.0" customHeight="1">
      <c r="AH678" s="5"/>
      <c r="AI678" s="5"/>
      <c r="AJ678" s="5"/>
    </row>
    <row r="679" ht="30.0" customHeight="1">
      <c r="AH679" s="5"/>
      <c r="AI679" s="5"/>
      <c r="AJ679" s="5"/>
    </row>
    <row r="680" ht="30.0" customHeight="1">
      <c r="AH680" s="5"/>
      <c r="AI680" s="5"/>
      <c r="AJ680" s="5"/>
    </row>
    <row r="681" ht="30.0" customHeight="1">
      <c r="AH681" s="5"/>
      <c r="AI681" s="5"/>
      <c r="AJ681" s="5"/>
    </row>
    <row r="682" ht="30.0" customHeight="1">
      <c r="AH682" s="5"/>
      <c r="AI682" s="5"/>
      <c r="AJ682" s="5"/>
    </row>
    <row r="683" ht="30.0" customHeight="1">
      <c r="AH683" s="5"/>
      <c r="AI683" s="5"/>
      <c r="AJ683" s="5"/>
    </row>
    <row r="684" ht="30.0" customHeight="1">
      <c r="AH684" s="5"/>
      <c r="AI684" s="5"/>
      <c r="AJ684" s="5"/>
    </row>
    <row r="685" ht="30.0" customHeight="1">
      <c r="AH685" s="5"/>
      <c r="AI685" s="5"/>
      <c r="AJ685" s="5"/>
    </row>
    <row r="686" ht="30.0" customHeight="1">
      <c r="AH686" s="5"/>
      <c r="AI686" s="5"/>
      <c r="AJ686" s="5"/>
    </row>
    <row r="687" ht="30.0" customHeight="1">
      <c r="AH687" s="5"/>
      <c r="AI687" s="5"/>
      <c r="AJ687" s="5"/>
    </row>
    <row r="688" ht="30.0" customHeight="1">
      <c r="AH688" s="5"/>
      <c r="AI688" s="5"/>
      <c r="AJ688" s="5"/>
    </row>
    <row r="689" ht="30.0" customHeight="1">
      <c r="AH689" s="5"/>
      <c r="AI689" s="5"/>
      <c r="AJ689" s="5"/>
    </row>
    <row r="690" ht="30.0" customHeight="1">
      <c r="AH690" s="5"/>
      <c r="AI690" s="5"/>
      <c r="AJ690" s="5"/>
    </row>
    <row r="691" ht="30.0" customHeight="1">
      <c r="AH691" s="5"/>
      <c r="AI691" s="5"/>
      <c r="AJ691" s="5"/>
    </row>
    <row r="692" ht="30.0" customHeight="1">
      <c r="AH692" s="5"/>
      <c r="AI692" s="5"/>
      <c r="AJ692" s="5"/>
    </row>
    <row r="693" ht="30.0" customHeight="1">
      <c r="AH693" s="5"/>
      <c r="AI693" s="5"/>
      <c r="AJ693" s="5"/>
    </row>
    <row r="694" ht="30.0" customHeight="1">
      <c r="AH694" s="5"/>
      <c r="AI694" s="5"/>
      <c r="AJ694" s="5"/>
    </row>
    <row r="695" ht="30.0" customHeight="1">
      <c r="AH695" s="5"/>
      <c r="AI695" s="5"/>
      <c r="AJ695" s="5"/>
    </row>
    <row r="696" ht="30.0" customHeight="1">
      <c r="AH696" s="5"/>
      <c r="AI696" s="5"/>
      <c r="AJ696" s="5"/>
    </row>
    <row r="697" ht="30.0" customHeight="1">
      <c r="AH697" s="5"/>
      <c r="AI697" s="5"/>
      <c r="AJ697" s="5"/>
    </row>
    <row r="698" ht="30.0" customHeight="1">
      <c r="AH698" s="5"/>
      <c r="AI698" s="5"/>
      <c r="AJ698" s="5"/>
    </row>
    <row r="699" ht="30.0" customHeight="1">
      <c r="AH699" s="5"/>
      <c r="AI699" s="5"/>
      <c r="AJ699" s="5"/>
    </row>
    <row r="700" ht="30.0" customHeight="1">
      <c r="AH700" s="5"/>
      <c r="AI700" s="5"/>
      <c r="AJ700" s="5"/>
    </row>
    <row r="701" ht="30.0" customHeight="1">
      <c r="AH701" s="5"/>
      <c r="AI701" s="5"/>
      <c r="AJ701" s="5"/>
    </row>
    <row r="702" ht="30.0" customHeight="1">
      <c r="AH702" s="5"/>
      <c r="AI702" s="5"/>
      <c r="AJ702" s="5"/>
    </row>
    <row r="703" ht="30.0" customHeight="1">
      <c r="AH703" s="5"/>
      <c r="AI703" s="5"/>
      <c r="AJ703" s="5"/>
    </row>
    <row r="704" ht="30.0" customHeight="1">
      <c r="AH704" s="5"/>
      <c r="AI704" s="5"/>
      <c r="AJ704" s="5"/>
    </row>
    <row r="705" ht="30.0" customHeight="1">
      <c r="AH705" s="5"/>
      <c r="AI705" s="5"/>
      <c r="AJ705" s="5"/>
    </row>
    <row r="706" ht="30.0" customHeight="1">
      <c r="AH706" s="5"/>
      <c r="AI706" s="5"/>
      <c r="AJ706" s="5"/>
    </row>
    <row r="707" ht="30.0" customHeight="1">
      <c r="AH707" s="5"/>
      <c r="AI707" s="5"/>
      <c r="AJ707" s="5"/>
    </row>
    <row r="708" ht="30.0" customHeight="1">
      <c r="AH708" s="5"/>
      <c r="AI708" s="5"/>
      <c r="AJ708" s="5"/>
    </row>
    <row r="709" ht="30.0" customHeight="1">
      <c r="AH709" s="5"/>
      <c r="AI709" s="5"/>
      <c r="AJ709" s="5"/>
    </row>
    <row r="710" ht="30.0" customHeight="1">
      <c r="AH710" s="5"/>
      <c r="AI710" s="5"/>
      <c r="AJ710" s="5"/>
    </row>
    <row r="711" ht="30.0" customHeight="1">
      <c r="AH711" s="5"/>
      <c r="AI711" s="5"/>
      <c r="AJ711" s="5"/>
    </row>
    <row r="712" ht="30.0" customHeight="1">
      <c r="AH712" s="5"/>
      <c r="AI712" s="5"/>
      <c r="AJ712" s="5"/>
    </row>
    <row r="713" ht="30.0" customHeight="1">
      <c r="AH713" s="5"/>
      <c r="AI713" s="5"/>
      <c r="AJ713" s="5"/>
    </row>
    <row r="714" ht="30.0" customHeight="1">
      <c r="AH714" s="5"/>
      <c r="AI714" s="5"/>
      <c r="AJ714" s="5"/>
    </row>
    <row r="715" ht="30.0" customHeight="1">
      <c r="AH715" s="5"/>
      <c r="AI715" s="5"/>
      <c r="AJ715" s="5"/>
    </row>
    <row r="716" ht="30.0" customHeight="1">
      <c r="AH716" s="5"/>
      <c r="AI716" s="5"/>
      <c r="AJ716" s="5"/>
    </row>
    <row r="717" ht="30.0" customHeight="1">
      <c r="AH717" s="5"/>
      <c r="AI717" s="5"/>
      <c r="AJ717" s="5"/>
    </row>
    <row r="718" ht="30.0" customHeight="1">
      <c r="AH718" s="5"/>
      <c r="AI718" s="5"/>
      <c r="AJ718" s="5"/>
    </row>
    <row r="719" ht="30.0" customHeight="1">
      <c r="AH719" s="5"/>
      <c r="AI719" s="5"/>
      <c r="AJ719" s="5"/>
    </row>
    <row r="720" ht="30.0" customHeight="1">
      <c r="AH720" s="5"/>
      <c r="AI720" s="5"/>
      <c r="AJ720" s="5"/>
    </row>
    <row r="721" ht="30.0" customHeight="1">
      <c r="AH721" s="5"/>
      <c r="AI721" s="5"/>
      <c r="AJ721" s="5"/>
    </row>
    <row r="722" ht="30.0" customHeight="1">
      <c r="AH722" s="5"/>
      <c r="AI722" s="5"/>
      <c r="AJ722" s="5"/>
    </row>
    <row r="723" ht="30.0" customHeight="1">
      <c r="AH723" s="5"/>
      <c r="AI723" s="5"/>
      <c r="AJ723" s="5"/>
    </row>
    <row r="724" ht="30.0" customHeight="1">
      <c r="AH724" s="5"/>
      <c r="AI724" s="5"/>
      <c r="AJ724" s="5"/>
    </row>
    <row r="725" ht="30.0" customHeight="1">
      <c r="AH725" s="5"/>
      <c r="AI725" s="5"/>
      <c r="AJ725" s="5"/>
    </row>
    <row r="726" ht="30.0" customHeight="1">
      <c r="AH726" s="5"/>
      <c r="AI726" s="5"/>
      <c r="AJ726" s="5"/>
    </row>
    <row r="727" ht="30.0" customHeight="1">
      <c r="AH727" s="5"/>
      <c r="AI727" s="5"/>
      <c r="AJ727" s="5"/>
    </row>
    <row r="728" ht="30.0" customHeight="1">
      <c r="AH728" s="5"/>
      <c r="AI728" s="5"/>
      <c r="AJ728" s="5"/>
    </row>
    <row r="729" ht="30.0" customHeight="1">
      <c r="AH729" s="5"/>
      <c r="AI729" s="5"/>
      <c r="AJ729" s="5"/>
    </row>
    <row r="730" ht="30.0" customHeight="1">
      <c r="AH730" s="5"/>
      <c r="AI730" s="5"/>
      <c r="AJ730" s="5"/>
    </row>
    <row r="731" ht="30.0" customHeight="1">
      <c r="AH731" s="5"/>
      <c r="AI731" s="5"/>
      <c r="AJ731" s="5"/>
    </row>
    <row r="732" ht="30.0" customHeight="1">
      <c r="AH732" s="5"/>
      <c r="AI732" s="5"/>
      <c r="AJ732" s="5"/>
    </row>
    <row r="733" ht="30.0" customHeight="1">
      <c r="AH733" s="5"/>
      <c r="AI733" s="5"/>
      <c r="AJ733" s="5"/>
    </row>
    <row r="734" ht="30.0" customHeight="1">
      <c r="AH734" s="5"/>
      <c r="AI734" s="5"/>
      <c r="AJ734" s="5"/>
    </row>
    <row r="735" ht="30.0" customHeight="1">
      <c r="AH735" s="5"/>
      <c r="AI735" s="5"/>
      <c r="AJ735" s="5"/>
    </row>
    <row r="736" ht="30.0" customHeight="1">
      <c r="AH736" s="5"/>
      <c r="AI736" s="5"/>
      <c r="AJ736" s="5"/>
    </row>
    <row r="737" ht="30.0" customHeight="1">
      <c r="AH737" s="5"/>
      <c r="AI737" s="5"/>
      <c r="AJ737" s="5"/>
    </row>
    <row r="738" ht="30.0" customHeight="1">
      <c r="AH738" s="5"/>
      <c r="AI738" s="5"/>
      <c r="AJ738" s="5"/>
    </row>
    <row r="739" ht="30.0" customHeight="1">
      <c r="AH739" s="5"/>
      <c r="AI739" s="5"/>
      <c r="AJ739" s="5"/>
    </row>
    <row r="740" ht="30.0" customHeight="1">
      <c r="AH740" s="5"/>
      <c r="AI740" s="5"/>
      <c r="AJ740" s="5"/>
    </row>
    <row r="741" ht="30.0" customHeight="1">
      <c r="AH741" s="5"/>
      <c r="AI741" s="5"/>
      <c r="AJ741" s="5"/>
    </row>
    <row r="742" ht="30.0" customHeight="1">
      <c r="AH742" s="5"/>
      <c r="AI742" s="5"/>
      <c r="AJ742" s="5"/>
    </row>
    <row r="743" ht="30.0" customHeight="1">
      <c r="AH743" s="5"/>
      <c r="AI743" s="5"/>
      <c r="AJ743" s="5"/>
    </row>
    <row r="744" ht="30.0" customHeight="1">
      <c r="AH744" s="5"/>
      <c r="AI744" s="5"/>
      <c r="AJ744" s="5"/>
    </row>
    <row r="745" ht="30.0" customHeight="1">
      <c r="AH745" s="5"/>
      <c r="AI745" s="5"/>
      <c r="AJ745" s="5"/>
    </row>
    <row r="746" ht="30.0" customHeight="1">
      <c r="AH746" s="5"/>
      <c r="AI746" s="5"/>
      <c r="AJ746" s="5"/>
    </row>
    <row r="747" ht="30.0" customHeight="1">
      <c r="AH747" s="5"/>
      <c r="AI747" s="5"/>
      <c r="AJ747" s="5"/>
    </row>
    <row r="748" ht="30.0" customHeight="1">
      <c r="AH748" s="5"/>
      <c r="AI748" s="5"/>
      <c r="AJ748" s="5"/>
    </row>
    <row r="749" ht="30.0" customHeight="1">
      <c r="AH749" s="5"/>
      <c r="AI749" s="5"/>
      <c r="AJ749" s="5"/>
    </row>
    <row r="750" ht="30.0" customHeight="1">
      <c r="AH750" s="5"/>
      <c r="AI750" s="5"/>
      <c r="AJ750" s="5"/>
    </row>
    <row r="751" ht="30.0" customHeight="1">
      <c r="AH751" s="5"/>
      <c r="AI751" s="5"/>
      <c r="AJ751" s="5"/>
    </row>
    <row r="752" ht="30.0" customHeight="1">
      <c r="AH752" s="5"/>
      <c r="AI752" s="5"/>
      <c r="AJ752" s="5"/>
    </row>
    <row r="753" ht="30.0" customHeight="1">
      <c r="AH753" s="5"/>
      <c r="AI753" s="5"/>
      <c r="AJ753" s="5"/>
    </row>
    <row r="754" ht="30.0" customHeight="1">
      <c r="AH754" s="5"/>
      <c r="AI754" s="5"/>
      <c r="AJ754" s="5"/>
    </row>
    <row r="755" ht="30.0" customHeight="1">
      <c r="AH755" s="5"/>
      <c r="AI755" s="5"/>
      <c r="AJ755" s="5"/>
    </row>
    <row r="756" ht="30.0" customHeight="1">
      <c r="AH756" s="5"/>
      <c r="AI756" s="5"/>
      <c r="AJ756" s="5"/>
    </row>
    <row r="757" ht="30.0" customHeight="1">
      <c r="AH757" s="5"/>
      <c r="AI757" s="5"/>
      <c r="AJ757" s="5"/>
    </row>
    <row r="758" ht="30.0" customHeight="1">
      <c r="AH758" s="5"/>
      <c r="AI758" s="5"/>
      <c r="AJ758" s="5"/>
    </row>
    <row r="759" ht="30.0" customHeight="1">
      <c r="AH759" s="5"/>
      <c r="AI759" s="5"/>
      <c r="AJ759" s="5"/>
    </row>
    <row r="760" ht="30.0" customHeight="1">
      <c r="AH760" s="5"/>
      <c r="AI760" s="5"/>
      <c r="AJ760" s="5"/>
    </row>
    <row r="761" ht="30.0" customHeight="1">
      <c r="AH761" s="5"/>
      <c r="AI761" s="5"/>
      <c r="AJ761" s="5"/>
    </row>
    <row r="762" ht="30.0" customHeight="1">
      <c r="AH762" s="5"/>
      <c r="AI762" s="5"/>
      <c r="AJ762" s="5"/>
    </row>
    <row r="763" ht="30.0" customHeight="1">
      <c r="AH763" s="5"/>
      <c r="AI763" s="5"/>
      <c r="AJ763" s="5"/>
    </row>
    <row r="764" ht="30.0" customHeight="1">
      <c r="AH764" s="5"/>
      <c r="AI764" s="5"/>
      <c r="AJ764" s="5"/>
    </row>
    <row r="765" ht="30.0" customHeight="1">
      <c r="AH765" s="5"/>
      <c r="AI765" s="5"/>
      <c r="AJ765" s="5"/>
    </row>
    <row r="766" ht="30.0" customHeight="1">
      <c r="AH766" s="5"/>
      <c r="AI766" s="5"/>
      <c r="AJ766" s="5"/>
    </row>
    <row r="767" ht="30.0" customHeight="1">
      <c r="AH767" s="5"/>
      <c r="AI767" s="5"/>
      <c r="AJ767" s="5"/>
    </row>
    <row r="768" ht="30.0" customHeight="1">
      <c r="AH768" s="5"/>
      <c r="AI768" s="5"/>
      <c r="AJ768" s="5"/>
    </row>
    <row r="769" ht="30.0" customHeight="1">
      <c r="AH769" s="5"/>
      <c r="AI769" s="5"/>
      <c r="AJ769" s="5"/>
    </row>
    <row r="770" ht="30.0" customHeight="1">
      <c r="AH770" s="5"/>
      <c r="AI770" s="5"/>
      <c r="AJ770" s="5"/>
    </row>
    <row r="771" ht="30.0" customHeight="1">
      <c r="AH771" s="5"/>
      <c r="AI771" s="5"/>
      <c r="AJ771" s="5"/>
    </row>
    <row r="772" ht="30.0" customHeight="1">
      <c r="AH772" s="5"/>
      <c r="AI772" s="5"/>
      <c r="AJ772" s="5"/>
    </row>
    <row r="773" ht="30.0" customHeight="1">
      <c r="AH773" s="5"/>
      <c r="AI773" s="5"/>
      <c r="AJ773" s="5"/>
    </row>
    <row r="774" ht="30.0" customHeight="1">
      <c r="AH774" s="5"/>
      <c r="AI774" s="5"/>
      <c r="AJ774" s="5"/>
    </row>
    <row r="775" ht="30.0" customHeight="1">
      <c r="AH775" s="5"/>
      <c r="AI775" s="5"/>
      <c r="AJ775" s="5"/>
    </row>
    <row r="776" ht="30.0" customHeight="1">
      <c r="AH776" s="5"/>
      <c r="AI776" s="5"/>
      <c r="AJ776" s="5"/>
    </row>
    <row r="777" ht="30.0" customHeight="1">
      <c r="AH777" s="5"/>
      <c r="AI777" s="5"/>
      <c r="AJ777" s="5"/>
    </row>
    <row r="778" ht="30.0" customHeight="1">
      <c r="AH778" s="5"/>
      <c r="AI778" s="5"/>
      <c r="AJ778" s="5"/>
    </row>
    <row r="779" ht="30.0" customHeight="1">
      <c r="AH779" s="5"/>
      <c r="AI779" s="5"/>
      <c r="AJ779" s="5"/>
    </row>
    <row r="780" ht="30.0" customHeight="1">
      <c r="AH780" s="5"/>
      <c r="AI780" s="5"/>
      <c r="AJ780" s="5"/>
    </row>
    <row r="781" ht="30.0" customHeight="1">
      <c r="AH781" s="5"/>
      <c r="AI781" s="5"/>
      <c r="AJ781" s="5"/>
    </row>
    <row r="782" ht="30.0" customHeight="1">
      <c r="AH782" s="5"/>
      <c r="AI782" s="5"/>
      <c r="AJ782" s="5"/>
    </row>
    <row r="783" ht="30.0" customHeight="1">
      <c r="AH783" s="5"/>
      <c r="AI783" s="5"/>
      <c r="AJ783" s="5"/>
    </row>
    <row r="784" ht="30.0" customHeight="1">
      <c r="AH784" s="5"/>
      <c r="AI784" s="5"/>
      <c r="AJ784" s="5"/>
    </row>
    <row r="785" ht="30.0" customHeight="1">
      <c r="AH785" s="5"/>
      <c r="AI785" s="5"/>
      <c r="AJ785" s="5"/>
    </row>
    <row r="786" ht="30.0" customHeight="1">
      <c r="AH786" s="5"/>
      <c r="AI786" s="5"/>
      <c r="AJ786" s="5"/>
    </row>
    <row r="787" ht="30.0" customHeight="1">
      <c r="AH787" s="5"/>
      <c r="AI787" s="5"/>
      <c r="AJ787" s="5"/>
    </row>
    <row r="788" ht="30.0" customHeight="1">
      <c r="AH788" s="5"/>
      <c r="AI788" s="5"/>
      <c r="AJ788" s="5"/>
    </row>
    <row r="789" ht="30.0" customHeight="1">
      <c r="AH789" s="5"/>
      <c r="AI789" s="5"/>
      <c r="AJ789" s="5"/>
    </row>
    <row r="790" ht="30.0" customHeight="1">
      <c r="AH790" s="5"/>
      <c r="AI790" s="5"/>
      <c r="AJ790" s="5"/>
    </row>
    <row r="791" ht="30.0" customHeight="1">
      <c r="AH791" s="5"/>
      <c r="AI791" s="5"/>
      <c r="AJ791" s="5"/>
    </row>
    <row r="792" ht="30.0" customHeight="1">
      <c r="AH792" s="5"/>
      <c r="AI792" s="5"/>
      <c r="AJ792" s="5"/>
    </row>
    <row r="793" ht="30.0" customHeight="1">
      <c r="AH793" s="5"/>
      <c r="AI793" s="5"/>
      <c r="AJ793" s="5"/>
    </row>
    <row r="794" ht="30.0" customHeight="1">
      <c r="AH794" s="5"/>
      <c r="AI794" s="5"/>
      <c r="AJ794" s="5"/>
    </row>
    <row r="795" ht="30.0" customHeight="1">
      <c r="AH795" s="5"/>
      <c r="AI795" s="5"/>
      <c r="AJ795" s="5"/>
    </row>
    <row r="796" ht="30.0" customHeight="1">
      <c r="AH796" s="5"/>
      <c r="AI796" s="5"/>
      <c r="AJ796" s="5"/>
    </row>
    <row r="797" ht="30.0" customHeight="1">
      <c r="AH797" s="5"/>
      <c r="AI797" s="5"/>
      <c r="AJ797" s="5"/>
    </row>
    <row r="798" ht="30.0" customHeight="1">
      <c r="AH798" s="5"/>
      <c r="AI798" s="5"/>
      <c r="AJ798" s="5"/>
    </row>
    <row r="799" ht="30.0" customHeight="1">
      <c r="AH799" s="5"/>
      <c r="AI799" s="5"/>
      <c r="AJ799" s="5"/>
    </row>
    <row r="800" ht="30.0" customHeight="1">
      <c r="AH800" s="5"/>
      <c r="AI800" s="5"/>
      <c r="AJ800" s="5"/>
    </row>
    <row r="801" ht="30.0" customHeight="1">
      <c r="AH801" s="5"/>
      <c r="AI801" s="5"/>
      <c r="AJ801" s="5"/>
    </row>
    <row r="802" ht="30.0" customHeight="1">
      <c r="AH802" s="5"/>
      <c r="AI802" s="5"/>
      <c r="AJ802" s="5"/>
    </row>
    <row r="803" ht="30.0" customHeight="1">
      <c r="AH803" s="5"/>
      <c r="AI803" s="5"/>
      <c r="AJ803" s="5"/>
    </row>
    <row r="804" ht="30.0" customHeight="1">
      <c r="AH804" s="5"/>
      <c r="AI804" s="5"/>
      <c r="AJ804" s="5"/>
    </row>
    <row r="805" ht="30.0" customHeight="1">
      <c r="AH805" s="5"/>
      <c r="AI805" s="5"/>
      <c r="AJ805" s="5"/>
    </row>
    <row r="806" ht="30.0" customHeight="1">
      <c r="AH806" s="5"/>
      <c r="AI806" s="5"/>
      <c r="AJ806" s="5"/>
    </row>
    <row r="807" ht="30.0" customHeight="1">
      <c r="AH807" s="5"/>
      <c r="AI807" s="5"/>
      <c r="AJ807" s="5"/>
    </row>
    <row r="808" ht="30.0" customHeight="1">
      <c r="AH808" s="5"/>
      <c r="AI808" s="5"/>
      <c r="AJ808" s="5"/>
    </row>
    <row r="809" ht="30.0" customHeight="1">
      <c r="AH809" s="5"/>
      <c r="AI809" s="5"/>
      <c r="AJ809" s="5"/>
    </row>
    <row r="810" ht="30.0" customHeight="1">
      <c r="AH810" s="5"/>
      <c r="AI810" s="5"/>
      <c r="AJ810" s="5"/>
    </row>
    <row r="811" ht="30.0" customHeight="1">
      <c r="AH811" s="5"/>
      <c r="AI811" s="5"/>
      <c r="AJ811" s="5"/>
    </row>
    <row r="812" ht="30.0" customHeight="1">
      <c r="AH812" s="5"/>
      <c r="AI812" s="5"/>
      <c r="AJ812" s="5"/>
    </row>
    <row r="813" ht="30.0" customHeight="1">
      <c r="AH813" s="5"/>
      <c r="AI813" s="5"/>
      <c r="AJ813" s="5"/>
    </row>
    <row r="814" ht="30.0" customHeight="1">
      <c r="AH814" s="5"/>
      <c r="AI814" s="5"/>
      <c r="AJ814" s="5"/>
    </row>
    <row r="815" ht="30.0" customHeight="1">
      <c r="AH815" s="5"/>
      <c r="AI815" s="5"/>
      <c r="AJ815" s="5"/>
    </row>
    <row r="816" ht="30.0" customHeight="1">
      <c r="AH816" s="5"/>
      <c r="AI816" s="5"/>
      <c r="AJ816" s="5"/>
    </row>
    <row r="817" ht="30.0" customHeight="1">
      <c r="AH817" s="5"/>
      <c r="AI817" s="5"/>
      <c r="AJ817" s="5"/>
    </row>
    <row r="818" ht="30.0" customHeight="1">
      <c r="AH818" s="5"/>
      <c r="AI818" s="5"/>
      <c r="AJ818" s="5"/>
    </row>
    <row r="819" ht="30.0" customHeight="1">
      <c r="AH819" s="5"/>
      <c r="AI819" s="5"/>
      <c r="AJ819" s="5"/>
    </row>
    <row r="820" ht="30.0" customHeight="1">
      <c r="AH820" s="5"/>
      <c r="AI820" s="5"/>
      <c r="AJ820" s="5"/>
    </row>
    <row r="821" ht="30.0" customHeight="1">
      <c r="AH821" s="5"/>
      <c r="AI821" s="5"/>
      <c r="AJ821" s="5"/>
    </row>
    <row r="822" ht="30.0" customHeight="1">
      <c r="AH822" s="5"/>
      <c r="AI822" s="5"/>
      <c r="AJ822" s="5"/>
    </row>
    <row r="823" ht="30.0" customHeight="1">
      <c r="AH823" s="5"/>
      <c r="AI823" s="5"/>
      <c r="AJ823" s="5"/>
    </row>
    <row r="824" ht="30.0" customHeight="1">
      <c r="AH824" s="5"/>
      <c r="AI824" s="5"/>
      <c r="AJ824" s="5"/>
    </row>
    <row r="825" ht="30.0" customHeight="1">
      <c r="AH825" s="5"/>
      <c r="AI825" s="5"/>
      <c r="AJ825" s="5"/>
    </row>
    <row r="826" ht="30.0" customHeight="1">
      <c r="AH826" s="5"/>
      <c r="AI826" s="5"/>
      <c r="AJ826" s="5"/>
    </row>
    <row r="827" ht="30.0" customHeight="1">
      <c r="AH827" s="5"/>
      <c r="AI827" s="5"/>
      <c r="AJ827" s="5"/>
    </row>
    <row r="828" ht="30.0" customHeight="1">
      <c r="AH828" s="5"/>
      <c r="AI828" s="5"/>
      <c r="AJ828" s="5"/>
    </row>
    <row r="829" ht="30.0" customHeight="1">
      <c r="AH829" s="5"/>
      <c r="AI829" s="5"/>
      <c r="AJ829" s="5"/>
    </row>
    <row r="830" ht="30.0" customHeight="1">
      <c r="AH830" s="5"/>
      <c r="AI830" s="5"/>
      <c r="AJ830" s="5"/>
    </row>
    <row r="831" ht="30.0" customHeight="1">
      <c r="AH831" s="5"/>
      <c r="AI831" s="5"/>
      <c r="AJ831" s="5"/>
    </row>
    <row r="832" ht="30.0" customHeight="1">
      <c r="AH832" s="5"/>
      <c r="AI832" s="5"/>
      <c r="AJ832" s="5"/>
    </row>
    <row r="833" ht="30.0" customHeight="1">
      <c r="AH833" s="5"/>
      <c r="AI833" s="5"/>
      <c r="AJ833" s="5"/>
    </row>
    <row r="834" ht="30.0" customHeight="1">
      <c r="AH834" s="5"/>
      <c r="AI834" s="5"/>
      <c r="AJ834" s="5"/>
    </row>
    <row r="835" ht="30.0" customHeight="1">
      <c r="AH835" s="5"/>
      <c r="AI835" s="5"/>
      <c r="AJ835" s="5"/>
    </row>
    <row r="836" ht="30.0" customHeight="1">
      <c r="AH836" s="5"/>
      <c r="AI836" s="5"/>
      <c r="AJ836" s="5"/>
    </row>
    <row r="837" ht="30.0" customHeight="1">
      <c r="AH837" s="5"/>
      <c r="AI837" s="5"/>
      <c r="AJ837" s="5"/>
    </row>
    <row r="838" ht="30.0" customHeight="1">
      <c r="AH838" s="5"/>
      <c r="AI838" s="5"/>
      <c r="AJ838" s="5"/>
    </row>
    <row r="839" ht="30.0" customHeight="1">
      <c r="AH839" s="5"/>
      <c r="AI839" s="5"/>
      <c r="AJ839" s="5"/>
    </row>
    <row r="840" ht="30.0" customHeight="1">
      <c r="AH840" s="5"/>
      <c r="AI840" s="5"/>
      <c r="AJ840" s="5"/>
    </row>
    <row r="841" ht="30.0" customHeight="1">
      <c r="AH841" s="5"/>
      <c r="AI841" s="5"/>
      <c r="AJ841" s="5"/>
    </row>
    <row r="842" ht="30.0" customHeight="1">
      <c r="AH842" s="5"/>
      <c r="AI842" s="5"/>
      <c r="AJ842" s="5"/>
    </row>
    <row r="843" ht="30.0" customHeight="1">
      <c r="AH843" s="5"/>
      <c r="AI843" s="5"/>
      <c r="AJ843" s="5"/>
    </row>
    <row r="844" ht="30.0" customHeight="1">
      <c r="AH844" s="5"/>
      <c r="AI844" s="5"/>
      <c r="AJ844" s="5"/>
    </row>
    <row r="845" ht="30.0" customHeight="1">
      <c r="AH845" s="5"/>
      <c r="AI845" s="5"/>
      <c r="AJ845" s="5"/>
    </row>
    <row r="846" ht="30.0" customHeight="1">
      <c r="AH846" s="5"/>
      <c r="AI846" s="5"/>
      <c r="AJ846" s="5"/>
    </row>
    <row r="847" ht="30.0" customHeight="1">
      <c r="AH847" s="5"/>
      <c r="AI847" s="5"/>
      <c r="AJ847" s="5"/>
    </row>
    <row r="848" ht="30.0" customHeight="1">
      <c r="AH848" s="5"/>
      <c r="AI848" s="5"/>
      <c r="AJ848" s="5"/>
    </row>
    <row r="849" ht="30.0" customHeight="1">
      <c r="AH849" s="5"/>
      <c r="AI849" s="5"/>
      <c r="AJ849" s="5"/>
    </row>
    <row r="850" ht="30.0" customHeight="1">
      <c r="AH850" s="5"/>
      <c r="AI850" s="5"/>
      <c r="AJ850" s="5"/>
    </row>
    <row r="851" ht="30.0" customHeight="1">
      <c r="AH851" s="5"/>
      <c r="AI851" s="5"/>
      <c r="AJ851" s="5"/>
    </row>
    <row r="852" ht="30.0" customHeight="1">
      <c r="AH852" s="5"/>
      <c r="AI852" s="5"/>
      <c r="AJ852" s="5"/>
    </row>
    <row r="853" ht="30.0" customHeight="1">
      <c r="AH853" s="5"/>
      <c r="AI853" s="5"/>
      <c r="AJ853" s="5"/>
    </row>
    <row r="854" ht="30.0" customHeight="1">
      <c r="AH854" s="5"/>
      <c r="AI854" s="5"/>
      <c r="AJ854" s="5"/>
    </row>
    <row r="855" ht="30.0" customHeight="1">
      <c r="AH855" s="5"/>
      <c r="AI855" s="5"/>
      <c r="AJ855" s="5"/>
    </row>
    <row r="856" ht="30.0" customHeight="1">
      <c r="AH856" s="5"/>
      <c r="AI856" s="5"/>
      <c r="AJ856" s="5"/>
    </row>
    <row r="857" ht="30.0" customHeight="1">
      <c r="AH857" s="5"/>
      <c r="AI857" s="5"/>
      <c r="AJ857" s="5"/>
    </row>
    <row r="858" ht="30.0" customHeight="1">
      <c r="AH858" s="5"/>
      <c r="AI858" s="5"/>
      <c r="AJ858" s="5"/>
    </row>
    <row r="859" ht="30.0" customHeight="1">
      <c r="AH859" s="5"/>
      <c r="AI859" s="5"/>
      <c r="AJ859" s="5"/>
    </row>
    <row r="860" ht="30.0" customHeight="1">
      <c r="AH860" s="5"/>
      <c r="AI860" s="5"/>
      <c r="AJ860" s="5"/>
    </row>
    <row r="861" ht="30.0" customHeight="1">
      <c r="AH861" s="5"/>
      <c r="AI861" s="5"/>
      <c r="AJ861" s="5"/>
    </row>
    <row r="862" ht="30.0" customHeight="1">
      <c r="AH862" s="5"/>
      <c r="AI862" s="5"/>
      <c r="AJ862" s="5"/>
    </row>
    <row r="863" ht="30.0" customHeight="1">
      <c r="AH863" s="5"/>
      <c r="AI863" s="5"/>
      <c r="AJ863" s="5"/>
    </row>
    <row r="864" ht="30.0" customHeight="1">
      <c r="AH864" s="5"/>
      <c r="AI864" s="5"/>
      <c r="AJ864" s="5"/>
    </row>
    <row r="865" ht="30.0" customHeight="1">
      <c r="AH865" s="5"/>
      <c r="AI865" s="5"/>
      <c r="AJ865" s="5"/>
    </row>
    <row r="866" ht="30.0" customHeight="1">
      <c r="AH866" s="5"/>
      <c r="AI866" s="5"/>
      <c r="AJ866" s="5"/>
    </row>
    <row r="867" ht="30.0" customHeight="1">
      <c r="AH867" s="5"/>
      <c r="AI867" s="5"/>
      <c r="AJ867" s="5"/>
    </row>
    <row r="868" ht="30.0" customHeight="1">
      <c r="AH868" s="5"/>
      <c r="AI868" s="5"/>
      <c r="AJ868" s="5"/>
    </row>
    <row r="869" ht="30.0" customHeight="1">
      <c r="AH869" s="5"/>
      <c r="AI869" s="5"/>
      <c r="AJ869" s="5"/>
    </row>
    <row r="870" ht="30.0" customHeight="1">
      <c r="AH870" s="5"/>
      <c r="AI870" s="5"/>
      <c r="AJ870" s="5"/>
    </row>
    <row r="871" ht="30.0" customHeight="1">
      <c r="AH871" s="5"/>
      <c r="AI871" s="5"/>
      <c r="AJ871" s="5"/>
    </row>
    <row r="872" ht="30.0" customHeight="1">
      <c r="AH872" s="5"/>
      <c r="AI872" s="5"/>
      <c r="AJ872" s="5"/>
    </row>
    <row r="873" ht="30.0" customHeight="1">
      <c r="AH873" s="5"/>
      <c r="AI873" s="5"/>
      <c r="AJ873" s="5"/>
    </row>
    <row r="874" ht="30.0" customHeight="1">
      <c r="AH874" s="5"/>
      <c r="AI874" s="5"/>
      <c r="AJ874" s="5"/>
    </row>
    <row r="875" ht="30.0" customHeight="1">
      <c r="AH875" s="5"/>
      <c r="AI875" s="5"/>
      <c r="AJ875" s="5"/>
    </row>
    <row r="876" ht="30.0" customHeight="1">
      <c r="AH876" s="5"/>
      <c r="AI876" s="5"/>
      <c r="AJ876" s="5"/>
    </row>
    <row r="877" ht="30.0" customHeight="1">
      <c r="AH877" s="5"/>
      <c r="AI877" s="5"/>
      <c r="AJ877" s="5"/>
    </row>
    <row r="878" ht="30.0" customHeight="1">
      <c r="AH878" s="5"/>
      <c r="AI878" s="5"/>
      <c r="AJ878" s="5"/>
    </row>
    <row r="879" ht="30.0" customHeight="1">
      <c r="AH879" s="5"/>
      <c r="AI879" s="5"/>
      <c r="AJ879" s="5"/>
    </row>
    <row r="880" ht="30.0" customHeight="1">
      <c r="AH880" s="5"/>
      <c r="AI880" s="5"/>
      <c r="AJ880" s="5"/>
    </row>
    <row r="881" ht="30.0" customHeight="1">
      <c r="AH881" s="5"/>
      <c r="AI881" s="5"/>
      <c r="AJ881" s="5"/>
    </row>
    <row r="882" ht="30.0" customHeight="1">
      <c r="AH882" s="5"/>
      <c r="AI882" s="5"/>
      <c r="AJ882" s="5"/>
    </row>
    <row r="883" ht="30.0" customHeight="1">
      <c r="AH883" s="5"/>
      <c r="AI883" s="5"/>
      <c r="AJ883" s="5"/>
    </row>
    <row r="884" ht="30.0" customHeight="1">
      <c r="AH884" s="5"/>
      <c r="AI884" s="5"/>
      <c r="AJ884" s="5"/>
    </row>
    <row r="885" ht="30.0" customHeight="1">
      <c r="AH885" s="5"/>
      <c r="AI885" s="5"/>
      <c r="AJ885" s="5"/>
    </row>
    <row r="886" ht="30.0" customHeight="1">
      <c r="AH886" s="5"/>
      <c r="AI886" s="5"/>
      <c r="AJ886" s="5"/>
    </row>
    <row r="887" ht="30.0" customHeight="1">
      <c r="AH887" s="5"/>
      <c r="AI887" s="5"/>
      <c r="AJ887" s="5"/>
    </row>
    <row r="888" ht="30.0" customHeight="1">
      <c r="AH888" s="5"/>
      <c r="AI888" s="5"/>
      <c r="AJ888" s="5"/>
    </row>
    <row r="889" ht="30.0" customHeight="1">
      <c r="AH889" s="5"/>
      <c r="AI889" s="5"/>
      <c r="AJ889" s="5"/>
    </row>
    <row r="890" ht="30.0" customHeight="1">
      <c r="AH890" s="5"/>
      <c r="AI890" s="5"/>
      <c r="AJ890" s="5"/>
    </row>
    <row r="891" ht="30.0" customHeight="1">
      <c r="AH891" s="5"/>
      <c r="AI891" s="5"/>
      <c r="AJ891" s="5"/>
    </row>
    <row r="892" ht="30.0" customHeight="1">
      <c r="AH892" s="5"/>
      <c r="AI892" s="5"/>
      <c r="AJ892" s="5"/>
    </row>
    <row r="893" ht="30.0" customHeight="1">
      <c r="AH893" s="5"/>
      <c r="AI893" s="5"/>
      <c r="AJ893" s="5"/>
    </row>
    <row r="894" ht="30.0" customHeight="1">
      <c r="AH894" s="5"/>
      <c r="AI894" s="5"/>
      <c r="AJ894" s="5"/>
    </row>
    <row r="895" ht="30.0" customHeight="1">
      <c r="AH895" s="5"/>
      <c r="AI895" s="5"/>
      <c r="AJ895" s="5"/>
    </row>
    <row r="896" ht="30.0" customHeight="1">
      <c r="AH896" s="5"/>
      <c r="AI896" s="5"/>
      <c r="AJ896" s="5"/>
    </row>
    <row r="897" ht="30.0" customHeight="1">
      <c r="AH897" s="5"/>
      <c r="AI897" s="5"/>
      <c r="AJ897" s="5"/>
    </row>
    <row r="898" ht="30.0" customHeight="1">
      <c r="AH898" s="5"/>
      <c r="AI898" s="5"/>
      <c r="AJ898" s="5"/>
    </row>
    <row r="899" ht="30.0" customHeight="1">
      <c r="AH899" s="5"/>
      <c r="AI899" s="5"/>
      <c r="AJ899" s="5"/>
    </row>
    <row r="900" ht="30.0" customHeight="1">
      <c r="AH900" s="5"/>
      <c r="AI900" s="5"/>
      <c r="AJ900" s="5"/>
    </row>
    <row r="901" ht="30.0" customHeight="1">
      <c r="AH901" s="5"/>
      <c r="AI901" s="5"/>
      <c r="AJ901" s="5"/>
    </row>
    <row r="902" ht="30.0" customHeight="1">
      <c r="AH902" s="5"/>
      <c r="AI902" s="5"/>
      <c r="AJ902" s="5"/>
    </row>
    <row r="903" ht="30.0" customHeight="1">
      <c r="AH903" s="5"/>
      <c r="AI903" s="5"/>
      <c r="AJ903" s="5"/>
    </row>
    <row r="904" ht="30.0" customHeight="1">
      <c r="AH904" s="5"/>
      <c r="AI904" s="5"/>
      <c r="AJ904" s="5"/>
    </row>
    <row r="905" ht="30.0" customHeight="1">
      <c r="AH905" s="5"/>
      <c r="AI905" s="5"/>
      <c r="AJ905" s="5"/>
    </row>
    <row r="906" ht="30.0" customHeight="1">
      <c r="AH906" s="5"/>
      <c r="AI906" s="5"/>
      <c r="AJ906" s="5"/>
    </row>
    <row r="907" ht="30.0" customHeight="1">
      <c r="AH907" s="5"/>
      <c r="AI907" s="5"/>
      <c r="AJ907" s="5"/>
    </row>
    <row r="908" ht="30.0" customHeight="1">
      <c r="AH908" s="5"/>
      <c r="AI908" s="5"/>
      <c r="AJ908" s="5"/>
    </row>
    <row r="909" ht="30.0" customHeight="1">
      <c r="AH909" s="5"/>
      <c r="AI909" s="5"/>
      <c r="AJ909" s="5"/>
    </row>
    <row r="910" ht="30.0" customHeight="1">
      <c r="AH910" s="5"/>
      <c r="AI910" s="5"/>
      <c r="AJ910" s="5"/>
    </row>
    <row r="911" ht="30.0" customHeight="1">
      <c r="AH911" s="5"/>
      <c r="AI911" s="5"/>
      <c r="AJ911" s="5"/>
    </row>
    <row r="912" ht="30.0" customHeight="1">
      <c r="AH912" s="5"/>
      <c r="AI912" s="5"/>
      <c r="AJ912" s="5"/>
    </row>
    <row r="913" ht="30.0" customHeight="1">
      <c r="AH913" s="5"/>
      <c r="AI913" s="5"/>
      <c r="AJ913" s="5"/>
    </row>
    <row r="914" ht="30.0" customHeight="1">
      <c r="AH914" s="5"/>
      <c r="AI914" s="5"/>
      <c r="AJ914" s="5"/>
    </row>
    <row r="915" ht="30.0" customHeight="1">
      <c r="AH915" s="5"/>
      <c r="AI915" s="5"/>
      <c r="AJ915" s="5"/>
    </row>
    <row r="916" ht="30.0" customHeight="1">
      <c r="AH916" s="5"/>
      <c r="AI916" s="5"/>
      <c r="AJ916" s="5"/>
    </row>
    <row r="917" ht="30.0" customHeight="1">
      <c r="AH917" s="5"/>
      <c r="AI917" s="5"/>
      <c r="AJ917" s="5"/>
    </row>
    <row r="918" ht="30.0" customHeight="1">
      <c r="AH918" s="5"/>
      <c r="AI918" s="5"/>
      <c r="AJ918" s="5"/>
    </row>
    <row r="919" ht="30.0" customHeight="1">
      <c r="AH919" s="5"/>
      <c r="AI919" s="5"/>
      <c r="AJ919" s="5"/>
    </row>
    <row r="920" ht="30.0" customHeight="1">
      <c r="AH920" s="5"/>
      <c r="AI920" s="5"/>
      <c r="AJ920" s="5"/>
    </row>
    <row r="921" ht="30.0" customHeight="1">
      <c r="AH921" s="5"/>
      <c r="AI921" s="5"/>
      <c r="AJ921" s="5"/>
    </row>
    <row r="922" ht="30.0" customHeight="1">
      <c r="AH922" s="5"/>
      <c r="AI922" s="5"/>
      <c r="AJ922" s="5"/>
    </row>
    <row r="923" ht="30.0" customHeight="1">
      <c r="AH923" s="5"/>
      <c r="AI923" s="5"/>
      <c r="AJ923" s="5"/>
    </row>
    <row r="924" ht="30.0" customHeight="1">
      <c r="AH924" s="5"/>
      <c r="AI924" s="5"/>
      <c r="AJ924" s="5"/>
    </row>
    <row r="925" ht="30.0" customHeight="1">
      <c r="AH925" s="5"/>
      <c r="AI925" s="5"/>
      <c r="AJ925" s="5"/>
    </row>
    <row r="926" ht="30.0" customHeight="1">
      <c r="AH926" s="5"/>
      <c r="AI926" s="5"/>
      <c r="AJ926" s="5"/>
    </row>
    <row r="927" ht="30.0" customHeight="1">
      <c r="AH927" s="5"/>
      <c r="AI927" s="5"/>
      <c r="AJ927" s="5"/>
    </row>
    <row r="928" ht="30.0" customHeight="1">
      <c r="AH928" s="5"/>
      <c r="AI928" s="5"/>
      <c r="AJ928" s="5"/>
    </row>
    <row r="929" ht="30.0" customHeight="1">
      <c r="AH929" s="5"/>
      <c r="AI929" s="5"/>
      <c r="AJ929" s="5"/>
    </row>
    <row r="930" ht="30.0" customHeight="1">
      <c r="AH930" s="5"/>
      <c r="AI930" s="5"/>
      <c r="AJ930" s="5"/>
    </row>
    <row r="931" ht="30.0" customHeight="1">
      <c r="AH931" s="5"/>
      <c r="AI931" s="5"/>
      <c r="AJ931" s="5"/>
    </row>
    <row r="932" ht="30.0" customHeight="1">
      <c r="AH932" s="5"/>
      <c r="AI932" s="5"/>
      <c r="AJ932" s="5"/>
    </row>
    <row r="933" ht="30.0" customHeight="1">
      <c r="AH933" s="5"/>
      <c r="AI933" s="5"/>
      <c r="AJ933" s="5"/>
    </row>
    <row r="934" ht="30.0" customHeight="1">
      <c r="AH934" s="5"/>
      <c r="AI934" s="5"/>
      <c r="AJ934" s="5"/>
    </row>
    <row r="935" ht="30.0" customHeight="1">
      <c r="AH935" s="5"/>
      <c r="AI935" s="5"/>
      <c r="AJ935" s="5"/>
    </row>
    <row r="936" ht="30.0" customHeight="1">
      <c r="AH936" s="5"/>
      <c r="AI936" s="5"/>
      <c r="AJ936" s="5"/>
    </row>
    <row r="937" ht="30.0" customHeight="1">
      <c r="AH937" s="5"/>
      <c r="AI937" s="5"/>
      <c r="AJ937" s="5"/>
    </row>
    <row r="938" ht="30.0" customHeight="1">
      <c r="AH938" s="5"/>
      <c r="AI938" s="5"/>
      <c r="AJ938" s="5"/>
    </row>
    <row r="939" ht="30.0" customHeight="1">
      <c r="AH939" s="5"/>
      <c r="AI939" s="5"/>
      <c r="AJ939" s="5"/>
    </row>
    <row r="940" ht="30.0" customHeight="1">
      <c r="AH940" s="5"/>
      <c r="AI940" s="5"/>
      <c r="AJ940" s="5"/>
    </row>
    <row r="941" ht="30.0" customHeight="1">
      <c r="AH941" s="5"/>
      <c r="AI941" s="5"/>
      <c r="AJ941" s="5"/>
    </row>
    <row r="942" ht="30.0" customHeight="1">
      <c r="AH942" s="5"/>
      <c r="AI942" s="5"/>
      <c r="AJ942" s="5"/>
    </row>
    <row r="943" ht="30.0" customHeight="1">
      <c r="AH943" s="5"/>
      <c r="AI943" s="5"/>
      <c r="AJ943" s="5"/>
    </row>
    <row r="944" ht="30.0" customHeight="1">
      <c r="AH944" s="5"/>
      <c r="AI944" s="5"/>
      <c r="AJ944" s="5"/>
    </row>
    <row r="945" ht="30.0" customHeight="1">
      <c r="AH945" s="5"/>
      <c r="AI945" s="5"/>
      <c r="AJ945" s="5"/>
    </row>
    <row r="946" ht="30.0" customHeight="1">
      <c r="AH946" s="5"/>
      <c r="AI946" s="5"/>
      <c r="AJ946" s="5"/>
    </row>
    <row r="947" ht="30.0" customHeight="1">
      <c r="AH947" s="5"/>
      <c r="AI947" s="5"/>
      <c r="AJ947" s="5"/>
    </row>
    <row r="948" ht="30.0" customHeight="1">
      <c r="AH948" s="5"/>
      <c r="AI948" s="5"/>
      <c r="AJ948" s="5"/>
    </row>
    <row r="949" ht="30.0" customHeight="1">
      <c r="AH949" s="5"/>
      <c r="AI949" s="5"/>
      <c r="AJ949" s="5"/>
    </row>
    <row r="950" ht="30.0" customHeight="1">
      <c r="AH950" s="5"/>
      <c r="AI950" s="5"/>
      <c r="AJ950" s="5"/>
    </row>
    <row r="951" ht="30.0" customHeight="1">
      <c r="AH951" s="5"/>
      <c r="AI951" s="5"/>
      <c r="AJ951" s="5"/>
    </row>
    <row r="952" ht="30.0" customHeight="1">
      <c r="AH952" s="5"/>
      <c r="AI952" s="5"/>
      <c r="AJ952" s="5"/>
    </row>
    <row r="953" ht="30.0" customHeight="1">
      <c r="AH953" s="5"/>
      <c r="AI953" s="5"/>
      <c r="AJ953" s="5"/>
    </row>
    <row r="954" ht="30.0" customHeight="1">
      <c r="AH954" s="5"/>
      <c r="AI954" s="5"/>
      <c r="AJ954" s="5"/>
    </row>
    <row r="955" ht="30.0" customHeight="1">
      <c r="AH955" s="5"/>
      <c r="AI955" s="5"/>
      <c r="AJ955" s="5"/>
    </row>
    <row r="956" ht="30.0" customHeight="1">
      <c r="AH956" s="5"/>
      <c r="AI956" s="5"/>
      <c r="AJ956" s="5"/>
    </row>
    <row r="957" ht="30.0" customHeight="1">
      <c r="AH957" s="5"/>
      <c r="AI957" s="5"/>
      <c r="AJ957" s="5"/>
    </row>
    <row r="958" ht="30.0" customHeight="1">
      <c r="AH958" s="5"/>
      <c r="AI958" s="5"/>
      <c r="AJ958" s="5"/>
    </row>
    <row r="959" ht="30.0" customHeight="1">
      <c r="AH959" s="5"/>
      <c r="AI959" s="5"/>
      <c r="AJ959" s="5"/>
    </row>
    <row r="960" ht="30.0" customHeight="1">
      <c r="AH960" s="5"/>
      <c r="AI960" s="5"/>
      <c r="AJ960" s="5"/>
    </row>
    <row r="961" ht="30.0" customHeight="1">
      <c r="AH961" s="5"/>
      <c r="AI961" s="5"/>
      <c r="AJ961" s="5"/>
    </row>
    <row r="962" ht="30.0" customHeight="1">
      <c r="AH962" s="5"/>
      <c r="AI962" s="5"/>
      <c r="AJ962" s="5"/>
    </row>
    <row r="963" ht="30.0" customHeight="1">
      <c r="AH963" s="5"/>
      <c r="AI963" s="5"/>
      <c r="AJ963" s="5"/>
    </row>
    <row r="964" ht="30.0" customHeight="1">
      <c r="AH964" s="5"/>
      <c r="AI964" s="5"/>
      <c r="AJ964" s="5"/>
    </row>
    <row r="965" ht="30.0" customHeight="1">
      <c r="AH965" s="5"/>
      <c r="AI965" s="5"/>
      <c r="AJ965" s="5"/>
    </row>
    <row r="966" ht="30.0" customHeight="1">
      <c r="AH966" s="5"/>
      <c r="AI966" s="5"/>
      <c r="AJ966" s="5"/>
    </row>
    <row r="967" ht="30.0" customHeight="1">
      <c r="AH967" s="5"/>
      <c r="AI967" s="5"/>
      <c r="AJ967" s="5"/>
    </row>
    <row r="968" ht="30.0" customHeight="1">
      <c r="AH968" s="5"/>
      <c r="AI968" s="5"/>
      <c r="AJ968" s="5"/>
    </row>
    <row r="969" ht="30.0" customHeight="1">
      <c r="AH969" s="5"/>
      <c r="AI969" s="5"/>
      <c r="AJ969" s="5"/>
    </row>
    <row r="970" ht="30.0" customHeight="1">
      <c r="AH970" s="5"/>
      <c r="AI970" s="5"/>
      <c r="AJ970" s="5"/>
    </row>
    <row r="971" ht="30.0" customHeight="1">
      <c r="AH971" s="5"/>
      <c r="AI971" s="5"/>
      <c r="AJ971" s="5"/>
    </row>
    <row r="972" ht="30.0" customHeight="1">
      <c r="AH972" s="5"/>
      <c r="AI972" s="5"/>
      <c r="AJ972" s="5"/>
    </row>
    <row r="973" ht="30.0" customHeight="1">
      <c r="AH973" s="5"/>
      <c r="AI973" s="5"/>
      <c r="AJ973" s="5"/>
    </row>
    <row r="974" ht="30.0" customHeight="1">
      <c r="AH974" s="5"/>
      <c r="AI974" s="5"/>
      <c r="AJ974" s="5"/>
    </row>
    <row r="975" ht="30.0" customHeight="1">
      <c r="AH975" s="5"/>
      <c r="AI975" s="5"/>
      <c r="AJ975" s="5"/>
    </row>
    <row r="976" ht="30.0" customHeight="1">
      <c r="AH976" s="5"/>
      <c r="AI976" s="5"/>
      <c r="AJ976" s="5"/>
    </row>
    <row r="977" ht="30.0" customHeight="1">
      <c r="AH977" s="5"/>
      <c r="AI977" s="5"/>
      <c r="AJ977" s="5"/>
    </row>
    <row r="978" ht="30.0" customHeight="1">
      <c r="AH978" s="5"/>
      <c r="AI978" s="5"/>
      <c r="AJ978" s="5"/>
    </row>
    <row r="979" ht="30.0" customHeight="1">
      <c r="AH979" s="5"/>
      <c r="AI979" s="5"/>
      <c r="AJ979" s="5"/>
    </row>
    <row r="980" ht="30.0" customHeight="1">
      <c r="AH980" s="5"/>
      <c r="AI980" s="5"/>
      <c r="AJ980" s="5"/>
    </row>
    <row r="981" ht="30.0" customHeight="1">
      <c r="AH981" s="5"/>
      <c r="AI981" s="5"/>
      <c r="AJ981" s="5"/>
    </row>
    <row r="982" ht="30.0" customHeight="1">
      <c r="AH982" s="5"/>
      <c r="AI982" s="5"/>
      <c r="AJ982" s="5"/>
    </row>
    <row r="983" ht="30.0" customHeight="1">
      <c r="AH983" s="5"/>
      <c r="AI983" s="5"/>
      <c r="AJ983" s="5"/>
    </row>
    <row r="984" ht="30.0" customHeight="1">
      <c r="AH984" s="5"/>
      <c r="AI984" s="5"/>
      <c r="AJ984" s="5"/>
    </row>
    <row r="985" ht="30.0" customHeight="1">
      <c r="AH985" s="5"/>
      <c r="AI985" s="5"/>
      <c r="AJ985" s="5"/>
    </row>
    <row r="986" ht="30.0" customHeight="1">
      <c r="AH986" s="5"/>
      <c r="AI986" s="5"/>
      <c r="AJ986" s="5"/>
    </row>
    <row r="987" ht="30.0" customHeight="1">
      <c r="AH987" s="5"/>
      <c r="AI987" s="5"/>
      <c r="AJ987" s="5"/>
    </row>
    <row r="988" ht="30.0" customHeight="1">
      <c r="AH988" s="5"/>
      <c r="AI988" s="5"/>
      <c r="AJ988" s="5"/>
    </row>
    <row r="989" ht="30.0" customHeight="1">
      <c r="AH989" s="5"/>
      <c r="AI989" s="5"/>
      <c r="AJ989" s="5"/>
    </row>
    <row r="990" ht="30.0" customHeight="1">
      <c r="AH990" s="5"/>
      <c r="AI990" s="5"/>
      <c r="AJ990" s="5"/>
    </row>
    <row r="991" ht="30.0" customHeight="1">
      <c r="AH991" s="5"/>
      <c r="AI991" s="5"/>
      <c r="AJ991" s="5"/>
    </row>
    <row r="992" ht="30.0" customHeight="1">
      <c r="AH992" s="5"/>
      <c r="AI992" s="5"/>
      <c r="AJ992" s="5"/>
    </row>
    <row r="993" ht="30.0" customHeight="1">
      <c r="AH993" s="5"/>
      <c r="AI993" s="5"/>
      <c r="AJ993" s="5"/>
    </row>
    <row r="994" ht="30.0" customHeight="1">
      <c r="AH994" s="5"/>
      <c r="AI994" s="5"/>
      <c r="AJ994" s="5"/>
    </row>
    <row r="995" ht="30.0" customHeight="1">
      <c r="AH995" s="5"/>
      <c r="AI995" s="5"/>
      <c r="AJ995" s="5"/>
    </row>
    <row r="996" ht="30.0" customHeight="1">
      <c r="AH996" s="5"/>
      <c r="AI996" s="5"/>
      <c r="AJ996" s="5"/>
    </row>
    <row r="997" ht="30.0" customHeight="1">
      <c r="AH997" s="5"/>
      <c r="AI997" s="5"/>
      <c r="AJ997" s="5"/>
    </row>
    <row r="998" ht="30.0" customHeight="1">
      <c r="AH998" s="5"/>
      <c r="AI998" s="5"/>
      <c r="AJ998" s="5"/>
    </row>
    <row r="999" ht="30.0" customHeight="1">
      <c r="AH999" s="5"/>
      <c r="AI999" s="5"/>
      <c r="AJ999" s="5"/>
    </row>
    <row r="1000" ht="30.0" customHeight="1">
      <c r="AH1000" s="5"/>
      <c r="AI1000" s="5"/>
      <c r="AJ1000" s="5"/>
    </row>
    <row r="1001" ht="30.0" customHeight="1">
      <c r="AH1001" s="5"/>
      <c r="AI1001" s="5"/>
      <c r="AJ1001" s="5"/>
    </row>
    <row r="1002" ht="30.0" customHeight="1">
      <c r="AH1002" s="5"/>
      <c r="AI1002" s="5"/>
      <c r="AJ1002" s="5"/>
    </row>
    <row r="1003" ht="30.0" customHeight="1">
      <c r="AH1003" s="5"/>
      <c r="AI1003" s="5"/>
      <c r="AJ1003" s="5"/>
    </row>
    <row r="1004" ht="30.0" customHeight="1">
      <c r="AH1004" s="5"/>
      <c r="AI1004" s="5"/>
      <c r="AJ1004" s="5"/>
    </row>
    <row r="1005" ht="30.0" customHeight="1">
      <c r="AH1005" s="5"/>
      <c r="AI1005" s="5"/>
      <c r="AJ1005" s="5"/>
    </row>
    <row r="1006" ht="30.0" customHeight="1">
      <c r="AH1006" s="5"/>
      <c r="AI1006" s="5"/>
      <c r="AJ1006" s="5"/>
    </row>
    <row r="1007" ht="30.0" customHeight="1">
      <c r="AH1007" s="5"/>
      <c r="AI1007" s="5"/>
      <c r="AJ1007" s="5"/>
    </row>
    <row r="1008" ht="30.0" customHeight="1">
      <c r="AH1008" s="5"/>
      <c r="AI1008" s="5"/>
      <c r="AJ1008" s="5"/>
    </row>
    <row r="1009" ht="30.0" customHeight="1">
      <c r="AH1009" s="5"/>
      <c r="AI1009" s="5"/>
      <c r="AJ1009" s="5"/>
    </row>
    <row r="1010" ht="30.0" customHeight="1">
      <c r="AH1010" s="5"/>
      <c r="AI1010" s="5"/>
      <c r="AJ1010" s="5"/>
    </row>
    <row r="1011" ht="30.0" customHeight="1">
      <c r="AH1011" s="5"/>
      <c r="AI1011" s="5"/>
      <c r="AJ1011" s="5"/>
    </row>
    <row r="1012" ht="30.0" customHeight="1">
      <c r="AH1012" s="5"/>
      <c r="AI1012" s="5"/>
      <c r="AJ1012" s="5"/>
    </row>
    <row r="1013" ht="30.0" customHeight="1">
      <c r="AH1013" s="5"/>
      <c r="AI1013" s="5"/>
      <c r="AJ1013" s="5"/>
    </row>
    <row r="1014" ht="30.0" customHeight="1">
      <c r="AH1014" s="5"/>
      <c r="AI1014" s="5"/>
      <c r="AJ1014" s="5"/>
    </row>
    <row r="1015" ht="30.0" customHeight="1">
      <c r="AH1015" s="5"/>
      <c r="AI1015" s="5"/>
      <c r="AJ1015" s="5"/>
    </row>
    <row r="1016" ht="30.0" customHeight="1">
      <c r="AH1016" s="5"/>
      <c r="AI1016" s="5"/>
      <c r="AJ1016" s="5"/>
    </row>
    <row r="1017" ht="30.0" customHeight="1">
      <c r="AH1017" s="5"/>
      <c r="AI1017" s="5"/>
      <c r="AJ1017" s="5"/>
    </row>
    <row r="1018" ht="30.0" customHeight="1">
      <c r="AH1018" s="5"/>
      <c r="AI1018" s="5"/>
      <c r="AJ1018" s="5"/>
    </row>
    <row r="1019" ht="30.0" customHeight="1">
      <c r="AH1019" s="5"/>
      <c r="AI1019" s="5"/>
      <c r="AJ1019" s="5"/>
    </row>
    <row r="1020" ht="30.0" customHeight="1">
      <c r="AH1020" s="5"/>
      <c r="AI1020" s="5"/>
      <c r="AJ1020" s="5"/>
    </row>
    <row r="1021" ht="30.0" customHeight="1">
      <c r="AH1021" s="5"/>
      <c r="AI1021" s="5"/>
      <c r="AJ1021" s="5"/>
    </row>
    <row r="1022" ht="30.0" customHeight="1">
      <c r="AH1022" s="5"/>
      <c r="AI1022" s="5"/>
      <c r="AJ1022" s="5"/>
    </row>
    <row r="1023" ht="30.0" customHeight="1">
      <c r="AH1023" s="5"/>
      <c r="AI1023" s="5"/>
      <c r="AJ1023" s="5"/>
    </row>
    <row r="1024" ht="30.0" customHeight="1">
      <c r="AH1024" s="5"/>
      <c r="AI1024" s="5"/>
      <c r="AJ1024" s="5"/>
    </row>
    <row r="1025" ht="30.0" customHeight="1">
      <c r="AH1025" s="5"/>
      <c r="AI1025" s="5"/>
      <c r="AJ1025" s="5"/>
    </row>
    <row r="1026" ht="30.0" customHeight="1">
      <c r="AH1026" s="5"/>
      <c r="AI1026" s="5"/>
      <c r="AJ1026" s="5"/>
    </row>
    <row r="1027" ht="30.0" customHeight="1">
      <c r="AH1027" s="5"/>
      <c r="AI1027" s="5"/>
      <c r="AJ1027" s="5"/>
    </row>
    <row r="1028" ht="30.0" customHeight="1">
      <c r="AH1028" s="5"/>
      <c r="AI1028" s="5"/>
      <c r="AJ1028" s="5"/>
    </row>
    <row r="1029" ht="30.0" customHeight="1">
      <c r="AH1029" s="5"/>
      <c r="AI1029" s="5"/>
      <c r="AJ1029" s="5"/>
    </row>
    <row r="1030" ht="30.0" customHeight="1">
      <c r="AH1030" s="5"/>
      <c r="AI1030" s="5"/>
      <c r="AJ1030" s="5"/>
    </row>
    <row r="1031" ht="30.0" customHeight="1">
      <c r="AH1031" s="5"/>
      <c r="AI1031" s="5"/>
      <c r="AJ1031" s="5"/>
    </row>
    <row r="1032" ht="30.0" customHeight="1">
      <c r="AH1032" s="5"/>
      <c r="AI1032" s="5"/>
      <c r="AJ1032" s="5"/>
    </row>
    <row r="1033" ht="30.0" customHeight="1">
      <c r="AH1033" s="5"/>
      <c r="AI1033" s="5"/>
      <c r="AJ1033" s="5"/>
    </row>
    <row r="1034" ht="30.0" customHeight="1">
      <c r="AH1034" s="5"/>
      <c r="AI1034" s="5"/>
      <c r="AJ1034" s="5"/>
    </row>
    <row r="1035" ht="30.0" customHeight="1">
      <c r="AH1035" s="5"/>
      <c r="AI1035" s="5"/>
      <c r="AJ1035" s="5"/>
    </row>
    <row r="1036" ht="30.0" customHeight="1">
      <c r="AH1036" s="5"/>
      <c r="AI1036" s="5"/>
      <c r="AJ1036" s="5"/>
    </row>
    <row r="1037" ht="30.0" customHeight="1">
      <c r="AH1037" s="5"/>
      <c r="AI1037" s="5"/>
      <c r="AJ1037" s="5"/>
    </row>
  </sheetData>
  <mergeCells count="16">
    <mergeCell ref="B1:X1"/>
    <mergeCell ref="D2:F2"/>
    <mergeCell ref="H2:J2"/>
    <mergeCell ref="L2:N2"/>
    <mergeCell ref="P2:S2"/>
    <mergeCell ref="U2:X2"/>
    <mergeCell ref="C4:AG4"/>
    <mergeCell ref="C179:AG179"/>
    <mergeCell ref="C189:AG189"/>
    <mergeCell ref="C10:AG10"/>
    <mergeCell ref="C37:AG37"/>
    <mergeCell ref="C64:AG64"/>
    <mergeCell ref="C97:AG97"/>
    <mergeCell ref="C123:AG123"/>
    <mergeCell ref="C149:AG149"/>
    <mergeCell ref="C166:AG166"/>
  </mergeCells>
  <conditionalFormatting sqref="C7:AG7 N33 Q33 X33:Y33">
    <cfRule type="expression" dxfId="5" priority="1" stopIfTrue="1">
      <formula>C7=""</formula>
    </cfRule>
  </conditionalFormatting>
  <conditionalFormatting sqref="K7 N7 R7 T7 C33:AC33 AE33:AG33">
    <cfRule type="expression" dxfId="5" priority="2" stopIfTrue="1">
      <formula>#REF!=""</formula>
    </cfRule>
  </conditionalFormatting>
  <conditionalFormatting sqref="AH42:AI42">
    <cfRule type="expression" dxfId="5" priority="3" stopIfTrue="1">
      <formula>AH42=""</formula>
    </cfRule>
  </conditionalFormatting>
  <conditionalFormatting sqref="C94:H94 J94:K94 M94:W94 Y94:AD94 AF94:AG94">
    <cfRule type="expression" dxfId="5" priority="4" stopIfTrue="1">
      <formula>#REF!=""</formula>
    </cfRule>
  </conditionalFormatting>
  <conditionalFormatting sqref="C120:K120 N120:AG120 C162:L163 N162:AG163">
    <cfRule type="expression" dxfId="5" priority="5" stopIfTrue="1">
      <formula>#REF!=""</formula>
    </cfRule>
  </conditionalFormatting>
  <dataValidations>
    <dataValidation type="list" allowBlank="1" showErrorMessage="1" sqref="B7 B13:B33 B40:B59 B67:B94 B102:B120 B128:B144 B153:B163 B171:B176 B184:B186 B194:B196">
      <formula1>'Nombres de los alumnos '!$B$4:$B$1016</formula1>
    </dataValidation>
    <dataValidation type="list" allowBlank="1" showErrorMessage="1" sqref="B100:B101 B126:B127 B152 B169:B170 B182:B183 B192:B193">
      <formula1>'Nombres de los alumnos '!$B$4:$B$999999</formula1>
    </dataValidation>
  </dataValidations>
  <printOptions horizontalCentered="1"/>
  <pageMargins bottom="0.75" footer="0.0" header="0.0" left="0.25" right="0.25" top="0.75"/>
  <pageSetup fitToHeight="0" paperSize="9"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2016-12-06T04:52:27Z</dcterms:created>
  <dc:creator>wonmorettijimena@hotmail.com</dc:creator>
</cp:coreProperties>
</file>